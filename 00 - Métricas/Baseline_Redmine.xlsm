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EstaPasta_de_trabalho" defaultThemeVersion="124226"/>
  <bookViews>
    <workbookView xWindow="360" yWindow="1185" windowWidth="15315" windowHeight="5130" tabRatio="825" firstSheet="3" activeTab="4"/>
  </bookViews>
  <sheets>
    <sheet name="TabGerais" sheetId="22" state="hidden" r:id="rId1"/>
    <sheet name="PAR-FD_Estaticos" sheetId="40" state="hidden" r:id="rId2"/>
    <sheet name="PAR-FT_Estaticos" sheetId="39" state="hidden" r:id="rId3"/>
    <sheet name="FSOL" sheetId="15" r:id="rId4"/>
    <sheet name="FD_Aplicacao" sheetId="42" r:id="rId5"/>
    <sheet name="FT_Aplicacao" sheetId="14" r:id="rId6"/>
    <sheet name="DOC" sheetId="16" r:id="rId7"/>
    <sheet name="RESULTADO" sheetId="45" r:id="rId8"/>
    <sheet name="DOC_ESTATICO" sheetId="18" state="hidden" r:id="rId9"/>
    <sheet name="MOTOR" sheetId="2" state="hidden" r:id="rId10"/>
    <sheet name="MEMORIA_CONTAGEM" sheetId="5" state="hidden" r:id="rId11"/>
    <sheet name="MEMORIA_VAF" sheetId="6" state="hidden" r:id="rId12"/>
    <sheet name="MEMORIA_VAF-ANTES" sheetId="7" state="hidden" r:id="rId13"/>
    <sheet name="PARAMETROS" sheetId="3" state="hidden" r:id="rId14"/>
    <sheet name="SOLICITACAO" sheetId="8" state="hidden" r:id="rId15"/>
    <sheet name="MACROPROCESSOS" sheetId="46" r:id="rId16"/>
    <sheet name="CONTAGEM" sheetId="4" state="hidden" r:id="rId17"/>
  </sheets>
  <functionGroups builtInGroupCount="17"/>
  <externalReferences>
    <externalReference r:id="rId18"/>
  </externalReferences>
  <definedNames>
    <definedName name="calculos">MOTOR!$P$109:$P$208</definedName>
    <definedName name="combo_nomeUC">MACROPROCESSOS!$B$2:$B$165</definedName>
    <definedName name="combo_resp">DOC_ESTATICO!$A$9:$A$12</definedName>
    <definedName name="combo_sit">DOC_ESTATICO!$A$2:$A$5</definedName>
    <definedName name="combo_situacao" localSheetId="8">DOC_ESTATICO!$A$2:$A$5</definedName>
    <definedName name="combo_tpManutencao" localSheetId="8">DOC_ESTATICO!$A$8:$A$20</definedName>
    <definedName name="FD_Corretiva_TE">'PAR-FD_Estaticos'!$B$16:$B$19</definedName>
    <definedName name="FD_Corretiva_TM">'PAR-FD_Estaticos'!$B$3:$B$5</definedName>
    <definedName name="FD_Documentacao_TE">'PAR-FD_Estaticos'!$D$16:$D$19</definedName>
    <definedName name="FD_Melhoria_TE">'PAR-FD_Estaticos'!$A$16:$A$19</definedName>
    <definedName name="FD_Melhoria_TM">'PAR-FD_Estaticos'!$A$3:$A$8</definedName>
    <definedName name="FD_Plataforma_TE">'PAR-FD_Estaticos'!$C$16:$C$19</definedName>
    <definedName name="FD_Plataforma_TM">'PAR-FD_Estaticos'!$C$3:$C$5</definedName>
    <definedName name="FT_Adaptacao_TE">'PAR-FT_Estaticos'!$F$3:$F$7</definedName>
    <definedName name="FT_Adaptacao_TM">'PAR-FT_Estaticos'!#REF!</definedName>
    <definedName name="FT_Apuracao_TE">'PAR-FT_Estaticos'!$G$3:$G$7</definedName>
    <definedName name="FT_Apuracao_TM">'PAR-FT_Estaticos'!#REF!</definedName>
    <definedName name="FT_AtualizaDados_TE">'PAR-FT_Estaticos'!$H$3:$H$5</definedName>
    <definedName name="FT_AtualizaDados_TM">'PAR-FT_Estaticos'!#REF!</definedName>
    <definedName name="FT_AtuaVersao">'PAR-FT_Estaticos'!$D$3:$D$7</definedName>
    <definedName name="FT_AtuaVersao_TE">'PAR-FT_Estaticos'!$D$3:$D$7</definedName>
    <definedName name="FT_AtuaVersao_TM">'PAR-FT_Estaticos'!#REF!</definedName>
    <definedName name="FT_AtuaVersao_TMu">'PAR-FT_Estaticos'!#REF!</definedName>
    <definedName name="FT_Componentes">'PAR-FT_Estaticos'!#REF!</definedName>
    <definedName name="FT_Componentes_TE">'PAR-FT_Estaticos'!$M$3:$M$7</definedName>
    <definedName name="FT_Corretiva_TE">'PAR-FT_Estaticos'!$B$3:$B$7</definedName>
    <definedName name="FT_Corretiva_TM">'PAR-FT_Estaticos'!#REF!</definedName>
    <definedName name="FT_Cosmetica_TE">'PAR-FT_Estaticos'!$E$3:$E$7</definedName>
    <definedName name="FT_Documentacao_TE">'PAR-FT_Estaticos'!$J$3:$J$7</definedName>
    <definedName name="FT_Melhoria_TE">'PAR-FT_Estaticos'!$A$3:$A$7</definedName>
    <definedName name="FT_Melhoria_TM">'PAR-FT_Estaticos'!#REF!</definedName>
    <definedName name="FT_PagEstaticas_TM">'PAR-FT_Estaticos'!#REF!</definedName>
    <definedName name="FT_PfTestes_TE">'PAR-FT_Estaticos'!$L$3:$L$7</definedName>
    <definedName name="FT_Plataforma_TE">'PAR-FT_Estaticos'!$C$3:$C$7</definedName>
    <definedName name="FT_Plataforma_TM">'PAR-FT_Estaticos'!#REF!</definedName>
    <definedName name="FT_PlataformaMu">'PAR-FT_Estaticos'!#REF!</definedName>
    <definedName name="FT_VerifErros_ED">'PAR-FT_Estaticos'!#REF!</definedName>
    <definedName name="FT_VerifErros_TE">'PAR-FT_Estaticos'!$K$3:$K$7</definedName>
    <definedName name="HTML_CodePage" hidden="1">1252</definedName>
    <definedName name="HTML_Control" localSheetId="6" hidden="1">{"'F038'!$B$6:$P$16"}</definedName>
    <definedName name="HTML_Control" localSheetId="4" hidden="1">{"'F038'!$B$6:$P$16"}</definedName>
    <definedName name="HTML_Control" localSheetId="3" hidden="1">{"'F038'!$B$6:$P$16"}</definedName>
    <definedName name="HTML_Control" localSheetId="5" hidden="1">{"'F038'!$B$6:$P$16"}</definedName>
    <definedName name="HTML_Control" hidden="1">{"'F038'!$B$6:$P$16"}</definedName>
    <definedName name="HTML_Description" hidden="1">""</definedName>
    <definedName name="HTML_Email" hidden="1">""</definedName>
    <definedName name="HTML_Header" hidden="1">"F038"</definedName>
    <definedName name="HTML_LastUpdate" hidden="1">"07/06/2002"</definedName>
    <definedName name="HTML_LineAfter" hidden="1">FALSE</definedName>
    <definedName name="HTML_LineBefore" hidden="1">FALSE</definedName>
    <definedName name="HTML_Name" hidden="1">"Wagner J. F. Malagrino"</definedName>
    <definedName name="HTML_OBDlg2" hidden="1">TRUE</definedName>
    <definedName name="HTML_OBDlg4" hidden="1">TRUE</definedName>
    <definedName name="HTML_OS" hidden="1">0</definedName>
    <definedName name="HTML_PathFile" hidden="1">"Y:\Propostas\Modelos Para Proposta\MeuHTML.htm"</definedName>
    <definedName name="HTML_Title" hidden="1">"F037F038F039"</definedName>
  </definedNames>
  <calcPr calcId="144525"/>
  <webPublishObjects count="1">
    <webPublishObject id="9474" divId="Baseline_Redmine_9474" destinationFile="C:\Users\Ismael\Documents\GitHub\git\RELEASE_0100\Página.mht"/>
  </webPublishObjects>
</workbook>
</file>

<file path=xl/calcChain.xml><?xml version="1.0" encoding="utf-8"?>
<calcChain xmlns="http://schemas.openxmlformats.org/spreadsheetml/2006/main">
  <c r="B32" i="3" l="1"/>
  <c r="B30" i="3"/>
  <c r="B29" i="3"/>
  <c r="B28" i="3"/>
  <c r="B27" i="3"/>
  <c r="B26" i="3"/>
  <c r="B25" i="3"/>
  <c r="B24" i="3"/>
  <c r="B23" i="3"/>
  <c r="B22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  <c r="F243" i="2"/>
  <c r="F242" i="2"/>
  <c r="F239" i="2"/>
  <c r="F238" i="2"/>
  <c r="O234" i="2"/>
  <c r="F232" i="2"/>
  <c r="F231" i="2"/>
  <c r="F228" i="2"/>
  <c r="F227" i="2"/>
  <c r="O220" i="2"/>
  <c r="O219" i="2"/>
  <c r="O218" i="2"/>
  <c r="O217" i="2"/>
  <c r="O216" i="2"/>
  <c r="O215" i="2"/>
  <c r="O214" i="2"/>
  <c r="O213" i="2"/>
  <c r="O212" i="2"/>
  <c r="O211" i="2"/>
  <c r="O208" i="2"/>
  <c r="F206" i="2"/>
  <c r="O202" i="2"/>
  <c r="F200" i="2"/>
  <c r="O196" i="2"/>
  <c r="F194" i="2"/>
  <c r="O190" i="2"/>
  <c r="F188" i="2"/>
  <c r="O184" i="2"/>
  <c r="O178" i="2"/>
  <c r="F176" i="2"/>
  <c r="O172" i="2"/>
  <c r="F170" i="2"/>
  <c r="O166" i="2"/>
  <c r="O165" i="2"/>
  <c r="F163" i="2"/>
  <c r="O159" i="2"/>
  <c r="O158" i="2"/>
  <c r="O157" i="2"/>
  <c r="F155" i="2"/>
  <c r="F154" i="2"/>
  <c r="F153" i="2"/>
  <c r="O149" i="2"/>
  <c r="O143" i="2"/>
  <c r="F141" i="2"/>
  <c r="O137" i="2"/>
  <c r="F135" i="2"/>
  <c r="O131" i="2"/>
  <c r="F129" i="2"/>
  <c r="O125" i="2"/>
  <c r="F123" i="2"/>
  <c r="O119" i="2"/>
  <c r="O118" i="2"/>
  <c r="O117" i="2"/>
  <c r="F115" i="2"/>
  <c r="F114" i="2"/>
  <c r="F113" i="2"/>
  <c r="O109" i="2"/>
  <c r="F106" i="2"/>
  <c r="F105" i="2"/>
  <c r="F104" i="2"/>
  <c r="O100" i="2"/>
  <c r="O86" i="2"/>
  <c r="O85" i="2"/>
  <c r="O80" i="2"/>
  <c r="O79" i="2"/>
  <c r="O67" i="2"/>
  <c r="O58" i="2"/>
  <c r="O45" i="2"/>
  <c r="O35" i="2"/>
  <c r="O29" i="2"/>
  <c r="O28" i="2"/>
  <c r="O27" i="2"/>
  <c r="O26" i="2"/>
  <c r="O25" i="2"/>
  <c r="O22" i="2"/>
  <c r="O21" i="2"/>
  <c r="O20" i="2"/>
  <c r="O14" i="2"/>
  <c r="O7" i="2"/>
  <c r="B1" i="45"/>
  <c r="I37" i="16"/>
  <c r="H21" i="16"/>
  <c r="B1" i="16"/>
  <c r="B1048" i="14"/>
  <c r="D1047" i="14"/>
  <c r="D1046" i="14"/>
  <c r="D1045" i="14"/>
  <c r="D1044" i="14"/>
  <c r="D1043" i="14"/>
  <c r="D1042" i="14"/>
  <c r="D1041" i="14"/>
  <c r="D1040" i="14"/>
  <c r="D1039" i="14"/>
  <c r="D1038" i="14"/>
  <c r="B1035" i="14"/>
  <c r="H1017" i="14"/>
  <c r="B1" i="14"/>
  <c r="B1048" i="42"/>
  <c r="D1047" i="42"/>
  <c r="D1046" i="42"/>
  <c r="D1045" i="42"/>
  <c r="D1044" i="42"/>
  <c r="D1043" i="42"/>
  <c r="D1042" i="42"/>
  <c r="D1041" i="42"/>
  <c r="D1040" i="42"/>
  <c r="D1039" i="42"/>
  <c r="D1038" i="42"/>
  <c r="B1035" i="42"/>
  <c r="H1017" i="42"/>
  <c r="B1" i="42"/>
  <c r="B16" i="7"/>
  <c r="B16" i="6"/>
  <c r="H1011" i="42"/>
  <c r="H1003" i="42"/>
  <c r="H995" i="42"/>
  <c r="H987" i="42"/>
  <c r="H979" i="42"/>
  <c r="H966" i="42"/>
  <c r="H950" i="42"/>
  <c r="H934" i="42"/>
  <c r="H918" i="42"/>
  <c r="H905" i="42"/>
  <c r="H897" i="42"/>
  <c r="H889" i="42"/>
  <c r="H881" i="42"/>
  <c r="H873" i="42"/>
  <c r="H865" i="42"/>
  <c r="H857" i="42"/>
  <c r="H849" i="42"/>
  <c r="H841" i="42"/>
  <c r="H833" i="42"/>
  <c r="H825" i="42"/>
  <c r="H817" i="42"/>
  <c r="H965" i="42"/>
  <c r="H949" i="42"/>
  <c r="H1016" i="42"/>
  <c r="H1000" i="42"/>
  <c r="H984" i="42"/>
  <c r="H968" i="42"/>
  <c r="H936" i="42"/>
  <c r="H906" i="42"/>
  <c r="H890" i="42"/>
  <c r="H874" i="42"/>
  <c r="H858" i="42"/>
  <c r="H842" i="42"/>
  <c r="H826" i="42"/>
  <c r="H967" i="42"/>
  <c r="H935" i="42"/>
  <c r="H919" i="42"/>
  <c r="I905" i="42"/>
  <c r="I897" i="42"/>
  <c r="I889" i="42"/>
  <c r="I881" i="42"/>
  <c r="I873" i="42"/>
  <c r="I865" i="42"/>
  <c r="I857" i="42"/>
  <c r="I849" i="42"/>
  <c r="I841" i="42"/>
  <c r="I833" i="42"/>
  <c r="I825" i="42"/>
  <c r="I817" i="42"/>
  <c r="H806" i="42"/>
  <c r="H803" i="42"/>
  <c r="H1014" i="42"/>
  <c r="H998" i="42"/>
  <c r="H982" i="42"/>
  <c r="H956" i="42"/>
  <c r="H924" i="42"/>
  <c r="H900" i="42"/>
  <c r="H884" i="42"/>
  <c r="H868" i="42"/>
  <c r="H852" i="42"/>
  <c r="H836" i="42"/>
  <c r="H820" i="42"/>
  <c r="H955" i="42"/>
  <c r="H929" i="42"/>
  <c r="H913" i="42"/>
  <c r="H1009" i="42"/>
  <c r="I1009" i="42" s="1"/>
  <c r="H1001" i="42"/>
  <c r="I1001" i="42" s="1"/>
  <c r="H993" i="42"/>
  <c r="I993" i="42" s="1"/>
  <c r="H985" i="42"/>
  <c r="I985" i="42" s="1"/>
  <c r="H977" i="42"/>
  <c r="I977" i="42" s="1"/>
  <c r="H962" i="42"/>
  <c r="H946" i="42"/>
  <c r="H930" i="42"/>
  <c r="H914" i="42"/>
  <c r="H903" i="42"/>
  <c r="H895" i="42"/>
  <c r="H887" i="42"/>
  <c r="H879" i="42"/>
  <c r="H871" i="42"/>
  <c r="H863" i="42"/>
  <c r="H855" i="42"/>
  <c r="H847" i="42"/>
  <c r="H839" i="42"/>
  <c r="H831" i="42"/>
  <c r="H823" i="42"/>
  <c r="H815" i="42"/>
  <c r="H961" i="42"/>
  <c r="H945" i="42"/>
  <c r="H1012" i="42"/>
  <c r="I1012" i="42" s="1"/>
  <c r="H996" i="42"/>
  <c r="I996" i="42" s="1"/>
  <c r="H980" i="42"/>
  <c r="I980" i="42" s="1"/>
  <c r="H960" i="42"/>
  <c r="H928" i="42"/>
  <c r="H902" i="42"/>
  <c r="I902" i="42" s="1"/>
  <c r="H886" i="42"/>
  <c r="I886" i="42" s="1"/>
  <c r="H870" i="42"/>
  <c r="H854" i="42"/>
  <c r="H838" i="42"/>
  <c r="H822" i="42"/>
  <c r="H959" i="42"/>
  <c r="H931" i="42"/>
  <c r="H915" i="42"/>
  <c r="I903" i="42"/>
  <c r="I895" i="42"/>
  <c r="I887" i="42"/>
  <c r="I879" i="42"/>
  <c r="I871" i="42"/>
  <c r="I863" i="42"/>
  <c r="I855" i="42"/>
  <c r="I847" i="42"/>
  <c r="I839" i="42"/>
  <c r="I831" i="42"/>
  <c r="I823" i="42"/>
  <c r="I815" i="42"/>
  <c r="H802" i="42"/>
  <c r="H799" i="42"/>
  <c r="H1010" i="42"/>
  <c r="H994" i="42"/>
  <c r="H978" i="42"/>
  <c r="H948" i="42"/>
  <c r="H916" i="42"/>
  <c r="H896" i="42"/>
  <c r="H880" i="42"/>
  <c r="H864" i="42"/>
  <c r="H848" i="42"/>
  <c r="H832" i="42"/>
  <c r="H816" i="42"/>
  <c r="H947" i="42"/>
  <c r="H925" i="42"/>
  <c r="H909" i="42"/>
  <c r="I900" i="42"/>
  <c r="I884" i="42"/>
  <c r="I868" i="42"/>
  <c r="I852" i="42"/>
  <c r="I836" i="42"/>
  <c r="I820" i="42"/>
  <c r="H812" i="42"/>
  <c r="H809" i="42"/>
  <c r="H796" i="42"/>
  <c r="H790" i="42"/>
  <c r="H782" i="42"/>
  <c r="H774" i="42"/>
  <c r="H766" i="42"/>
  <c r="H758" i="42"/>
  <c r="H750" i="42"/>
  <c r="H742" i="42"/>
  <c r="H734" i="42"/>
  <c r="H726" i="42"/>
  <c r="H718" i="42"/>
  <c r="H710" i="42"/>
  <c r="H702" i="42"/>
  <c r="H694" i="42"/>
  <c r="H686" i="42"/>
  <c r="H678" i="42"/>
  <c r="H670" i="42"/>
  <c r="H662" i="42"/>
  <c r="H654" i="42"/>
  <c r="H646" i="42"/>
  <c r="H638" i="42"/>
  <c r="H630" i="42"/>
  <c r="H622" i="42"/>
  <c r="H614" i="42"/>
  <c r="H606" i="42"/>
  <c r="H598" i="42"/>
  <c r="H590" i="42"/>
  <c r="H576" i="42"/>
  <c r="H560" i="42"/>
  <c r="H581" i="42"/>
  <c r="H565" i="42"/>
  <c r="H550" i="42"/>
  <c r="H542" i="42"/>
  <c r="H534" i="42"/>
  <c r="H526" i="42"/>
  <c r="H518" i="42"/>
  <c r="H510" i="42"/>
  <c r="H502" i="42"/>
  <c r="H494" i="42"/>
  <c r="H486" i="42"/>
  <c r="H1015" i="42"/>
  <c r="I1015" i="42" s="1"/>
  <c r="H999" i="42"/>
  <c r="I999" i="42" s="1"/>
  <c r="H983" i="42"/>
  <c r="I983" i="42" s="1"/>
  <c r="I1003" i="42"/>
  <c r="I987" i="42"/>
  <c r="H970" i="42"/>
  <c r="H938" i="42"/>
  <c r="H907" i="42"/>
  <c r="H891" i="42"/>
  <c r="H875" i="42"/>
  <c r="H859" i="42"/>
  <c r="H843" i="42"/>
  <c r="H827" i="42"/>
  <c r="H969" i="42"/>
  <c r="H937" i="42"/>
  <c r="H988" i="42"/>
  <c r="H944" i="42"/>
  <c r="H894" i="42"/>
  <c r="I894" i="42" s="1"/>
  <c r="H862" i="42"/>
  <c r="H830" i="42"/>
  <c r="H943" i="42"/>
  <c r="I907" i="42"/>
  <c r="I891" i="42"/>
  <c r="I875" i="42"/>
  <c r="I859" i="42"/>
  <c r="I843" i="42"/>
  <c r="I827" i="42"/>
  <c r="H810" i="42"/>
  <c r="H795" i="42"/>
  <c r="H986" i="42"/>
  <c r="I1000" i="42"/>
  <c r="H964" i="42"/>
  <c r="H904" i="42"/>
  <c r="H872" i="42"/>
  <c r="H840" i="42"/>
  <c r="H963" i="42"/>
  <c r="H917" i="42"/>
  <c r="I896" i="42"/>
  <c r="I880" i="42"/>
  <c r="H805" i="42"/>
  <c r="H792" i="42"/>
  <c r="H784" i="42"/>
  <c r="H772" i="42"/>
  <c r="H762" i="42"/>
  <c r="H752" i="42"/>
  <c r="H740" i="42"/>
  <c r="H730" i="42"/>
  <c r="H720" i="42"/>
  <c r="H708" i="42"/>
  <c r="H698" i="42"/>
  <c r="H688" i="42"/>
  <c r="H676" i="42"/>
  <c r="H666" i="42"/>
  <c r="H656" i="42"/>
  <c r="H644" i="42"/>
  <c r="H634" i="42"/>
  <c r="H624" i="42"/>
  <c r="H612" i="42"/>
  <c r="H602" i="42"/>
  <c r="H592" i="42"/>
  <c r="H572" i="42"/>
  <c r="H552" i="42"/>
  <c r="H569" i="42"/>
  <c r="H548" i="42"/>
  <c r="H538" i="42"/>
  <c r="H528" i="42"/>
  <c r="H516" i="42"/>
  <c r="H506" i="42"/>
  <c r="H496" i="42"/>
  <c r="H484" i="42"/>
  <c r="H476" i="42"/>
  <c r="H468" i="42"/>
  <c r="H460" i="42"/>
  <c r="H452" i="42"/>
  <c r="H444" i="42"/>
  <c r="H436" i="42"/>
  <c r="H428" i="42"/>
  <c r="H420" i="42"/>
  <c r="H412" i="42"/>
  <c r="H404" i="42"/>
  <c r="H396" i="42"/>
  <c r="H1005" i="42"/>
  <c r="H989" i="42"/>
  <c r="H973" i="42"/>
  <c r="I1005" i="42"/>
  <c r="I989" i="42"/>
  <c r="I973" i="42"/>
  <c r="H942" i="42"/>
  <c r="H910" i="42"/>
  <c r="H893" i="42"/>
  <c r="H877" i="42"/>
  <c r="H861" i="42"/>
  <c r="H845" i="42"/>
  <c r="H829" i="42"/>
  <c r="H813" i="42"/>
  <c r="H941" i="42"/>
  <c r="H992" i="42"/>
  <c r="I992" i="42" s="1"/>
  <c r="H952" i="42"/>
  <c r="H898" i="42"/>
  <c r="H866" i="42"/>
  <c r="I866" i="42" s="1"/>
  <c r="H834" i="42"/>
  <c r="I834" i="42" s="1"/>
  <c r="H951" i="42"/>
  <c r="H911" i="42"/>
  <c r="I893" i="42"/>
  <c r="I877" i="42"/>
  <c r="I861" i="42"/>
  <c r="I845" i="42"/>
  <c r="I829" i="42"/>
  <c r="I813" i="42"/>
  <c r="H797" i="42"/>
  <c r="H990" i="42"/>
  <c r="H908" i="42"/>
  <c r="H876" i="42"/>
  <c r="I876" i="42" s="1"/>
  <c r="H844" i="42"/>
  <c r="I844" i="42" s="1"/>
  <c r="H971" i="42"/>
  <c r="H921" i="42"/>
  <c r="I898" i="42"/>
  <c r="I870" i="42"/>
  <c r="I858" i="42"/>
  <c r="I848" i="42"/>
  <c r="I838" i="42"/>
  <c r="I826" i="42"/>
  <c r="I816" i="42"/>
  <c r="H800" i="42"/>
  <c r="H794" i="42"/>
  <c r="H786" i="42"/>
  <c r="H776" i="42"/>
  <c r="H764" i="42"/>
  <c r="H754" i="42"/>
  <c r="H744" i="42"/>
  <c r="H732" i="42"/>
  <c r="H722" i="42"/>
  <c r="H712" i="42"/>
  <c r="H700" i="42"/>
  <c r="H690" i="42"/>
  <c r="H680" i="42"/>
  <c r="H668" i="42"/>
  <c r="H658" i="42"/>
  <c r="H648" i="42"/>
  <c r="H636" i="42"/>
  <c r="H626" i="42"/>
  <c r="H616" i="42"/>
  <c r="H604" i="42"/>
  <c r="H594" i="42"/>
  <c r="H580" i="42"/>
  <c r="H556" i="42"/>
  <c r="H573" i="42"/>
  <c r="H553" i="42"/>
  <c r="H540" i="42"/>
  <c r="H530" i="42"/>
  <c r="H520" i="42"/>
  <c r="H508" i="42"/>
  <c r="H498" i="42"/>
  <c r="H488" i="42"/>
  <c r="H478" i="42"/>
  <c r="H470" i="42"/>
  <c r="H462" i="42"/>
  <c r="H454" i="42"/>
  <c r="H446" i="42"/>
  <c r="H438" i="42"/>
  <c r="H430" i="42"/>
  <c r="H422" i="42"/>
  <c r="H414" i="42"/>
  <c r="H406" i="42"/>
  <c r="H398" i="42"/>
  <c r="H390" i="42"/>
  <c r="H382" i="42"/>
  <c r="H374" i="42"/>
  <c r="H366" i="42"/>
  <c r="H358" i="42"/>
  <c r="H350" i="42"/>
  <c r="H342" i="42"/>
  <c r="H334" i="42"/>
  <c r="H326" i="42"/>
  <c r="H318" i="42"/>
  <c r="H306" i="42"/>
  <c r="H290" i="42"/>
  <c r="H274" i="42"/>
  <c r="H258" i="42"/>
  <c r="H787" i="42"/>
  <c r="H779" i="42"/>
  <c r="H771" i="42"/>
  <c r="H763" i="42"/>
  <c r="H755" i="42"/>
  <c r="H747" i="42"/>
  <c r="H739" i="42"/>
  <c r="H731" i="42"/>
  <c r="H723" i="42"/>
  <c r="H715" i="42"/>
  <c r="H707" i="42"/>
  <c r="H699" i="42"/>
  <c r="H691" i="42"/>
  <c r="H683" i="42"/>
  <c r="H675" i="42"/>
  <c r="H667" i="42"/>
  <c r="H659" i="42"/>
  <c r="H651" i="42"/>
  <c r="H643" i="42"/>
  <c r="H635" i="42"/>
  <c r="H627" i="42"/>
  <c r="H619" i="42"/>
  <c r="H611" i="42"/>
  <c r="H603" i="42"/>
  <c r="H595" i="42"/>
  <c r="H586" i="42"/>
  <c r="H1007" i="42"/>
  <c r="I1007" i="42" s="1"/>
  <c r="H975" i="42"/>
  <c r="I975" i="42" s="1"/>
  <c r="H958" i="42"/>
  <c r="H901" i="42"/>
  <c r="H869" i="42"/>
  <c r="H837" i="42"/>
  <c r="H957" i="42"/>
  <c r="H976" i="42"/>
  <c r="I976" i="42" s="1"/>
  <c r="H882" i="42"/>
  <c r="I882" i="42" s="1"/>
  <c r="H818" i="42"/>
  <c r="I901" i="42"/>
  <c r="I869" i="42"/>
  <c r="I837" i="42"/>
  <c r="H811" i="42"/>
  <c r="H974" i="42"/>
  <c r="H940" i="42"/>
  <c r="H860" i="42"/>
  <c r="I860" i="42" s="1"/>
  <c r="H939" i="42"/>
  <c r="I890" i="42"/>
  <c r="I864" i="42"/>
  <c r="I842" i="42"/>
  <c r="I822" i="42"/>
  <c r="H801" i="42"/>
  <c r="H780" i="42"/>
  <c r="H760" i="42"/>
  <c r="H738" i="42"/>
  <c r="H716" i="42"/>
  <c r="H696" i="42"/>
  <c r="H674" i="42"/>
  <c r="H652" i="42"/>
  <c r="H632" i="42"/>
  <c r="H610" i="42"/>
  <c r="H588" i="42"/>
  <c r="H585" i="42"/>
  <c r="H546" i="42"/>
  <c r="H524" i="42"/>
  <c r="H504" i="42"/>
  <c r="H482" i="42"/>
  <c r="H466" i="42"/>
  <c r="H450" i="42"/>
  <c r="H434" i="42"/>
  <c r="H418" i="42"/>
  <c r="H402" i="42"/>
  <c r="H388" i="42"/>
  <c r="H378" i="42"/>
  <c r="H368" i="42"/>
  <c r="H356" i="42"/>
  <c r="H346" i="42"/>
  <c r="H336" i="42"/>
  <c r="H324" i="42"/>
  <c r="H314" i="42"/>
  <c r="H294" i="42"/>
  <c r="H270" i="42"/>
  <c r="H791" i="42"/>
  <c r="H781" i="42"/>
  <c r="H769" i="42"/>
  <c r="H759" i="42"/>
  <c r="H749" i="42"/>
  <c r="H737" i="42"/>
  <c r="H727" i="42"/>
  <c r="H717" i="42"/>
  <c r="H705" i="42"/>
  <c r="H695" i="42"/>
  <c r="H685" i="42"/>
  <c r="H673" i="42"/>
  <c r="H663" i="42"/>
  <c r="H653" i="42"/>
  <c r="H641" i="42"/>
  <c r="H631" i="42"/>
  <c r="H621" i="42"/>
  <c r="H609" i="42"/>
  <c r="H599" i="42"/>
  <c r="H589" i="42"/>
  <c r="H570" i="42"/>
  <c r="H554" i="42"/>
  <c r="H575" i="42"/>
  <c r="H559" i="42"/>
  <c r="H547" i="42"/>
  <c r="H539" i="42"/>
  <c r="H531" i="42"/>
  <c r="H523" i="42"/>
  <c r="H515" i="42"/>
  <c r="H507" i="42"/>
  <c r="H499" i="42"/>
  <c r="H491" i="42"/>
  <c r="H483" i="42"/>
  <c r="H475" i="42"/>
  <c r="H467" i="42"/>
  <c r="H459" i="42"/>
  <c r="H451" i="42"/>
  <c r="H443" i="42"/>
  <c r="H435" i="42"/>
  <c r="H427" i="42"/>
  <c r="H419" i="42"/>
  <c r="H411" i="42"/>
  <c r="H403" i="42"/>
  <c r="H395" i="42"/>
  <c r="H387" i="42"/>
  <c r="H379" i="42"/>
  <c r="H371" i="42"/>
  <c r="H363" i="42"/>
  <c r="H355" i="42"/>
  <c r="H347" i="42"/>
  <c r="H339" i="42"/>
  <c r="H331" i="42"/>
  <c r="H323" i="42"/>
  <c r="H315" i="42"/>
  <c r="H300" i="42"/>
  <c r="H272" i="42"/>
  <c r="H246" i="42"/>
  <c r="H276" i="42"/>
  <c r="H248" i="42"/>
  <c r="H303" i="42"/>
  <c r="H287" i="42"/>
  <c r="H271" i="42"/>
  <c r="H255" i="42"/>
  <c r="H240" i="42"/>
  <c r="H232" i="42"/>
  <c r="H224" i="42"/>
  <c r="H216" i="42"/>
  <c r="H208" i="42"/>
  <c r="H200" i="42"/>
  <c r="H192" i="42"/>
  <c r="H184" i="42"/>
  <c r="H176" i="42"/>
  <c r="H168" i="42"/>
  <c r="H997" i="42"/>
  <c r="I997" i="42" s="1"/>
  <c r="I995" i="42"/>
  <c r="H954" i="42"/>
  <c r="H899" i="42"/>
  <c r="H867" i="42"/>
  <c r="H835" i="42"/>
  <c r="H953" i="42"/>
  <c r="H972" i="42"/>
  <c r="I972" i="42" s="1"/>
  <c r="H878" i="42"/>
  <c r="I878" i="42" s="1"/>
  <c r="H814" i="42"/>
  <c r="I814" i="42" s="1"/>
  <c r="I899" i="42"/>
  <c r="I867" i="42"/>
  <c r="I835" i="42"/>
  <c r="H807" i="42"/>
  <c r="I1016" i="42"/>
  <c r="H932" i="42"/>
  <c r="H856" i="42"/>
  <c r="I856" i="42" s="1"/>
  <c r="H933" i="42"/>
  <c r="I862" i="42"/>
  <c r="I840" i="42"/>
  <c r="I818" i="42"/>
  <c r="H798" i="42"/>
  <c r="H778" i="42"/>
  <c r="H756" i="42"/>
  <c r="H736" i="42"/>
  <c r="H714" i="42"/>
  <c r="H692" i="42"/>
  <c r="H672" i="42"/>
  <c r="H650" i="42"/>
  <c r="H628" i="42"/>
  <c r="H608" i="42"/>
  <c r="H584" i="42"/>
  <c r="H577" i="42"/>
  <c r="H544" i="42"/>
  <c r="H522" i="42"/>
  <c r="H500" i="42"/>
  <c r="H480" i="42"/>
  <c r="H464" i="42"/>
  <c r="H448" i="42"/>
  <c r="H432" i="42"/>
  <c r="H416" i="42"/>
  <c r="H400" i="42"/>
  <c r="H386" i="42"/>
  <c r="H376" i="42"/>
  <c r="H364" i="42"/>
  <c r="H354" i="42"/>
  <c r="H344" i="42"/>
  <c r="H332" i="42"/>
  <c r="H322" i="42"/>
  <c r="H310" i="42"/>
  <c r="H286" i="42"/>
  <c r="H266" i="42"/>
  <c r="H789" i="42"/>
  <c r="H777" i="42"/>
  <c r="H767" i="42"/>
  <c r="H757" i="42"/>
  <c r="H745" i="42"/>
  <c r="H735" i="42"/>
  <c r="H725" i="42"/>
  <c r="H713" i="42"/>
  <c r="H703" i="42"/>
  <c r="H693" i="42"/>
  <c r="H681" i="42"/>
  <c r="H671" i="42"/>
  <c r="H661" i="42"/>
  <c r="H649" i="42"/>
  <c r="H639" i="42"/>
  <c r="H629" i="42"/>
  <c r="H617" i="42"/>
  <c r="H607" i="42"/>
  <c r="H597" i="42"/>
  <c r="H582" i="42"/>
  <c r="H566" i="42"/>
  <c r="H587" i="42"/>
  <c r="H571" i="42"/>
  <c r="H555" i="42"/>
  <c r="H545" i="42"/>
  <c r="H537" i="42"/>
  <c r="H529" i="42"/>
  <c r="H521" i="42"/>
  <c r="H513" i="42"/>
  <c r="H505" i="42"/>
  <c r="H497" i="42"/>
  <c r="H489" i="42"/>
  <c r="H481" i="42"/>
  <c r="H473" i="42"/>
  <c r="H465" i="42"/>
  <c r="H457" i="42"/>
  <c r="H449" i="42"/>
  <c r="H441" i="42"/>
  <c r="H433" i="42"/>
  <c r="H425" i="42"/>
  <c r="H417" i="42"/>
  <c r="H409" i="42"/>
  <c r="H401" i="42"/>
  <c r="H393" i="42"/>
  <c r="H385" i="42"/>
  <c r="H377" i="42"/>
  <c r="H369" i="42"/>
  <c r="H361" i="42"/>
  <c r="H353" i="42"/>
  <c r="H345" i="42"/>
  <c r="H337" i="42"/>
  <c r="H329" i="42"/>
  <c r="H321" i="42"/>
  <c r="H312" i="42"/>
  <c r="H296" i="42"/>
  <c r="H264" i="42"/>
  <c r="H242" i="42"/>
  <c r="H268" i="42"/>
  <c r="H244" i="42"/>
  <c r="H299" i="42"/>
  <c r="H283" i="42"/>
  <c r="H267" i="42"/>
  <c r="H251" i="42"/>
  <c r="H238" i="42"/>
  <c r="H230" i="42"/>
  <c r="H222" i="42"/>
  <c r="H214" i="42"/>
  <c r="H206" i="42"/>
  <c r="H198" i="42"/>
  <c r="H190" i="42"/>
  <c r="H182" i="42"/>
  <c r="H174" i="42"/>
  <c r="H166" i="42"/>
  <c r="H158" i="42"/>
  <c r="H150" i="42"/>
  <c r="H142" i="42"/>
  <c r="H134" i="42"/>
  <c r="H126" i="42"/>
  <c r="H118" i="42"/>
  <c r="H110" i="42"/>
  <c r="H102" i="42"/>
  <c r="H94" i="42"/>
  <c r="H86" i="42"/>
  <c r="H78" i="42"/>
  <c r="H70" i="42"/>
  <c r="H309" i="42"/>
  <c r="H277" i="42"/>
  <c r="H245" i="42"/>
  <c r="H227" i="42"/>
  <c r="H211" i="42"/>
  <c r="H195" i="42"/>
  <c r="H179" i="42"/>
  <c r="H163" i="42"/>
  <c r="H147" i="42"/>
  <c r="H131" i="42"/>
  <c r="H115" i="42"/>
  <c r="H99" i="42"/>
  <c r="H83" i="42"/>
  <c r="H67" i="42"/>
  <c r="H48" i="42"/>
  <c r="H62" i="42"/>
  <c r="H289" i="42"/>
  <c r="H257" i="42"/>
  <c r="H233" i="42"/>
  <c r="H217" i="42"/>
  <c r="H201" i="42"/>
  <c r="H185" i="42"/>
  <c r="H169" i="42"/>
  <c r="H153" i="42"/>
  <c r="H137" i="42"/>
  <c r="H121" i="42"/>
  <c r="H105" i="42"/>
  <c r="H89" i="42"/>
  <c r="H73" i="42"/>
  <c r="H54" i="42"/>
  <c r="H18" i="42"/>
  <c r="H51" i="42"/>
  <c r="H53" i="42"/>
  <c r="H17" i="42"/>
  <c r="I53" i="42"/>
  <c r="I51" i="42"/>
  <c r="I17" i="42"/>
  <c r="I62" i="42"/>
  <c r="H991" i="42"/>
  <c r="I991" i="42" s="1"/>
  <c r="H926" i="42"/>
  <c r="H885" i="42"/>
  <c r="H853" i="42"/>
  <c r="H821" i="42"/>
  <c r="H1008" i="42"/>
  <c r="I1008" i="42" s="1"/>
  <c r="H920" i="42"/>
  <c r="H850" i="42"/>
  <c r="H927" i="42"/>
  <c r="I885" i="42"/>
  <c r="I853" i="42"/>
  <c r="I821" i="42"/>
  <c r="H1006" i="42"/>
  <c r="I988" i="42"/>
  <c r="H892" i="42"/>
  <c r="I892" i="42" s="1"/>
  <c r="H828" i="42"/>
  <c r="I828" i="42" s="1"/>
  <c r="H1013" i="42"/>
  <c r="I1013" i="42" s="1"/>
  <c r="I979" i="42"/>
  <c r="H819" i="42"/>
  <c r="H923" i="42"/>
  <c r="H1002" i="42"/>
  <c r="I906" i="42"/>
  <c r="I854" i="42"/>
  <c r="H808" i="42"/>
  <c r="H770" i="42"/>
  <c r="H728" i="42"/>
  <c r="H684" i="42"/>
  <c r="H642" i="42"/>
  <c r="H600" i="42"/>
  <c r="H561" i="42"/>
  <c r="H514" i="42"/>
  <c r="H474" i="42"/>
  <c r="H442" i="42"/>
  <c r="H410" i="42"/>
  <c r="H384" i="42"/>
  <c r="H362" i="42"/>
  <c r="H340" i="42"/>
  <c r="H320" i="42"/>
  <c r="H282" i="42"/>
  <c r="H785" i="42"/>
  <c r="H765" i="42"/>
  <c r="H743" i="42"/>
  <c r="H721" i="42"/>
  <c r="H701" i="42"/>
  <c r="H679" i="42"/>
  <c r="H657" i="42"/>
  <c r="H637" i="42"/>
  <c r="H615" i="42"/>
  <c r="H593" i="42"/>
  <c r="H562" i="42"/>
  <c r="H567" i="42"/>
  <c r="H543" i="42"/>
  <c r="H527" i="42"/>
  <c r="H511" i="42"/>
  <c r="H495" i="42"/>
  <c r="H479" i="42"/>
  <c r="H463" i="42"/>
  <c r="H447" i="42"/>
  <c r="H431" i="42"/>
  <c r="H415" i="42"/>
  <c r="H399" i="42"/>
  <c r="H383" i="42"/>
  <c r="H367" i="42"/>
  <c r="H351" i="42"/>
  <c r="H335" i="42"/>
  <c r="H319" i="42"/>
  <c r="H288" i="42"/>
  <c r="H292" i="42"/>
  <c r="H311" i="42"/>
  <c r="H279" i="42"/>
  <c r="H247" i="42"/>
  <c r="H228" i="42"/>
  <c r="H212" i="42"/>
  <c r="H196" i="42"/>
  <c r="H180" i="42"/>
  <c r="H164" i="42"/>
  <c r="H154" i="42"/>
  <c r="H144" i="42"/>
  <c r="H132" i="42"/>
  <c r="H122" i="42"/>
  <c r="H112" i="42"/>
  <c r="H100" i="42"/>
  <c r="H90" i="42"/>
  <c r="H80" i="42"/>
  <c r="H68" i="42"/>
  <c r="H293" i="42"/>
  <c r="H253" i="42"/>
  <c r="H223" i="42"/>
  <c r="H203" i="42"/>
  <c r="H183" i="42"/>
  <c r="H159" i="42"/>
  <c r="H139" i="42"/>
  <c r="H119" i="42"/>
  <c r="H95" i="42"/>
  <c r="H75" i="42"/>
  <c r="H52" i="42"/>
  <c r="H313" i="42"/>
  <c r="H273" i="42"/>
  <c r="H237" i="42"/>
  <c r="H213" i="42"/>
  <c r="H193" i="42"/>
  <c r="H173" i="42"/>
  <c r="H149" i="42"/>
  <c r="H129" i="42"/>
  <c r="H109" i="42"/>
  <c r="H85" i="42"/>
  <c r="H65" i="42"/>
  <c r="H42" i="42"/>
  <c r="H47" i="42"/>
  <c r="H41" i="42"/>
  <c r="I52" i="42"/>
  <c r="H519" i="42"/>
  <c r="H423" i="42"/>
  <c r="H391" i="42"/>
  <c r="H359" i="42"/>
  <c r="H327" i="42"/>
  <c r="H256" i="42"/>
  <c r="H295" i="42"/>
  <c r="H236" i="42"/>
  <c r="H204" i="42"/>
  <c r="H188" i="42"/>
  <c r="H160" i="42"/>
  <c r="H138" i="42"/>
  <c r="H128" i="42"/>
  <c r="H106" i="42"/>
  <c r="H84" i="42"/>
  <c r="H64" i="42"/>
  <c r="H269" i="42"/>
  <c r="H215" i="42"/>
  <c r="H171" i="42"/>
  <c r="H127" i="42"/>
  <c r="H107" i="42"/>
  <c r="H60" i="42"/>
  <c r="I60" i="42" s="1"/>
  <c r="H297" i="42"/>
  <c r="H225" i="42"/>
  <c r="H181" i="42"/>
  <c r="H141" i="42"/>
  <c r="H97" i="42"/>
  <c r="H77" i="42"/>
  <c r="H59" i="42"/>
  <c r="H49" i="42"/>
  <c r="I49" i="42"/>
  <c r="I872" i="42"/>
  <c r="H746" i="42"/>
  <c r="H618" i="42"/>
  <c r="H532" i="42"/>
  <c r="H456" i="42"/>
  <c r="H392" i="42"/>
  <c r="H348" i="42"/>
  <c r="H298" i="42"/>
  <c r="H773" i="42"/>
  <c r="H729" i="42"/>
  <c r="H687" i="42"/>
  <c r="H645" i="42"/>
  <c r="H601" i="42"/>
  <c r="H579" i="42"/>
  <c r="H533" i="42"/>
  <c r="H501" i="42"/>
  <c r="H469" i="42"/>
  <c r="H437" i="42"/>
  <c r="H405" i="42"/>
  <c r="H373" i="42"/>
  <c r="H341" i="42"/>
  <c r="H304" i="42"/>
  <c r="H252" i="42"/>
  <c r="H259" i="42"/>
  <c r="H218" i="42"/>
  <c r="H186" i="42"/>
  <c r="H156" i="42"/>
  <c r="H136" i="42"/>
  <c r="H114" i="42"/>
  <c r="H92" i="42"/>
  <c r="H72" i="42"/>
  <c r="H261" i="42"/>
  <c r="H207" i="42"/>
  <c r="H167" i="42"/>
  <c r="H143" i="42"/>
  <c r="H103" i="42"/>
  <c r="H56" i="42"/>
  <c r="H281" i="42"/>
  <c r="H221" i="42"/>
  <c r="H177" i="42"/>
  <c r="H113" i="42"/>
  <c r="H69" i="42"/>
  <c r="H55" i="42"/>
  <c r="I55" i="42" s="1"/>
  <c r="H45" i="42"/>
  <c r="I45" i="42" s="1"/>
  <c r="H981" i="42"/>
  <c r="I981" i="42" s="1"/>
  <c r="H922" i="42"/>
  <c r="H1004" i="42"/>
  <c r="I1004" i="42" s="1"/>
  <c r="I984" i="42"/>
  <c r="I904" i="42"/>
  <c r="I850" i="42"/>
  <c r="H804" i="42"/>
  <c r="H768" i="42"/>
  <c r="H724" i="42"/>
  <c r="H682" i="42"/>
  <c r="H640" i="42"/>
  <c r="H596" i="42"/>
  <c r="H557" i="42"/>
  <c r="H512" i="42"/>
  <c r="H472" i="42"/>
  <c r="H440" i="42"/>
  <c r="H408" i="42"/>
  <c r="H380" i="42"/>
  <c r="H360" i="42"/>
  <c r="H338" i="42"/>
  <c r="H316" i="42"/>
  <c r="H278" i="42"/>
  <c r="H783" i="42"/>
  <c r="H761" i="42"/>
  <c r="H741" i="42"/>
  <c r="H719" i="42"/>
  <c r="H697" i="42"/>
  <c r="H677" i="42"/>
  <c r="H655" i="42"/>
  <c r="H633" i="42"/>
  <c r="H613" i="42"/>
  <c r="H591" i="42"/>
  <c r="H558" i="42"/>
  <c r="H563" i="42"/>
  <c r="H541" i="42"/>
  <c r="H525" i="42"/>
  <c r="H509" i="42"/>
  <c r="H493" i="42"/>
  <c r="H477" i="42"/>
  <c r="H461" i="42"/>
  <c r="H445" i="42"/>
  <c r="H429" i="42"/>
  <c r="H413" i="42"/>
  <c r="H397" i="42"/>
  <c r="H381" i="42"/>
  <c r="H365" i="42"/>
  <c r="H349" i="42"/>
  <c r="H333" i="42"/>
  <c r="H317" i="42"/>
  <c r="H280" i="42"/>
  <c r="H284" i="42"/>
  <c r="H307" i="42"/>
  <c r="H275" i="42"/>
  <c r="H243" i="42"/>
  <c r="H226" i="42"/>
  <c r="H210" i="42"/>
  <c r="H194" i="42"/>
  <c r="H178" i="42"/>
  <c r="H162" i="42"/>
  <c r="H152" i="42"/>
  <c r="H140" i="42"/>
  <c r="H130" i="42"/>
  <c r="H120" i="42"/>
  <c r="H108" i="42"/>
  <c r="H98" i="42"/>
  <c r="H88" i="42"/>
  <c r="H76" i="42"/>
  <c r="H66" i="42"/>
  <c r="H285" i="42"/>
  <c r="H239" i="42"/>
  <c r="H219" i="42"/>
  <c r="H199" i="42"/>
  <c r="H175" i="42"/>
  <c r="H155" i="42"/>
  <c r="H135" i="42"/>
  <c r="H111" i="42"/>
  <c r="H91" i="42"/>
  <c r="H71" i="42"/>
  <c r="H44" i="42"/>
  <c r="I44" i="42" s="1"/>
  <c r="H305" i="42"/>
  <c r="H265" i="42"/>
  <c r="H229" i="42"/>
  <c r="H209" i="42"/>
  <c r="H189" i="42"/>
  <c r="H165" i="42"/>
  <c r="H145" i="42"/>
  <c r="H125" i="42"/>
  <c r="H101" i="42"/>
  <c r="H81" i="42"/>
  <c r="H58" i="42"/>
  <c r="I58" i="42" s="1"/>
  <c r="H63" i="42"/>
  <c r="H43" i="42"/>
  <c r="H57" i="42"/>
  <c r="I57" i="42" s="1"/>
  <c r="I59" i="42"/>
  <c r="I54" i="42"/>
  <c r="I43" i="42"/>
  <c r="I41" i="42"/>
  <c r="I48" i="42"/>
  <c r="H883" i="42"/>
  <c r="I883" i="42" s="1"/>
  <c r="H912" i="42"/>
  <c r="H888" i="42"/>
  <c r="I888" i="42" s="1"/>
  <c r="I874" i="42"/>
  <c r="I832" i="42"/>
  <c r="H793" i="42"/>
  <c r="H748" i="42"/>
  <c r="H706" i="42"/>
  <c r="H664" i="42"/>
  <c r="H620" i="42"/>
  <c r="H568" i="42"/>
  <c r="H536" i="42"/>
  <c r="H492" i="42"/>
  <c r="H458" i="42"/>
  <c r="H426" i="42"/>
  <c r="H394" i="42"/>
  <c r="H372" i="42"/>
  <c r="H352" i="42"/>
  <c r="H330" i="42"/>
  <c r="H302" i="42"/>
  <c r="H262" i="42"/>
  <c r="H775" i="42"/>
  <c r="H753" i="42"/>
  <c r="H733" i="42"/>
  <c r="H711" i="42"/>
  <c r="H689" i="42"/>
  <c r="H669" i="42"/>
  <c r="H647" i="42"/>
  <c r="H625" i="42"/>
  <c r="H605" i="42"/>
  <c r="H578" i="42"/>
  <c r="H583" i="42"/>
  <c r="H551" i="42"/>
  <c r="H535" i="42"/>
  <c r="H503" i="42"/>
  <c r="H487" i="42"/>
  <c r="H471" i="42"/>
  <c r="H455" i="42"/>
  <c r="H439" i="42"/>
  <c r="H407" i="42"/>
  <c r="H375" i="42"/>
  <c r="H343" i="42"/>
  <c r="H308" i="42"/>
  <c r="H260" i="42"/>
  <c r="H263" i="42"/>
  <c r="H220" i="42"/>
  <c r="H172" i="42"/>
  <c r="H148" i="42"/>
  <c r="H116" i="42"/>
  <c r="H96" i="42"/>
  <c r="H74" i="42"/>
  <c r="H235" i="42"/>
  <c r="H191" i="42"/>
  <c r="H151" i="42"/>
  <c r="H87" i="42"/>
  <c r="H40" i="42"/>
  <c r="I40" i="42" s="1"/>
  <c r="H249" i="42"/>
  <c r="H205" i="42"/>
  <c r="H161" i="42"/>
  <c r="H117" i="42"/>
  <c r="H50" i="42"/>
  <c r="I50" i="42" s="1"/>
  <c r="I18" i="42"/>
  <c r="I56" i="42"/>
  <c r="I1011" i="42"/>
  <c r="H851" i="42"/>
  <c r="I851" i="42" s="1"/>
  <c r="H846" i="42"/>
  <c r="I846" i="42" s="1"/>
  <c r="I819" i="42"/>
  <c r="H824" i="42"/>
  <c r="I824" i="42" s="1"/>
  <c r="I830" i="42"/>
  <c r="H788" i="42"/>
  <c r="H704" i="42"/>
  <c r="H660" i="42"/>
  <c r="H564" i="42"/>
  <c r="H490" i="42"/>
  <c r="H424" i="42"/>
  <c r="H370" i="42"/>
  <c r="H328" i="42"/>
  <c r="H254" i="42"/>
  <c r="H751" i="42"/>
  <c r="H709" i="42"/>
  <c r="H665" i="42"/>
  <c r="H623" i="42"/>
  <c r="H574" i="42"/>
  <c r="H549" i="42"/>
  <c r="H517" i="42"/>
  <c r="H485" i="42"/>
  <c r="H453" i="42"/>
  <c r="H421" i="42"/>
  <c r="H389" i="42"/>
  <c r="H357" i="42"/>
  <c r="H325" i="42"/>
  <c r="H250" i="42"/>
  <c r="H291" i="42"/>
  <c r="H234" i="42"/>
  <c r="H202" i="42"/>
  <c r="H170" i="42"/>
  <c r="H146" i="42"/>
  <c r="H124" i="42"/>
  <c r="H104" i="42"/>
  <c r="H82" i="42"/>
  <c r="H301" i="42"/>
  <c r="H231" i="42"/>
  <c r="H187" i="42"/>
  <c r="H123" i="42"/>
  <c r="H79" i="42"/>
  <c r="H61" i="42"/>
  <c r="H241" i="42"/>
  <c r="H197" i="42"/>
  <c r="H157" i="42"/>
  <c r="H133" i="42"/>
  <c r="H93" i="42"/>
  <c r="H46" i="42"/>
  <c r="I46" i="42" s="1"/>
  <c r="I61" i="42"/>
  <c r="I47" i="42"/>
  <c r="I42" i="42"/>
  <c r="H38" i="42"/>
  <c r="I38" i="42" s="1"/>
  <c r="H37" i="42"/>
  <c r="I37" i="42" s="1"/>
  <c r="H35" i="42"/>
  <c r="H36" i="42"/>
  <c r="I36" i="42"/>
  <c r="I35" i="42"/>
  <c r="H32" i="42"/>
  <c r="H33" i="42"/>
  <c r="I33" i="42"/>
  <c r="I32" i="42"/>
  <c r="H34" i="42"/>
  <c r="I34" i="42" s="1"/>
  <c r="H31" i="42"/>
  <c r="I31" i="42"/>
  <c r="H1015" i="14"/>
  <c r="H1007" i="14"/>
  <c r="H1010" i="14"/>
  <c r="H1008" i="14"/>
  <c r="H989" i="14"/>
  <c r="H973" i="14"/>
  <c r="H957" i="14"/>
  <c r="H941" i="14"/>
  <c r="H925" i="14"/>
  <c r="H909" i="14"/>
  <c r="H893" i="14"/>
  <c r="H874" i="14"/>
  <c r="H822" i="14"/>
  <c r="H782" i="14"/>
  <c r="H762" i="14"/>
  <c r="H746" i="14"/>
  <c r="H730" i="14"/>
  <c r="H714" i="14"/>
  <c r="H697" i="14"/>
  <c r="H686" i="14"/>
  <c r="H667" i="14"/>
  <c r="H651" i="14"/>
  <c r="H635" i="14"/>
  <c r="H619" i="14"/>
  <c r="H603" i="14"/>
  <c r="H587" i="14"/>
  <c r="H571" i="14"/>
  <c r="H555" i="14"/>
  <c r="H539" i="14"/>
  <c r="H995" i="14"/>
  <c r="H979" i="14"/>
  <c r="H963" i="14"/>
  <c r="H947" i="14"/>
  <c r="H931" i="14"/>
  <c r="H915" i="14"/>
  <c r="H899" i="14"/>
  <c r="H883" i="14"/>
  <c r="H847" i="14"/>
  <c r="H790" i="14"/>
  <c r="H768" i="14"/>
  <c r="H752" i="14"/>
  <c r="H736" i="14"/>
  <c r="H720" i="14"/>
  <c r="H704" i="14"/>
  <c r="H698" i="14"/>
  <c r="H673" i="14"/>
  <c r="H657" i="14"/>
  <c r="H641" i="14"/>
  <c r="H625" i="14"/>
  <c r="H609" i="14"/>
  <c r="H593" i="14"/>
  <c r="H577" i="14"/>
  <c r="H561" i="14"/>
  <c r="H545" i="14"/>
  <c r="H529" i="14"/>
  <c r="H513" i="14"/>
  <c r="H497" i="14"/>
  <c r="H481" i="14"/>
  <c r="H449" i="14"/>
  <c r="H462" i="14"/>
  <c r="H1013" i="14"/>
  <c r="H1005" i="14"/>
  <c r="H1006" i="14"/>
  <c r="H1004" i="14"/>
  <c r="H985" i="14"/>
  <c r="H969" i="14"/>
  <c r="H953" i="14"/>
  <c r="H937" i="14"/>
  <c r="H921" i="14"/>
  <c r="H905" i="14"/>
  <c r="H889" i="14"/>
  <c r="H868" i="14"/>
  <c r="H811" i="14"/>
  <c r="H777" i="14"/>
  <c r="H758" i="14"/>
  <c r="H742" i="14"/>
  <c r="H726" i="14"/>
  <c r="H710" i="14"/>
  <c r="H689" i="14"/>
  <c r="H679" i="14"/>
  <c r="H663" i="14"/>
  <c r="H647" i="14"/>
  <c r="H631" i="14"/>
  <c r="H615" i="14"/>
  <c r="H599" i="14"/>
  <c r="H583" i="14"/>
  <c r="H567" i="14"/>
  <c r="H551" i="14"/>
  <c r="H535" i="14"/>
  <c r="H991" i="14"/>
  <c r="H975" i="14"/>
  <c r="H959" i="14"/>
  <c r="H943" i="14"/>
  <c r="H927" i="14"/>
  <c r="H911" i="14"/>
  <c r="H895" i="14"/>
  <c r="H878" i="14"/>
  <c r="H840" i="14"/>
  <c r="H785" i="14"/>
  <c r="H764" i="14"/>
  <c r="H748" i="14"/>
  <c r="H732" i="14"/>
  <c r="H716" i="14"/>
  <c r="H701" i="14"/>
  <c r="H690" i="14"/>
  <c r="H669" i="14"/>
  <c r="H653" i="14"/>
  <c r="H637" i="14"/>
  <c r="H621" i="14"/>
  <c r="H605" i="14"/>
  <c r="H589" i="14"/>
  <c r="H573" i="14"/>
  <c r="H557" i="14"/>
  <c r="H541" i="14"/>
  <c r="H525" i="14"/>
  <c r="H509" i="14"/>
  <c r="H493" i="14"/>
  <c r="H473" i="14"/>
  <c r="H441" i="14"/>
  <c r="H454" i="14"/>
  <c r="H998" i="14"/>
  <c r="H982" i="14"/>
  <c r="H966" i="14"/>
  <c r="H950" i="14"/>
  <c r="H934" i="14"/>
  <c r="H503" i="14"/>
  <c r="H461" i="14"/>
  <c r="H976" i="14"/>
  <c r="H944" i="14"/>
  <c r="H922" i="14"/>
  <c r="H906" i="14"/>
  <c r="H890" i="14"/>
  <c r="H869" i="14"/>
  <c r="H813" i="14"/>
  <c r="H778" i="14"/>
  <c r="H759" i="14"/>
  <c r="H743" i="14"/>
  <c r="H727" i="14"/>
  <c r="H711" i="14"/>
  <c r="I847" i="14"/>
  <c r="I790" i="14"/>
  <c r="I768" i="14"/>
  <c r="I752" i="14"/>
  <c r="I736" i="14"/>
  <c r="I720" i="14"/>
  <c r="I704" i="14"/>
  <c r="H696" i="14"/>
  <c r="H672" i="14"/>
  <c r="H656" i="14"/>
  <c r="H640" i="14"/>
  <c r="H624" i="14"/>
  <c r="H608" i="14"/>
  <c r="H592" i="14"/>
  <c r="H576" i="14"/>
  <c r="H560" i="14"/>
  <c r="H540" i="14"/>
  <c r="H508" i="14"/>
  <c r="H471" i="14"/>
  <c r="H452" i="14"/>
  <c r="H428" i="14"/>
  <c r="H412" i="14"/>
  <c r="H396" i="14"/>
  <c r="H380" i="14"/>
  <c r="H364" i="14"/>
  <c r="H348" i="14"/>
  <c r="H332" i="14"/>
  <c r="H316" i="14"/>
  <c r="H300" i="14"/>
  <c r="H284" i="14"/>
  <c r="H268" i="14"/>
  <c r="H252" i="14"/>
  <c r="H236" i="14"/>
  <c r="H220" i="14"/>
  <c r="H204" i="14"/>
  <c r="H141" i="14"/>
  <c r="H125" i="14"/>
  <c r="H57" i="14"/>
  <c r="H41" i="14"/>
  <c r="H25" i="14"/>
  <c r="H826" i="14"/>
  <c r="H774" i="14"/>
  <c r="H146" i="14"/>
  <c r="H815" i="14"/>
  <c r="I826" i="14"/>
  <c r="H1009" i="14"/>
  <c r="H1012" i="14"/>
  <c r="H977" i="14"/>
  <c r="H945" i="14"/>
  <c r="H913" i="14"/>
  <c r="H881" i="14"/>
  <c r="H787" i="14"/>
  <c r="H750" i="14"/>
  <c r="H718" i="14"/>
  <c r="H694" i="14"/>
  <c r="H655" i="14"/>
  <c r="H623" i="14"/>
  <c r="H591" i="14"/>
  <c r="H559" i="14"/>
  <c r="H999" i="14"/>
  <c r="H967" i="14"/>
  <c r="H935" i="14"/>
  <c r="H903" i="14"/>
  <c r="H861" i="14"/>
  <c r="H775" i="14"/>
  <c r="H740" i="14"/>
  <c r="H708" i="14"/>
  <c r="H677" i="14"/>
  <c r="H645" i="14"/>
  <c r="H613" i="14"/>
  <c r="H581" i="14"/>
  <c r="H549" i="14"/>
  <c r="H517" i="14"/>
  <c r="H485" i="14"/>
  <c r="H470" i="14"/>
  <c r="H994" i="14"/>
  <c r="H974" i="14"/>
  <c r="H954" i="14"/>
  <c r="H527" i="14"/>
  <c r="H487" i="14"/>
  <c r="H458" i="14"/>
  <c r="H984" i="14"/>
  <c r="H936" i="14"/>
  <c r="H914" i="14"/>
  <c r="H894" i="14"/>
  <c r="H853" i="14"/>
  <c r="H788" i="14"/>
  <c r="H763" i="14"/>
  <c r="H739" i="14"/>
  <c r="H719" i="14"/>
  <c r="I861" i="14"/>
  <c r="I785" i="14"/>
  <c r="I740" i="14"/>
  <c r="I716" i="14"/>
  <c r="H691" i="14"/>
  <c r="H676" i="14"/>
  <c r="H652" i="14"/>
  <c r="H632" i="14"/>
  <c r="H612" i="14"/>
  <c r="H588" i="14"/>
  <c r="H568" i="14"/>
  <c r="H548" i="14"/>
  <c r="H500" i="14"/>
  <c r="H439" i="14"/>
  <c r="H432" i="14"/>
  <c r="H408" i="14"/>
  <c r="H388" i="14"/>
  <c r="H368" i="14"/>
  <c r="H344" i="14"/>
  <c r="H324" i="14"/>
  <c r="H304" i="14"/>
  <c r="H280" i="14"/>
  <c r="H260" i="14"/>
  <c r="H240" i="14"/>
  <c r="H216" i="14"/>
  <c r="H189" i="14"/>
  <c r="H149" i="14"/>
  <c r="H121" i="14"/>
  <c r="H49" i="14"/>
  <c r="H29" i="14"/>
  <c r="H800" i="14"/>
  <c r="H194" i="14"/>
  <c r="H154" i="14"/>
  <c r="H835" i="14"/>
  <c r="H801" i="14"/>
  <c r="H871" i="14"/>
  <c r="H530" i="14"/>
  <c r="H498" i="14"/>
  <c r="H451" i="14"/>
  <c r="H442" i="14"/>
  <c r="H423" i="14"/>
  <c r="H407" i="14"/>
  <c r="H391" i="14"/>
  <c r="H375" i="14"/>
  <c r="H359" i="14"/>
  <c r="H343" i="14"/>
  <c r="H327" i="14"/>
  <c r="H311" i="14"/>
  <c r="H295" i="14"/>
  <c r="H279" i="14"/>
  <c r="H263" i="14"/>
  <c r="H247" i="14"/>
  <c r="H231" i="14"/>
  <c r="H215" i="14"/>
  <c r="H195" i="14"/>
  <c r="H163" i="14"/>
  <c r="H136" i="14"/>
  <c r="H120" i="14"/>
  <c r="H52" i="14"/>
  <c r="H36" i="14"/>
  <c r="H856" i="14"/>
  <c r="H196" i="14"/>
  <c r="H164" i="14"/>
  <c r="I136" i="14"/>
  <c r="I120" i="14"/>
  <c r="H515" i="14"/>
  <c r="H483" i="14"/>
  <c r="H466" i="14"/>
  <c r="H988" i="14"/>
  <c r="H956" i="14"/>
  <c r="H928" i="14"/>
  <c r="H912" i="14"/>
  <c r="H896" i="14"/>
  <c r="H879" i="14"/>
  <c r="H841" i="14"/>
  <c r="H786" i="14"/>
  <c r="H765" i="14"/>
  <c r="H749" i="14"/>
  <c r="H733" i="14"/>
  <c r="H1011" i="14"/>
  <c r="H1002" i="14"/>
  <c r="H1016" i="14"/>
  <c r="H981" i="14"/>
  <c r="H949" i="14"/>
  <c r="H917" i="14"/>
  <c r="H885" i="14"/>
  <c r="H793" i="14"/>
  <c r="H754" i="14"/>
  <c r="H722" i="14"/>
  <c r="H681" i="14"/>
  <c r="H659" i="14"/>
  <c r="H627" i="14"/>
  <c r="H595" i="14"/>
  <c r="H563" i="14"/>
  <c r="H531" i="14"/>
  <c r="H971" i="14"/>
  <c r="H939" i="14"/>
  <c r="H907" i="14"/>
  <c r="H872" i="14"/>
  <c r="H779" i="14"/>
  <c r="H744" i="14"/>
  <c r="H712" i="14"/>
  <c r="H682" i="14"/>
  <c r="H649" i="14"/>
  <c r="H617" i="14"/>
  <c r="H585" i="14"/>
  <c r="H553" i="14"/>
  <c r="H521" i="14"/>
  <c r="H489" i="14"/>
  <c r="H478" i="14"/>
  <c r="H978" i="14"/>
  <c r="H958" i="14"/>
  <c r="H938" i="14"/>
  <c r="H495" i="14"/>
  <c r="H474" i="14"/>
  <c r="H992" i="14"/>
  <c r="H952" i="14"/>
  <c r="H918" i="14"/>
  <c r="H898" i="14"/>
  <c r="H877" i="14"/>
  <c r="H794" i="14"/>
  <c r="H767" i="14"/>
  <c r="H747" i="14"/>
  <c r="H723" i="14"/>
  <c r="H703" i="14"/>
  <c r="I764" i="14"/>
  <c r="I744" i="14"/>
  <c r="H699" i="14"/>
  <c r="H680" i="14"/>
  <c r="H660" i="14"/>
  <c r="H636" i="14"/>
  <c r="H616" i="14"/>
  <c r="H596" i="14"/>
  <c r="H572" i="14"/>
  <c r="H552" i="14"/>
  <c r="H516" i="14"/>
  <c r="H455" i="14"/>
  <c r="H436" i="14"/>
  <c r="H416" i="14"/>
  <c r="H392" i="14"/>
  <c r="H372" i="14"/>
  <c r="H352" i="14"/>
  <c r="H328" i="14"/>
  <c r="H308" i="14"/>
  <c r="H288" i="14"/>
  <c r="H264" i="14"/>
  <c r="H244" i="14"/>
  <c r="H224" i="14"/>
  <c r="H197" i="14"/>
  <c r="H157" i="14"/>
  <c r="H129" i="14"/>
  <c r="H53" i="14"/>
  <c r="H33" i="14"/>
  <c r="H834" i="14"/>
  <c r="H202" i="14"/>
  <c r="H162" i="14"/>
  <c r="H839" i="14"/>
  <c r="H809" i="14"/>
  <c r="H538" i="14"/>
  <c r="H506" i="14"/>
  <c r="H467" i="14"/>
  <c r="H450" i="14"/>
  <c r="H427" i="14"/>
  <c r="H411" i="14"/>
  <c r="H395" i="14"/>
  <c r="H379" i="14"/>
  <c r="H363" i="14"/>
  <c r="H347" i="14"/>
  <c r="H331" i="14"/>
  <c r="H315" i="14"/>
  <c r="H299" i="14"/>
  <c r="H283" i="14"/>
  <c r="H267" i="14"/>
  <c r="H251" i="14"/>
  <c r="H235" i="14"/>
  <c r="H219" i="14"/>
  <c r="H203" i="14"/>
  <c r="H140" i="14"/>
  <c r="H124" i="14"/>
  <c r="H56" i="14"/>
  <c r="H40" i="14"/>
  <c r="H24" i="14"/>
  <c r="H802" i="14"/>
  <c r="I802" i="14" s="1"/>
  <c r="I774" i="14"/>
  <c r="H993" i="14"/>
  <c r="H929" i="14"/>
  <c r="H844" i="14"/>
  <c r="H734" i="14"/>
  <c r="H671" i="14"/>
  <c r="H607" i="14"/>
  <c r="H543" i="14"/>
  <c r="H951" i="14"/>
  <c r="H887" i="14"/>
  <c r="H756" i="14"/>
  <c r="H685" i="14"/>
  <c r="H629" i="14"/>
  <c r="H565" i="14"/>
  <c r="H501" i="14"/>
  <c r="H970" i="14"/>
  <c r="H519" i="14"/>
  <c r="H930" i="14"/>
  <c r="H886" i="14"/>
  <c r="H784" i="14"/>
  <c r="H735" i="14"/>
  <c r="I840" i="14"/>
  <c r="I756" i="14"/>
  <c r="I712" i="14"/>
  <c r="H668" i="14"/>
  <c r="H628" i="14"/>
  <c r="H584" i="14"/>
  <c r="H532" i="14"/>
  <c r="H468" i="14"/>
  <c r="H404" i="14"/>
  <c r="H360" i="14"/>
  <c r="H320" i="14"/>
  <c r="H276" i="14"/>
  <c r="H232" i="14"/>
  <c r="H117" i="14"/>
  <c r="H21" i="14"/>
  <c r="H186" i="14"/>
  <c r="H827" i="14"/>
  <c r="H514" i="14"/>
  <c r="H464" i="14"/>
  <c r="H415" i="14"/>
  <c r="H383" i="14"/>
  <c r="H351" i="14"/>
  <c r="H319" i="14"/>
  <c r="H287" i="14"/>
  <c r="H255" i="14"/>
  <c r="H223" i="14"/>
  <c r="H128" i="14"/>
  <c r="H44" i="14"/>
  <c r="H828" i="14"/>
  <c r="I140" i="14"/>
  <c r="H499" i="14"/>
  <c r="H437" i="14"/>
  <c r="H980" i="14"/>
  <c r="H940" i="14"/>
  <c r="H916" i="14"/>
  <c r="H892" i="14"/>
  <c r="H862" i="14"/>
  <c r="H791" i="14"/>
  <c r="H761" i="14"/>
  <c r="H741" i="14"/>
  <c r="H721" i="14"/>
  <c r="H705" i="14"/>
  <c r="I822" i="14"/>
  <c r="I782" i="14"/>
  <c r="I762" i="14"/>
  <c r="I746" i="14"/>
  <c r="I730" i="14"/>
  <c r="I714" i="14"/>
  <c r="H695" i="14"/>
  <c r="H684" i="14"/>
  <c r="H666" i="14"/>
  <c r="H650" i="14"/>
  <c r="H634" i="14"/>
  <c r="H618" i="14"/>
  <c r="H602" i="14"/>
  <c r="H586" i="14"/>
  <c r="H570" i="14"/>
  <c r="H554" i="14"/>
  <c r="H528" i="14"/>
  <c r="H496" i="14"/>
  <c r="H447" i="14"/>
  <c r="H440" i="14"/>
  <c r="H422" i="14"/>
  <c r="H406" i="14"/>
  <c r="H390" i="14"/>
  <c r="H374" i="14"/>
  <c r="H358" i="14"/>
  <c r="H342" i="14"/>
  <c r="H326" i="14"/>
  <c r="H310" i="14"/>
  <c r="H294" i="14"/>
  <c r="H278" i="14"/>
  <c r="H1001" i="14"/>
  <c r="H1014" i="14"/>
  <c r="H997" i="14"/>
  <c r="H933" i="14"/>
  <c r="H851" i="14"/>
  <c r="H738" i="14"/>
  <c r="H675" i="14"/>
  <c r="H611" i="14"/>
  <c r="H547" i="14"/>
  <c r="H955" i="14"/>
  <c r="H891" i="14"/>
  <c r="H760" i="14"/>
  <c r="I760" i="14" s="1"/>
  <c r="H693" i="14"/>
  <c r="H633" i="14"/>
  <c r="H569" i="14"/>
  <c r="H505" i="14"/>
  <c r="H986" i="14"/>
  <c r="H942" i="14"/>
  <c r="H445" i="14"/>
  <c r="H960" i="14"/>
  <c r="H902" i="14"/>
  <c r="H838" i="14"/>
  <c r="H751" i="14"/>
  <c r="H707" i="14"/>
  <c r="I775" i="14"/>
  <c r="H688" i="14"/>
  <c r="H644" i="14"/>
  <c r="H600" i="14"/>
  <c r="H556" i="14"/>
  <c r="H484" i="14"/>
  <c r="H420" i="14"/>
  <c r="H376" i="14"/>
  <c r="H336" i="14"/>
  <c r="H292" i="14"/>
  <c r="H248" i="14"/>
  <c r="H208" i="14"/>
  <c r="H133" i="14"/>
  <c r="H37" i="14"/>
  <c r="H792" i="14"/>
  <c r="H848" i="14"/>
  <c r="H522" i="14"/>
  <c r="H480" i="14"/>
  <c r="H419" i="14"/>
  <c r="H387" i="14"/>
  <c r="H355" i="14"/>
  <c r="H323" i="14"/>
  <c r="H291" i="14"/>
  <c r="H259" i="14"/>
  <c r="H227" i="14"/>
  <c r="H187" i="14"/>
  <c r="H132" i="14"/>
  <c r="H48" i="14"/>
  <c r="H836" i="14"/>
  <c r="H188" i="14"/>
  <c r="H148" i="14"/>
  <c r="I124" i="14"/>
  <c r="H507" i="14"/>
  <c r="H453" i="14"/>
  <c r="H996" i="14"/>
  <c r="H948" i="14"/>
  <c r="H920" i="14"/>
  <c r="H900" i="14"/>
  <c r="H873" i="14"/>
  <c r="H805" i="14"/>
  <c r="H769" i="14"/>
  <c r="H745" i="14"/>
  <c r="H725" i="14"/>
  <c r="H709" i="14"/>
  <c r="I844" i="14"/>
  <c r="I787" i="14"/>
  <c r="I750" i="14"/>
  <c r="I734" i="14"/>
  <c r="I718" i="14"/>
  <c r="H692" i="14"/>
  <c r="H670" i="14"/>
  <c r="H654" i="14"/>
  <c r="H638" i="14"/>
  <c r="H622" i="14"/>
  <c r="H606" i="14"/>
  <c r="H590" i="14"/>
  <c r="H574" i="14"/>
  <c r="H558" i="14"/>
  <c r="H536" i="14"/>
  <c r="H504" i="14"/>
  <c r="H463" i="14"/>
  <c r="H448" i="14"/>
  <c r="H426" i="14"/>
  <c r="H410" i="14"/>
  <c r="H394" i="14"/>
  <c r="H378" i="14"/>
  <c r="H362" i="14"/>
  <c r="H346" i="14"/>
  <c r="H330" i="14"/>
  <c r="H314" i="14"/>
  <c r="H298" i="14"/>
  <c r="H282" i="14"/>
  <c r="H266" i="14"/>
  <c r="H250" i="14"/>
  <c r="H234" i="14"/>
  <c r="H218" i="14"/>
  <c r="H201" i="14"/>
  <c r="H139" i="14"/>
  <c r="H123" i="14"/>
  <c r="H55" i="14"/>
  <c r="H39" i="14"/>
  <c r="H23" i="14"/>
  <c r="H796" i="14"/>
  <c r="H198" i="14"/>
  <c r="H166" i="14"/>
  <c r="I121" i="14"/>
  <c r="I53" i="14"/>
  <c r="I37" i="14"/>
  <c r="I21" i="14"/>
  <c r="H819" i="14"/>
  <c r="H867" i="14"/>
  <c r="H526" i="14"/>
  <c r="H494" i="14"/>
  <c r="H443" i="14"/>
  <c r="H438" i="14"/>
  <c r="H421" i="14"/>
  <c r="H965" i="14"/>
  <c r="H770" i="14"/>
  <c r="H643" i="14"/>
  <c r="H987" i="14"/>
  <c r="H814" i="14"/>
  <c r="H665" i="14"/>
  <c r="H537" i="14"/>
  <c r="H962" i="14"/>
  <c r="H910" i="14"/>
  <c r="H755" i="14"/>
  <c r="I779" i="14"/>
  <c r="H683" i="14"/>
  <c r="H604" i="14"/>
  <c r="H492" i="14"/>
  <c r="H384" i="14"/>
  <c r="H296" i="14"/>
  <c r="H212" i="14"/>
  <c r="H45" i="14"/>
  <c r="H852" i="14"/>
  <c r="H482" i="14"/>
  <c r="H399" i="14"/>
  <c r="H335" i="14"/>
  <c r="H271" i="14"/>
  <c r="H207" i="14"/>
  <c r="H112" i="14"/>
  <c r="H780" i="14"/>
  <c r="I128" i="14"/>
  <c r="H469" i="14"/>
  <c r="H964" i="14"/>
  <c r="H904" i="14"/>
  <c r="H820" i="14"/>
  <c r="H753" i="14"/>
  <c r="H713" i="14"/>
  <c r="I793" i="14"/>
  <c r="I754" i="14"/>
  <c r="I722" i="14"/>
  <c r="H700" i="14"/>
  <c r="H658" i="14"/>
  <c r="H626" i="14"/>
  <c r="H594" i="14"/>
  <c r="H562" i="14"/>
  <c r="H512" i="14"/>
  <c r="H460" i="14"/>
  <c r="H414" i="14"/>
  <c r="H382" i="14"/>
  <c r="H350" i="14"/>
  <c r="H318" i="14"/>
  <c r="H286" i="14"/>
  <c r="H258" i="14"/>
  <c r="H238" i="14"/>
  <c r="H214" i="14"/>
  <c r="H145" i="14"/>
  <c r="H119" i="14"/>
  <c r="H47" i="14"/>
  <c r="H27" i="14"/>
  <c r="I796" i="14"/>
  <c r="H142" i="14"/>
  <c r="I117" i="14"/>
  <c r="I45" i="14"/>
  <c r="I25" i="14"/>
  <c r="H807" i="14"/>
  <c r="H876" i="14"/>
  <c r="H518" i="14"/>
  <c r="H475" i="14"/>
  <c r="H446" i="14"/>
  <c r="H417" i="14"/>
  <c r="H401" i="14"/>
  <c r="H385" i="14"/>
  <c r="H1003" i="14"/>
  <c r="H961" i="14"/>
  <c r="H766" i="14"/>
  <c r="I766" i="14" s="1"/>
  <c r="H639" i="14"/>
  <c r="H983" i="14"/>
  <c r="H804" i="14"/>
  <c r="I804" i="14" s="1"/>
  <c r="H661" i="14"/>
  <c r="H533" i="14"/>
  <c r="H946" i="14"/>
  <c r="H1000" i="14"/>
  <c r="H882" i="14"/>
  <c r="H731" i="14"/>
  <c r="I748" i="14"/>
  <c r="H664" i="14"/>
  <c r="H580" i="14"/>
  <c r="H444" i="14"/>
  <c r="H356" i="14"/>
  <c r="H272" i="14"/>
  <c r="H165" i="14"/>
  <c r="H17" i="14"/>
  <c r="I834" i="14"/>
  <c r="H865" i="14"/>
  <c r="H435" i="14"/>
  <c r="H371" i="14"/>
  <c r="H307" i="14"/>
  <c r="H243" i="14"/>
  <c r="H155" i="14"/>
  <c r="H32" i="14"/>
  <c r="I112" i="14"/>
  <c r="H932" i="14"/>
  <c r="H888" i="14"/>
  <c r="H781" i="14"/>
  <c r="H737" i="14"/>
  <c r="I868" i="14"/>
  <c r="I777" i="14"/>
  <c r="I742" i="14"/>
  <c r="I710" i="14"/>
  <c r="H678" i="14"/>
  <c r="H646" i="14"/>
  <c r="H614" i="14"/>
  <c r="H582" i="14"/>
  <c r="H550" i="14"/>
  <c r="H488" i="14"/>
  <c r="H434" i="14"/>
  <c r="H402" i="14"/>
  <c r="H370" i="14"/>
  <c r="H338" i="14"/>
  <c r="H306" i="14"/>
  <c r="H274" i="14"/>
  <c r="H254" i="14"/>
  <c r="H230" i="14"/>
  <c r="H210" i="14"/>
  <c r="H135" i="14"/>
  <c r="H115" i="14"/>
  <c r="H43" i="14"/>
  <c r="H816" i="14"/>
  <c r="I816" i="14" s="1"/>
  <c r="H783" i="14"/>
  <c r="I133" i="14"/>
  <c r="I41" i="14"/>
  <c r="I17" i="14"/>
  <c r="H831" i="14"/>
  <c r="H797" i="14"/>
  <c r="I797" i="14" s="1"/>
  <c r="H863" i="14"/>
  <c r="H510" i="14"/>
  <c r="H459" i="14"/>
  <c r="H433" i="14"/>
  <c r="H413" i="14"/>
  <c r="H397" i="14"/>
  <c r="H381" i="14"/>
  <c r="H365" i="14"/>
  <c r="H349" i="14"/>
  <c r="H333" i="14"/>
  <c r="H317" i="14"/>
  <c r="H301" i="14"/>
  <c r="H285" i="14"/>
  <c r="H269" i="14"/>
  <c r="H253" i="14"/>
  <c r="H237" i="14"/>
  <c r="H221" i="14"/>
  <c r="H205" i="14"/>
  <c r="H143" i="14"/>
  <c r="H126" i="14"/>
  <c r="H58" i="14"/>
  <c r="H42" i="14"/>
  <c r="H26" i="14"/>
  <c r="H832" i="14"/>
  <c r="H789" i="14"/>
  <c r="H152" i="14"/>
  <c r="H854" i="14"/>
  <c r="H837" i="14"/>
  <c r="H810" i="14"/>
  <c r="I783" i="14"/>
  <c r="H860" i="14"/>
  <c r="I44" i="14"/>
  <c r="H846" i="14"/>
  <c r="H825" i="14"/>
  <c r="H799" i="14"/>
  <c r="H880" i="14"/>
  <c r="I860" i="14"/>
  <c r="I148" i="14"/>
  <c r="I401" i="14"/>
  <c r="I433" i="14"/>
  <c r="I162" i="14"/>
  <c r="I214" i="14"/>
  <c r="I278" i="14"/>
  <c r="I310" i="14"/>
  <c r="I342" i="14"/>
  <c r="I374" i="14"/>
  <c r="I406" i="14"/>
  <c r="I440" i="14"/>
  <c r="I496" i="14"/>
  <c r="I554" i="14"/>
  <c r="I586" i="14"/>
  <c r="I618" i="14"/>
  <c r="I650" i="14"/>
  <c r="I684" i="14"/>
  <c r="I886" i="14"/>
  <c r="I918" i="14"/>
  <c r="I950" i="14"/>
  <c r="I982" i="14"/>
  <c r="I478" i="14"/>
  <c r="I489" i="14"/>
  <c r="I521" i="14"/>
  <c r="I553" i="14"/>
  <c r="I585" i="14"/>
  <c r="I617" i="14"/>
  <c r="I649" i="14"/>
  <c r="I682" i="14"/>
  <c r="I885" i="14"/>
  <c r="I917" i="14"/>
  <c r="I949" i="14"/>
  <c r="I981" i="14"/>
  <c r="I846" i="14"/>
  <c r="I195" i="14"/>
  <c r="I231" i="14"/>
  <c r="I263" i="14"/>
  <c r="I295" i="14"/>
  <c r="I327" i="14"/>
  <c r="I359" i="14"/>
  <c r="I391" i="14"/>
  <c r="I423" i="14"/>
  <c r="I451" i="14"/>
  <c r="I530" i="14"/>
  <c r="I142" i="14"/>
  <c r="I141" i="14"/>
  <c r="I204" i="14"/>
  <c r="I236" i="14"/>
  <c r="I268" i="14"/>
  <c r="I300" i="14"/>
  <c r="I332" i="14"/>
  <c r="I364" i="14"/>
  <c r="I396" i="14"/>
  <c r="I428" i="14"/>
  <c r="I471" i="14"/>
  <c r="I540" i="14"/>
  <c r="I576" i="14"/>
  <c r="I608" i="14"/>
  <c r="I640" i="14"/>
  <c r="I672" i="14"/>
  <c r="I873" i="14"/>
  <c r="I940" i="14"/>
  <c r="I458" i="14"/>
  <c r="I543" i="14"/>
  <c r="I607" i="14"/>
  <c r="I639" i="14"/>
  <c r="I671" i="14"/>
  <c r="I872" i="14"/>
  <c r="I907" i="14"/>
  <c r="I939" i="14"/>
  <c r="I971" i="14"/>
  <c r="I376" i="14"/>
  <c r="I455" i="14"/>
  <c r="I628" i="14"/>
  <c r="I688" i="14"/>
  <c r="I912" i="14"/>
  <c r="I469" i="14"/>
  <c r="I531" i="14"/>
  <c r="I595" i="14"/>
  <c r="I659" i="14"/>
  <c r="I895" i="14"/>
  <c r="I951" i="14"/>
  <c r="I221" i="14"/>
  <c r="I253" i="14"/>
  <c r="I285" i="14"/>
  <c r="I317" i="14"/>
  <c r="I349" i="14"/>
  <c r="I381" i="14"/>
  <c r="I413" i="14"/>
  <c r="I510" i="14"/>
  <c r="I831" i="14"/>
  <c r="I218" i="14"/>
  <c r="I250" i="14"/>
  <c r="I282" i="14"/>
  <c r="I314" i="14"/>
  <c r="I346" i="14"/>
  <c r="I378" i="14"/>
  <c r="I410" i="14"/>
  <c r="I448" i="14"/>
  <c r="I504" i="14"/>
  <c r="I558" i="14"/>
  <c r="I590" i="14"/>
  <c r="I622" i="14"/>
  <c r="I654" i="14"/>
  <c r="I692" i="14"/>
  <c r="I890" i="14"/>
  <c r="I922" i="14"/>
  <c r="I954" i="14"/>
  <c r="I986" i="14"/>
  <c r="I441" i="14"/>
  <c r="I493" i="14"/>
  <c r="I525" i="14"/>
  <c r="I557" i="14"/>
  <c r="I589" i="14"/>
  <c r="I621" i="14"/>
  <c r="I653" i="14"/>
  <c r="I690" i="14"/>
  <c r="I889" i="14"/>
  <c r="I921" i="14"/>
  <c r="H702" i="14"/>
  <c r="I702" i="14" s="1"/>
  <c r="H919" i="14"/>
  <c r="H597" i="14"/>
  <c r="H477" i="14"/>
  <c r="I477" i="14" s="1"/>
  <c r="H845" i="14"/>
  <c r="I732" i="14"/>
  <c r="H564" i="14"/>
  <c r="I564" i="14" s="1"/>
  <c r="H340" i="14"/>
  <c r="H137" i="14"/>
  <c r="I137" i="14" s="1"/>
  <c r="I801" i="14"/>
  <c r="H490" i="14"/>
  <c r="H339" i="14"/>
  <c r="H211" i="14"/>
  <c r="H803" i="14"/>
  <c r="H491" i="14"/>
  <c r="H924" i="14"/>
  <c r="H776" i="14"/>
  <c r="I851" i="14"/>
  <c r="I738" i="14"/>
  <c r="H674" i="14"/>
  <c r="H610" i="14"/>
  <c r="H544" i="14"/>
  <c r="H430" i="14"/>
  <c r="H366" i="14"/>
  <c r="H302" i="14"/>
  <c r="H246" i="14"/>
  <c r="I246" i="14" s="1"/>
  <c r="H206" i="14"/>
  <c r="H131" i="14"/>
  <c r="H35" i="14"/>
  <c r="H772" i="14"/>
  <c r="I129" i="14"/>
  <c r="I33" i="14"/>
  <c r="H823" i="14"/>
  <c r="I823" i="14" s="1"/>
  <c r="H542" i="14"/>
  <c r="H472" i="14"/>
  <c r="H409" i="14"/>
  <c r="H377" i="14"/>
  <c r="H357" i="14"/>
  <c r="H337" i="14"/>
  <c r="I337" i="14" s="1"/>
  <c r="H313" i="14"/>
  <c r="H293" i="14"/>
  <c r="H273" i="14"/>
  <c r="I273" i="14" s="1"/>
  <c r="H249" i="14"/>
  <c r="H229" i="14"/>
  <c r="H209" i="14"/>
  <c r="I209" i="14" s="1"/>
  <c r="H134" i="14"/>
  <c r="H114" i="14"/>
  <c r="I114" i="14" s="1"/>
  <c r="H38" i="14"/>
  <c r="H18" i="14"/>
  <c r="I42" i="14"/>
  <c r="H817" i="14"/>
  <c r="H875" i="14"/>
  <c r="I807" i="14"/>
  <c r="I48" i="14"/>
  <c r="I24" i="14"/>
  <c r="H808" i="14"/>
  <c r="H870" i="14"/>
  <c r="I817" i="14"/>
  <c r="I196" i="14"/>
  <c r="I385" i="14"/>
  <c r="I146" i="14"/>
  <c r="I230" i="14"/>
  <c r="I318" i="14"/>
  <c r="I358" i="14"/>
  <c r="I460" i="14"/>
  <c r="I528" i="14"/>
  <c r="I626" i="14"/>
  <c r="I666" i="14"/>
  <c r="I877" i="14"/>
  <c r="I966" i="14"/>
  <c r="I462" i="14"/>
  <c r="I497" i="14"/>
  <c r="I537" i="14"/>
  <c r="I577" i="14"/>
  <c r="I625" i="14"/>
  <c r="I665" i="14"/>
  <c r="I874" i="14"/>
  <c r="I925" i="14"/>
  <c r="I965" i="14"/>
  <c r="I837" i="14"/>
  <c r="I215" i="14"/>
  <c r="I255" i="14"/>
  <c r="I343" i="14"/>
  <c r="I383" i="14"/>
  <c r="I498" i="14"/>
  <c r="I157" i="14"/>
  <c r="I220" i="14"/>
  <c r="I260" i="14"/>
  <c r="I308" i="14"/>
  <c r="I348" i="14"/>
  <c r="I388" i="14"/>
  <c r="I436" i="14"/>
  <c r="I508" i="14"/>
  <c r="I568" i="14"/>
  <c r="I616" i="14"/>
  <c r="I656" i="14"/>
  <c r="I691" i="14"/>
  <c r="I916" i="14"/>
  <c r="I956" i="14"/>
  <c r="I996" i="14"/>
  <c r="I487" i="14"/>
  <c r="I527" i="14"/>
  <c r="I567" i="14"/>
  <c r="I615" i="14"/>
  <c r="I655" i="14"/>
  <c r="I689" i="14"/>
  <c r="I915" i="14"/>
  <c r="I955" i="14"/>
  <c r="I995" i="14"/>
  <c r="I500" i="14"/>
  <c r="I596" i="14"/>
  <c r="I668" i="14"/>
  <c r="I928" i="14"/>
  <c r="I1000" i="14"/>
  <c r="I515" i="14"/>
  <c r="I611" i="14"/>
  <c r="I681" i="14"/>
  <c r="I935" i="14"/>
  <c r="I143" i="14"/>
  <c r="I301" i="14"/>
  <c r="I494" i="14"/>
  <c r="I839" i="14"/>
  <c r="I202" i="14"/>
  <c r="I210" i="14"/>
  <c r="I258" i="14"/>
  <c r="I298" i="14"/>
  <c r="I338" i="14"/>
  <c r="I426" i="14"/>
  <c r="I488" i="14"/>
  <c r="I606" i="14"/>
  <c r="I646" i="14"/>
  <c r="I906" i="14"/>
  <c r="I946" i="14"/>
  <c r="I994" i="14"/>
  <c r="I473" i="14"/>
  <c r="I517" i="14"/>
  <c r="I565" i="14"/>
  <c r="I605" i="14"/>
  <c r="I645" i="14"/>
  <c r="I685" i="14"/>
  <c r="I905" i="14"/>
  <c r="I945" i="14"/>
  <c r="I977" i="14"/>
  <c r="I219" i="14"/>
  <c r="I251" i="14"/>
  <c r="I283" i="14"/>
  <c r="I315" i="14"/>
  <c r="I347" i="14"/>
  <c r="I379" i="14"/>
  <c r="I411" i="14"/>
  <c r="I450" i="14"/>
  <c r="I506" i="14"/>
  <c r="I827" i="14"/>
  <c r="I166" i="14"/>
  <c r="I165" i="14"/>
  <c r="I216" i="14"/>
  <c r="I248" i="14"/>
  <c r="I280" i="14"/>
  <c r="I344" i="14"/>
  <c r="I384" i="14"/>
  <c r="I432" i="14"/>
  <c r="I556" i="14"/>
  <c r="I683" i="14"/>
  <c r="I936" i="14"/>
  <c r="I466" i="14"/>
  <c r="I587" i="14"/>
  <c r="I651" i="14"/>
  <c r="I887" i="14"/>
  <c r="I959" i="14"/>
  <c r="H579" i="14"/>
  <c r="H728" i="14"/>
  <c r="I728" i="14" s="1"/>
  <c r="H771" i="14"/>
  <c r="H524" i="14"/>
  <c r="H113" i="14"/>
  <c r="I113" i="14" s="1"/>
  <c r="H303" i="14"/>
  <c r="I303" i="14" s="1"/>
  <c r="H156" i="14"/>
  <c r="H757" i="14"/>
  <c r="I726" i="14"/>
  <c r="H598" i="14"/>
  <c r="H418" i="14"/>
  <c r="H290" i="14"/>
  <c r="H193" i="14"/>
  <c r="H190" i="14"/>
  <c r="I29" i="14"/>
  <c r="H534" i="14"/>
  <c r="H405" i="14"/>
  <c r="H353" i="14"/>
  <c r="H309" i="14"/>
  <c r="H265" i="14"/>
  <c r="H225" i="14"/>
  <c r="H159" i="14"/>
  <c r="H54" i="14"/>
  <c r="H818" i="14"/>
  <c r="I818" i="14" s="1"/>
  <c r="I58" i="14"/>
  <c r="I18" i="14"/>
  <c r="H795" i="14"/>
  <c r="I40" i="14"/>
  <c r="H833" i="14"/>
  <c r="I833" i="14" s="1"/>
  <c r="H864" i="14"/>
  <c r="I265" i="14"/>
  <c r="I353" i="14"/>
  <c r="I446" i="14"/>
  <c r="I238" i="14"/>
  <c r="I326" i="14"/>
  <c r="I414" i="14"/>
  <c r="I544" i="14"/>
  <c r="I634" i="14"/>
  <c r="I894" i="14"/>
  <c r="I974" i="14"/>
  <c r="I505" i="14"/>
  <c r="I593" i="14"/>
  <c r="I673" i="14"/>
  <c r="I933" i="14"/>
  <c r="H706" i="14"/>
  <c r="H923" i="14"/>
  <c r="H601" i="14"/>
  <c r="H511" i="14"/>
  <c r="I511" i="14" s="1"/>
  <c r="H926" i="14"/>
  <c r="I926" i="14" s="1"/>
  <c r="I814" i="14"/>
  <c r="H620" i="14"/>
  <c r="I620" i="14" s="1"/>
  <c r="H400" i="14"/>
  <c r="H228" i="14"/>
  <c r="H546" i="14"/>
  <c r="H367" i="14"/>
  <c r="H239" i="14"/>
  <c r="H28" i="14"/>
  <c r="I28" i="14" s="1"/>
  <c r="H523" i="14"/>
  <c r="I523" i="14" s="1"/>
  <c r="H972" i="14"/>
  <c r="I972" i="14" s="1"/>
  <c r="H850" i="14"/>
  <c r="H717" i="14"/>
  <c r="I758" i="14"/>
  <c r="H687" i="14"/>
  <c r="I687" i="14" s="1"/>
  <c r="H630" i="14"/>
  <c r="H566" i="14"/>
  <c r="I566" i="14" s="1"/>
  <c r="H476" i="14"/>
  <c r="H386" i="14"/>
  <c r="I386" i="14" s="1"/>
  <c r="H322" i="14"/>
  <c r="H262" i="14"/>
  <c r="H222" i="14"/>
  <c r="H153" i="14"/>
  <c r="H51" i="14"/>
  <c r="H806" i="14"/>
  <c r="I806" i="14" s="1"/>
  <c r="H150" i="14"/>
  <c r="I49" i="14"/>
  <c r="H843" i="14"/>
  <c r="I843" i="14" s="1"/>
  <c r="H859" i="14"/>
  <c r="I859" i="14" s="1"/>
  <c r="H486" i="14"/>
  <c r="I486" i="14" s="1"/>
  <c r="H425" i="14"/>
  <c r="I425" i="14" s="1"/>
  <c r="H389" i="14"/>
  <c r="I389" i="14" s="1"/>
  <c r="H361" i="14"/>
  <c r="H341" i="14"/>
  <c r="I341" i="14" s="1"/>
  <c r="H321" i="14"/>
  <c r="H297" i="14"/>
  <c r="I297" i="14" s="1"/>
  <c r="H277" i="14"/>
  <c r="H257" i="14"/>
  <c r="I257" i="14" s="1"/>
  <c r="H233" i="14"/>
  <c r="H213" i="14"/>
  <c r="I213" i="14" s="1"/>
  <c r="H138" i="14"/>
  <c r="I138" i="14" s="1"/>
  <c r="H118" i="14"/>
  <c r="I118" i="14" s="1"/>
  <c r="H46" i="14"/>
  <c r="I46" i="14" s="1"/>
  <c r="H22" i="14"/>
  <c r="I22" i="14" s="1"/>
  <c r="H798" i="14"/>
  <c r="I798" i="14" s="1"/>
  <c r="H192" i="14"/>
  <c r="I192" i="14" s="1"/>
  <c r="H144" i="14"/>
  <c r="I144" i="14" s="1"/>
  <c r="I26" i="14"/>
  <c r="H842" i="14"/>
  <c r="I842" i="14" s="1"/>
  <c r="I828" i="14"/>
  <c r="I772" i="14"/>
  <c r="I52" i="14"/>
  <c r="I32" i="14"/>
  <c r="H821" i="14"/>
  <c r="I825" i="14"/>
  <c r="I249" i="14"/>
  <c r="I377" i="14"/>
  <c r="I417" i="14"/>
  <c r="I459" i="14"/>
  <c r="I848" i="14"/>
  <c r="I145" i="14"/>
  <c r="I222" i="14"/>
  <c r="I262" i="14"/>
  <c r="I302" i="14"/>
  <c r="I350" i="14"/>
  <c r="I390" i="14"/>
  <c r="I430" i="14"/>
  <c r="I512" i="14"/>
  <c r="I570" i="14"/>
  <c r="I610" i="14"/>
  <c r="I658" i="14"/>
  <c r="I695" i="14"/>
  <c r="I910" i="14"/>
  <c r="I958" i="14"/>
  <c r="I998" i="14"/>
  <c r="I481" i="14"/>
  <c r="I529" i="14"/>
  <c r="I569" i="14"/>
  <c r="I609" i="14"/>
  <c r="I657" i="14"/>
  <c r="I693" i="14"/>
  <c r="I909" i="14"/>
  <c r="I957" i="14"/>
  <c r="I997" i="14"/>
  <c r="I810" i="14"/>
  <c r="I207" i="14"/>
  <c r="I247" i="14"/>
  <c r="I287" i="14"/>
  <c r="I335" i="14"/>
  <c r="I375" i="14"/>
  <c r="I415" i="14"/>
  <c r="I482" i="14"/>
  <c r="I835" i="14"/>
  <c r="I190" i="14"/>
  <c r="I212" i="14"/>
  <c r="I252" i="14"/>
  <c r="I292" i="14"/>
  <c r="I340" i="14"/>
  <c r="I380" i="14"/>
  <c r="I420" i="14"/>
  <c r="I492" i="14"/>
  <c r="I560" i="14"/>
  <c r="I600" i="14"/>
  <c r="I696" i="14"/>
  <c r="I900" i="14"/>
  <c r="I948" i="14"/>
  <c r="I988" i="14"/>
  <c r="I461" i="14"/>
  <c r="I519" i="14"/>
  <c r="I559" i="14"/>
  <c r="I599" i="14"/>
  <c r="I647" i="14"/>
  <c r="I694" i="14"/>
  <c r="I899" i="14"/>
  <c r="I947" i="14"/>
  <c r="I987" i="14"/>
  <c r="I444" i="14"/>
  <c r="I580" i="14"/>
  <c r="I652" i="14"/>
  <c r="I896" i="14"/>
  <c r="I984" i="14"/>
  <c r="I507" i="14"/>
  <c r="I579" i="14"/>
  <c r="I675" i="14"/>
  <c r="I919" i="14"/>
  <c r="I999" i="14"/>
  <c r="I808" i="14"/>
  <c r="I188" i="14"/>
  <c r="I205" i="14"/>
  <c r="I293" i="14"/>
  <c r="I333" i="14"/>
  <c r="I421" i="14"/>
  <c r="I475" i="14"/>
  <c r="I809" i="14"/>
  <c r="I186" i="14"/>
  <c r="I201" i="14"/>
  <c r="I290" i="14"/>
  <c r="I330" i="14"/>
  <c r="I370" i="14"/>
  <c r="I418" i="14"/>
  <c r="I463" i="14"/>
  <c r="I550" i="14"/>
  <c r="I598" i="14"/>
  <c r="I638" i="14"/>
  <c r="I678" i="14"/>
  <c r="I898" i="14"/>
  <c r="I938" i="14"/>
  <c r="I978" i="14"/>
  <c r="I509" i="14"/>
  <c r="I549" i="14"/>
  <c r="I597" i="14"/>
  <c r="I637" i="14"/>
  <c r="I677" i="14"/>
  <c r="I937" i="14"/>
  <c r="I969" i="14"/>
  <c r="I152" i="14"/>
  <c r="I155" i="14"/>
  <c r="I211" i="14"/>
  <c r="I243" i="14"/>
  <c r="I307" i="14"/>
  <c r="I339" i="14"/>
  <c r="I371" i="14"/>
  <c r="I435" i="14"/>
  <c r="I490" i="14"/>
  <c r="I150" i="14"/>
  <c r="I149" i="14"/>
  <c r="I208" i="14"/>
  <c r="I240" i="14"/>
  <c r="I272" i="14"/>
  <c r="I304" i="14"/>
  <c r="I336" i="14"/>
  <c r="I368" i="14"/>
  <c r="I416" i="14"/>
  <c r="I516" i="14"/>
  <c r="I604" i="14"/>
  <c r="I676" i="14"/>
  <c r="I920" i="14"/>
  <c r="I992" i="14"/>
  <c r="I499" i="14"/>
  <c r="I571" i="14"/>
  <c r="I635" i="14"/>
  <c r="I697" i="14"/>
  <c r="I943" i="14"/>
  <c r="H901" i="14"/>
  <c r="H465" i="14"/>
  <c r="I708" i="14"/>
  <c r="H312" i="14"/>
  <c r="I312" i="14" s="1"/>
  <c r="H431" i="14"/>
  <c r="I431" i="14" s="1"/>
  <c r="H147" i="14"/>
  <c r="I147" i="14" s="1"/>
  <c r="H908" i="14"/>
  <c r="I908" i="14" s="1"/>
  <c r="I811" i="14"/>
  <c r="H662" i="14"/>
  <c r="H520" i="14"/>
  <c r="H354" i="14"/>
  <c r="H242" i="14"/>
  <c r="I242" i="14" s="1"/>
  <c r="H127" i="14"/>
  <c r="H31" i="14"/>
  <c r="I125" i="14"/>
  <c r="H812" i="14"/>
  <c r="H456" i="14"/>
  <c r="I456" i="14" s="1"/>
  <c r="H373" i="14"/>
  <c r="I373" i="14" s="1"/>
  <c r="H329" i="14"/>
  <c r="I329" i="14" s="1"/>
  <c r="H289" i="14"/>
  <c r="I289" i="14" s="1"/>
  <c r="H245" i="14"/>
  <c r="I245" i="14" s="1"/>
  <c r="H199" i="14"/>
  <c r="I199" i="14" s="1"/>
  <c r="H130" i="14"/>
  <c r="I130" i="14" s="1"/>
  <c r="H34" i="14"/>
  <c r="H773" i="14"/>
  <c r="I773" i="14" s="1"/>
  <c r="I134" i="14"/>
  <c r="I38" i="14"/>
  <c r="H829" i="14"/>
  <c r="I829" i="14" s="1"/>
  <c r="H866" i="14"/>
  <c r="H857" i="14"/>
  <c r="I799" i="14"/>
  <c r="I225" i="14"/>
  <c r="I313" i="14"/>
  <c r="I518" i="14"/>
  <c r="I193" i="14"/>
  <c r="I286" i="14"/>
  <c r="I366" i="14"/>
  <c r="I447" i="14"/>
  <c r="I594" i="14"/>
  <c r="I674" i="14"/>
  <c r="I934" i="14"/>
  <c r="I449" i="14"/>
  <c r="I545" i="14"/>
  <c r="I633" i="14"/>
  <c r="I893" i="14"/>
  <c r="I973" i="14"/>
  <c r="I163" i="14"/>
  <c r="H575" i="14"/>
  <c r="I575" i="14" s="1"/>
  <c r="H968" i="14"/>
  <c r="I968" i="14" s="1"/>
  <c r="H256" i="14"/>
  <c r="H403" i="14"/>
  <c r="I403" i="14" s="1"/>
  <c r="I770" i="14"/>
  <c r="H479" i="14"/>
  <c r="H226" i="14"/>
  <c r="H158" i="14"/>
  <c r="H502" i="14"/>
  <c r="I502" i="14" s="1"/>
  <c r="H345" i="14"/>
  <c r="I345" i="14" s="1"/>
  <c r="H261" i="14"/>
  <c r="I261" i="14" s="1"/>
  <c r="H151" i="14"/>
  <c r="I151" i="14" s="1"/>
  <c r="H824" i="14"/>
  <c r="I824" i="14" s="1"/>
  <c r="I54" i="14"/>
  <c r="I795" i="14"/>
  <c r="I56" i="14"/>
  <c r="I792" i="14"/>
  <c r="I233" i="14"/>
  <c r="I409" i="14"/>
  <c r="I206" i="14"/>
  <c r="I382" i="14"/>
  <c r="I602" i="14"/>
  <c r="I942" i="14"/>
  <c r="I561" i="14"/>
  <c r="I901" i="14"/>
  <c r="I223" i="14"/>
  <c r="I311" i="14"/>
  <c r="I399" i="14"/>
  <c r="I514" i="14"/>
  <c r="I276" i="14"/>
  <c r="I356" i="14"/>
  <c r="I452" i="14"/>
  <c r="I584" i="14"/>
  <c r="I664" i="14"/>
  <c r="I924" i="14"/>
  <c r="I474" i="14"/>
  <c r="I535" i="14"/>
  <c r="I623" i="14"/>
  <c r="I883" i="14"/>
  <c r="I963" i="14"/>
  <c r="I532" i="14"/>
  <c r="I699" i="14"/>
  <c r="I437" i="14"/>
  <c r="I627" i="14"/>
  <c r="I967" i="14"/>
  <c r="I277" i="14"/>
  <c r="I365" i="14"/>
  <c r="I443" i="14"/>
  <c r="I154" i="14"/>
  <c r="I234" i="14"/>
  <c r="I322" i="14"/>
  <c r="I402" i="14"/>
  <c r="I536" i="14"/>
  <c r="I630" i="14"/>
  <c r="I882" i="14"/>
  <c r="I970" i="14"/>
  <c r="I501" i="14"/>
  <c r="I581" i="14"/>
  <c r="I669" i="14"/>
  <c r="I929" i="14"/>
  <c r="I993" i="14"/>
  <c r="I227" i="14"/>
  <c r="I291" i="14"/>
  <c r="I355" i="14"/>
  <c r="I419" i="14"/>
  <c r="I522" i="14"/>
  <c r="I197" i="14"/>
  <c r="I264" i="14"/>
  <c r="I328" i="14"/>
  <c r="I400" i="14"/>
  <c r="I588" i="14"/>
  <c r="I904" i="14"/>
  <c r="I483" i="14"/>
  <c r="I619" i="14"/>
  <c r="I927" i="14"/>
  <c r="H715" i="14"/>
  <c r="H275" i="14"/>
  <c r="I275" i="14" s="1"/>
  <c r="H398" i="14"/>
  <c r="I398" i="14" s="1"/>
  <c r="I57" i="14"/>
  <c r="H325" i="14"/>
  <c r="H122" i="14"/>
  <c r="I122" i="14" s="1"/>
  <c r="I34" i="14"/>
  <c r="I254" i="14"/>
  <c r="I601" i="14"/>
  <c r="I239" i="14"/>
  <c r="I407" i="14"/>
  <c r="I812" i="14"/>
  <c r="I284" i="14"/>
  <c r="I439" i="14"/>
  <c r="I680" i="14"/>
  <c r="I445" i="14"/>
  <c r="I631" i="14"/>
  <c r="I979" i="14"/>
  <c r="I879" i="14"/>
  <c r="I643" i="14"/>
  <c r="I854" i="14"/>
  <c r="I309" i="14"/>
  <c r="I526" i="14"/>
  <c r="I266" i="14"/>
  <c r="I434" i="14"/>
  <c r="I662" i="14"/>
  <c r="I454" i="14"/>
  <c r="I613" i="14"/>
  <c r="I953" i="14"/>
  <c r="I235" i="14"/>
  <c r="I363" i="14"/>
  <c r="I538" i="14"/>
  <c r="I224" i="14"/>
  <c r="I352" i="14"/>
  <c r="I644" i="14"/>
  <c r="I539" i="14"/>
  <c r="I975" i="14"/>
  <c r="H990" i="14"/>
  <c r="H648" i="14"/>
  <c r="I648" i="14" s="1"/>
  <c r="H884" i="14"/>
  <c r="H334" i="14"/>
  <c r="H858" i="14"/>
  <c r="I858" i="14" s="1"/>
  <c r="H305" i="14"/>
  <c r="I305" i="14" s="1"/>
  <c r="H160" i="14"/>
  <c r="H855" i="14"/>
  <c r="I321" i="14"/>
  <c r="I815" i="14"/>
  <c r="I479" i="14"/>
  <c r="I465" i="14"/>
  <c r="I989" i="14"/>
  <c r="I160" i="14"/>
  <c r="I351" i="14"/>
  <c r="I158" i="14"/>
  <c r="I316" i="14"/>
  <c r="I524" i="14"/>
  <c r="I884" i="14"/>
  <c r="I495" i="14"/>
  <c r="I663" i="14"/>
  <c r="I408" i="14"/>
  <c r="I944" i="14"/>
  <c r="I878" i="14"/>
  <c r="I237" i="14"/>
  <c r="I405" i="14"/>
  <c r="I362" i="14"/>
  <c r="I582" i="14"/>
  <c r="I930" i="14"/>
  <c r="I541" i="14"/>
  <c r="I881" i="14"/>
  <c r="I821" i="14"/>
  <c r="I259" i="14"/>
  <c r="I387" i="14"/>
  <c r="I232" i="14"/>
  <c r="I360" i="14"/>
  <c r="I484" i="14"/>
  <c r="I976" i="14"/>
  <c r="I686" i="14"/>
  <c r="H897" i="14"/>
  <c r="I897" i="14" s="1"/>
  <c r="H424" i="14"/>
  <c r="I132" i="14"/>
  <c r="H729" i="14"/>
  <c r="H578" i="14"/>
  <c r="I578" i="14" s="1"/>
  <c r="H270" i="14"/>
  <c r="I270" i="14" s="1"/>
  <c r="H830" i="14"/>
  <c r="I830" i="14" s="1"/>
  <c r="H369" i="14"/>
  <c r="I369" i="14" s="1"/>
  <c r="H281" i="14"/>
  <c r="I281" i="14" s="1"/>
  <c r="H191" i="14"/>
  <c r="I191" i="14" s="1"/>
  <c r="H30" i="14"/>
  <c r="I30" i="14" s="1"/>
  <c r="I126" i="14"/>
  <c r="I836" i="14"/>
  <c r="I832" i="14"/>
  <c r="I361" i="14"/>
  <c r="I194" i="14"/>
  <c r="I334" i="14"/>
  <c r="I562" i="14"/>
  <c r="I902" i="14"/>
  <c r="I513" i="14"/>
  <c r="I698" i="14"/>
  <c r="I279" i="14"/>
  <c r="I367" i="14"/>
  <c r="I464" i="14"/>
  <c r="I244" i="14"/>
  <c r="I324" i="14"/>
  <c r="I412" i="14"/>
  <c r="I552" i="14"/>
  <c r="I632" i="14"/>
  <c r="I892" i="14"/>
  <c r="I980" i="14"/>
  <c r="I503" i="14"/>
  <c r="I591" i="14"/>
  <c r="I679" i="14"/>
  <c r="I931" i="14"/>
  <c r="I424" i="14"/>
  <c r="I636" i="14"/>
  <c r="I960" i="14"/>
  <c r="I563" i="14"/>
  <c r="I911" i="14"/>
  <c r="I159" i="14"/>
  <c r="I269" i="14"/>
  <c r="I357" i="14"/>
  <c r="I438" i="14"/>
  <c r="I852" i="14"/>
  <c r="I226" i="14"/>
  <c r="I306" i="14"/>
  <c r="I394" i="14"/>
  <c r="I520" i="14"/>
  <c r="I614" i="14"/>
  <c r="I869" i="14"/>
  <c r="I962" i="14"/>
  <c r="I485" i="14"/>
  <c r="I573" i="14"/>
  <c r="I661" i="14"/>
  <c r="I913" i="14"/>
  <c r="I985" i="14"/>
  <c r="I855" i="14"/>
  <c r="I203" i="14"/>
  <c r="I267" i="14"/>
  <c r="I331" i="14"/>
  <c r="I395" i="14"/>
  <c r="I467" i="14"/>
  <c r="I819" i="14"/>
  <c r="I256" i="14"/>
  <c r="I320" i="14"/>
  <c r="I392" i="14"/>
  <c r="I572" i="14"/>
  <c r="I888" i="14"/>
  <c r="I453" i="14"/>
  <c r="I603" i="14"/>
  <c r="I903" i="14"/>
  <c r="H724" i="14"/>
  <c r="I724" i="14" s="1"/>
  <c r="I800" i="14"/>
  <c r="I706" i="14"/>
  <c r="H161" i="14"/>
  <c r="I161" i="14" s="1"/>
  <c r="H429" i="14"/>
  <c r="I429" i="14" s="1"/>
  <c r="H241" i="14"/>
  <c r="I241" i="14" s="1"/>
  <c r="H200" i="14"/>
  <c r="I36" i="14"/>
  <c r="I472" i="14"/>
  <c r="I422" i="14"/>
  <c r="I990" i="14"/>
  <c r="I941" i="14"/>
  <c r="I319" i="14"/>
  <c r="I546" i="14"/>
  <c r="I189" i="14"/>
  <c r="I372" i="14"/>
  <c r="I592" i="14"/>
  <c r="I932" i="14"/>
  <c r="I551" i="14"/>
  <c r="I891" i="14"/>
  <c r="I548" i="14"/>
  <c r="I491" i="14"/>
  <c r="I983" i="14"/>
  <c r="I229" i="14"/>
  <c r="I397" i="14"/>
  <c r="I153" i="14"/>
  <c r="I354" i="14"/>
  <c r="I574" i="14"/>
  <c r="I914" i="14"/>
  <c r="I533" i="14"/>
  <c r="I701" i="14"/>
  <c r="I200" i="14"/>
  <c r="I299" i="14"/>
  <c r="I427" i="14"/>
  <c r="I288" i="14"/>
  <c r="I468" i="14"/>
  <c r="I952" i="14"/>
  <c r="I667" i="14"/>
  <c r="H457" i="14"/>
  <c r="I457" i="14" s="1"/>
  <c r="H116" i="14"/>
  <c r="I116" i="14" s="1"/>
  <c r="H642" i="14"/>
  <c r="I642" i="14" s="1"/>
  <c r="H59" i="14"/>
  <c r="H393" i="14"/>
  <c r="I393" i="14" s="1"/>
  <c r="H217" i="14"/>
  <c r="I217" i="14" s="1"/>
  <c r="H50" i="14"/>
  <c r="I50" i="14" s="1"/>
  <c r="H849" i="14"/>
  <c r="I849" i="14" s="1"/>
  <c r="I164" i="14"/>
  <c r="I534" i="14"/>
  <c r="I294" i="14"/>
  <c r="I700" i="14"/>
  <c r="I641" i="14"/>
  <c r="I271" i="14"/>
  <c r="I442" i="14"/>
  <c r="I228" i="14"/>
  <c r="I404" i="14"/>
  <c r="I624" i="14"/>
  <c r="I964" i="14"/>
  <c r="I583" i="14"/>
  <c r="I923" i="14"/>
  <c r="I612" i="14"/>
  <c r="I547" i="14"/>
  <c r="I156" i="14"/>
  <c r="I325" i="14"/>
  <c r="I542" i="14"/>
  <c r="I274" i="14"/>
  <c r="I476" i="14"/>
  <c r="I670" i="14"/>
  <c r="I470" i="14"/>
  <c r="I629" i="14"/>
  <c r="I961" i="14"/>
  <c r="I187" i="14"/>
  <c r="I323" i="14"/>
  <c r="I480" i="14"/>
  <c r="I198" i="14"/>
  <c r="I296" i="14"/>
  <c r="I660" i="14"/>
  <c r="I555" i="14"/>
  <c r="I991" i="14"/>
  <c r="H110" i="14"/>
  <c r="I110" i="14" s="1"/>
  <c r="H39" i="42"/>
  <c r="I39" i="42"/>
  <c r="H174" i="14"/>
  <c r="I174" i="14"/>
  <c r="H185" i="14"/>
  <c r="I185" i="14" s="1"/>
  <c r="H178" i="14"/>
  <c r="H179" i="14"/>
  <c r="H180" i="14"/>
  <c r="H175" i="14"/>
  <c r="I175" i="14" s="1"/>
  <c r="H184" i="14"/>
  <c r="I184" i="14" s="1"/>
  <c r="H182" i="14"/>
  <c r="I178" i="14"/>
  <c r="H183" i="14"/>
  <c r="I180" i="14"/>
  <c r="I183" i="14"/>
  <c r="I179" i="14"/>
  <c r="I182" i="14"/>
  <c r="H181" i="14"/>
  <c r="I181" i="14" s="1"/>
  <c r="H177" i="14"/>
  <c r="I177" i="14" s="1"/>
  <c r="H176" i="14"/>
  <c r="I176" i="14" s="1"/>
  <c r="H171" i="14"/>
  <c r="H170" i="14"/>
  <c r="H172" i="14"/>
  <c r="H173" i="14"/>
  <c r="I173" i="14"/>
  <c r="I172" i="14"/>
  <c r="I171" i="14"/>
  <c r="H169" i="14"/>
  <c r="I169" i="14"/>
  <c r="H168" i="14"/>
  <c r="H167" i="14"/>
  <c r="I167" i="14" s="1"/>
  <c r="B1036" i="42" l="1"/>
  <c r="B1036" i="14"/>
  <c r="I1002" i="42"/>
  <c r="I986" i="42"/>
  <c r="I982" i="42"/>
  <c r="I1006" i="42"/>
  <c r="I978" i="42"/>
  <c r="I998" i="42"/>
  <c r="I974" i="42"/>
  <c r="I994" i="42"/>
  <c r="I1014" i="42"/>
  <c r="I63" i="42"/>
  <c r="I990" i="42"/>
  <c r="I1010" i="42"/>
  <c r="I31" i="14"/>
  <c r="I131" i="14"/>
  <c r="I27" i="14"/>
  <c r="I39" i="14"/>
  <c r="I127" i="14"/>
  <c r="I43" i="14"/>
  <c r="I47" i="14"/>
  <c r="I55" i="14"/>
  <c r="H111" i="14"/>
  <c r="I51" i="14"/>
  <c r="I115" i="14"/>
  <c r="I119" i="14"/>
  <c r="I123" i="14"/>
  <c r="I59" i="14"/>
  <c r="I35" i="14"/>
  <c r="I135" i="14"/>
  <c r="I23" i="14"/>
  <c r="I139" i="14"/>
  <c r="H109" i="14"/>
  <c r="I109" i="14"/>
  <c r="H108" i="14"/>
  <c r="I108" i="14" s="1"/>
  <c r="H107" i="14"/>
  <c r="H106" i="14"/>
  <c r="I106" i="14" s="1"/>
  <c r="H105" i="14"/>
  <c r="I105" i="14"/>
  <c r="H104" i="14"/>
  <c r="I104" i="14"/>
  <c r="H103" i="14"/>
  <c r="H101" i="14"/>
  <c r="I101" i="14" s="1"/>
  <c r="H100" i="14"/>
  <c r="I100" i="14" s="1"/>
  <c r="H99" i="14"/>
  <c r="H98" i="14"/>
  <c r="I98" i="14" s="1"/>
  <c r="H97" i="14"/>
  <c r="I97" i="14"/>
  <c r="H102" i="14"/>
  <c r="I102" i="14"/>
  <c r="H19" i="14"/>
  <c r="H20" i="14"/>
  <c r="I20" i="14" s="1"/>
  <c r="H25" i="42"/>
  <c r="H26" i="42"/>
  <c r="H19" i="42"/>
  <c r="H22" i="42"/>
  <c r="I26" i="42"/>
  <c r="I25" i="42"/>
  <c r="H24" i="42"/>
  <c r="I24" i="42" s="1"/>
  <c r="H23" i="42"/>
  <c r="I23" i="42" s="1"/>
  <c r="H21" i="42"/>
  <c r="I21" i="42" s="1"/>
  <c r="I22" i="42"/>
  <c r="I19" i="42"/>
  <c r="H20" i="42"/>
  <c r="I20" i="42"/>
  <c r="H96" i="14"/>
  <c r="I96" i="14" s="1"/>
  <c r="H95" i="14"/>
  <c r="H94" i="14"/>
  <c r="I94" i="14"/>
  <c r="H93" i="14"/>
  <c r="I93" i="14"/>
  <c r="H92" i="14"/>
  <c r="I92" i="14" s="1"/>
  <c r="H91" i="14"/>
  <c r="H28" i="42"/>
  <c r="I28" i="42"/>
  <c r="H30" i="42"/>
  <c r="I30" i="42"/>
  <c r="H83" i="14"/>
  <c r="H90" i="14"/>
  <c r="H88" i="14"/>
  <c r="I88" i="14"/>
  <c r="H86" i="14"/>
  <c r="I90" i="14"/>
  <c r="H89" i="14"/>
  <c r="H84" i="14"/>
  <c r="I84" i="14"/>
  <c r="H85" i="14"/>
  <c r="I85" i="14" s="1"/>
  <c r="H87" i="14"/>
  <c r="I89" i="14"/>
  <c r="I86" i="14"/>
  <c r="H82" i="14"/>
  <c r="I82" i="14" s="1"/>
  <c r="H81" i="14"/>
  <c r="I81" i="14"/>
  <c r="H80" i="14"/>
  <c r="I80" i="14"/>
  <c r="H79" i="14"/>
  <c r="H78" i="14"/>
  <c r="I78" i="14"/>
  <c r="H29" i="42"/>
  <c r="I29" i="42"/>
  <c r="H77" i="14"/>
  <c r="I77" i="14"/>
  <c r="H76" i="14"/>
  <c r="I76" i="14" s="1"/>
  <c r="H75" i="14"/>
  <c r="H74" i="14"/>
  <c r="I74" i="14" s="1"/>
  <c r="H73" i="14"/>
  <c r="I73" i="14" s="1"/>
  <c r="H72" i="14"/>
  <c r="I72" i="14"/>
  <c r="H71" i="14"/>
  <c r="H70" i="14"/>
  <c r="H69" i="14"/>
  <c r="I69" i="14" s="1"/>
  <c r="I70" i="14"/>
  <c r="H68" i="14"/>
  <c r="I68" i="14"/>
  <c r="H67" i="14"/>
  <c r="H66" i="14"/>
  <c r="I66" i="14"/>
  <c r="H65" i="14"/>
  <c r="H64" i="14"/>
  <c r="H63" i="14"/>
  <c r="H62" i="14"/>
  <c r="I62" i="14"/>
  <c r="I64" i="14"/>
  <c r="I65" i="14"/>
  <c r="H61" i="14"/>
  <c r="I61" i="14"/>
  <c r="H60" i="14"/>
  <c r="I60" i="14" s="1"/>
  <c r="H27" i="42"/>
  <c r="I27" i="42"/>
  <c r="I170" i="14"/>
  <c r="I168" i="14"/>
  <c r="B1053" i="14" l="1"/>
  <c r="B2" i="5"/>
  <c r="B35" i="5"/>
  <c r="B1053" i="42"/>
  <c r="I65" i="42"/>
  <c r="I97" i="42"/>
  <c r="I129" i="42"/>
  <c r="I161" i="42"/>
  <c r="I193" i="42"/>
  <c r="I225" i="42"/>
  <c r="I273" i="42"/>
  <c r="I79" i="42"/>
  <c r="I111" i="42"/>
  <c r="I143" i="42"/>
  <c r="I175" i="42"/>
  <c r="I207" i="42"/>
  <c r="I239" i="42"/>
  <c r="I301" i="42"/>
  <c r="I76" i="42"/>
  <c r="I92" i="42"/>
  <c r="I108" i="42"/>
  <c r="I124" i="42"/>
  <c r="I140" i="42"/>
  <c r="I156" i="42"/>
  <c r="I172" i="42"/>
  <c r="I188" i="42"/>
  <c r="I204" i="42"/>
  <c r="I220" i="42"/>
  <c r="I236" i="42"/>
  <c r="I263" i="42"/>
  <c r="I295" i="42"/>
  <c r="I260" i="42"/>
  <c r="I256" i="42"/>
  <c r="I308" i="42"/>
  <c r="I327" i="42"/>
  <c r="I343" i="42"/>
  <c r="I359" i="42"/>
  <c r="I375" i="42"/>
  <c r="I391" i="42"/>
  <c r="I407" i="42"/>
  <c r="I423" i="42"/>
  <c r="I439" i="42"/>
  <c r="I455" i="42"/>
  <c r="I471" i="42"/>
  <c r="I487" i="42"/>
  <c r="I503" i="42"/>
  <c r="I519" i="42"/>
  <c r="I535" i="42"/>
  <c r="I551" i="42"/>
  <c r="I583" i="42"/>
  <c r="I578" i="42"/>
  <c r="I599" i="42"/>
  <c r="I615" i="42"/>
  <c r="I631" i="42"/>
  <c r="I647" i="42"/>
  <c r="I663" i="42"/>
  <c r="I679" i="42"/>
  <c r="I695" i="42"/>
  <c r="I711" i="42"/>
  <c r="I727" i="42"/>
  <c r="I743" i="42"/>
  <c r="I759" i="42"/>
  <c r="I775" i="42"/>
  <c r="I791" i="42"/>
  <c r="I282" i="42"/>
  <c r="I314" i="42"/>
  <c r="I330" i="42"/>
  <c r="I346" i="42"/>
  <c r="I362" i="42"/>
  <c r="I378" i="42"/>
  <c r="I394" i="42"/>
  <c r="I410" i="42"/>
  <c r="I426" i="42"/>
  <c r="I442" i="42"/>
  <c r="I458" i="42"/>
  <c r="I474" i="42"/>
  <c r="I490" i="42"/>
  <c r="I506" i="42"/>
  <c r="I522" i="42"/>
  <c r="I538" i="42"/>
  <c r="I557" i="42"/>
  <c r="I552" i="42"/>
  <c r="I584" i="42"/>
  <c r="I602" i="42"/>
  <c r="I618" i="42"/>
  <c r="I634" i="42"/>
  <c r="I650" i="42"/>
  <c r="I666" i="42"/>
  <c r="I682" i="42"/>
  <c r="I698" i="42"/>
  <c r="I714" i="42"/>
  <c r="I730" i="42"/>
  <c r="I746" i="42"/>
  <c r="I762" i="42"/>
  <c r="I778" i="42"/>
  <c r="I792" i="42"/>
  <c r="I804" i="42"/>
  <c r="I929" i="42"/>
  <c r="I916" i="42"/>
  <c r="I797" i="42"/>
  <c r="I911" i="42"/>
  <c r="I951" i="42"/>
  <c r="I952" i="42"/>
  <c r="I957" i="42"/>
  <c r="I926" i="42"/>
  <c r="I958" i="42"/>
  <c r="I85" i="42"/>
  <c r="I117" i="42"/>
  <c r="I149" i="42"/>
  <c r="I181" i="42"/>
  <c r="I213" i="42"/>
  <c r="I249" i="42"/>
  <c r="I313" i="42"/>
  <c r="I91" i="42"/>
  <c r="I123" i="42"/>
  <c r="I155" i="42"/>
  <c r="I187" i="42"/>
  <c r="I219" i="42"/>
  <c r="I261" i="42"/>
  <c r="I66" i="42"/>
  <c r="I82" i="42"/>
  <c r="I98" i="42"/>
  <c r="I114" i="42"/>
  <c r="I130" i="42"/>
  <c r="I146" i="42"/>
  <c r="I162" i="42"/>
  <c r="I178" i="42"/>
  <c r="I194" i="42"/>
  <c r="I210" i="42"/>
  <c r="I226" i="42"/>
  <c r="I243" i="42"/>
  <c r="I275" i="42"/>
  <c r="I307" i="42"/>
  <c r="I284" i="42"/>
  <c r="I280" i="42"/>
  <c r="I317" i="42"/>
  <c r="I333" i="42"/>
  <c r="I349" i="42"/>
  <c r="I365" i="42"/>
  <c r="I381" i="42"/>
  <c r="I397" i="42"/>
  <c r="I413" i="42"/>
  <c r="I429" i="42"/>
  <c r="I445" i="42"/>
  <c r="I461" i="42"/>
  <c r="I477" i="42"/>
  <c r="I493" i="42"/>
  <c r="I509" i="42"/>
  <c r="I525" i="42"/>
  <c r="I541" i="42"/>
  <c r="I563" i="42"/>
  <c r="I558" i="42"/>
  <c r="I589" i="42"/>
  <c r="I605" i="42"/>
  <c r="I621" i="42"/>
  <c r="I637" i="42"/>
  <c r="I653" i="42"/>
  <c r="I669" i="42"/>
  <c r="I685" i="42"/>
  <c r="I701" i="42"/>
  <c r="I717" i="42"/>
  <c r="I733" i="42"/>
  <c r="I749" i="42"/>
  <c r="I765" i="42"/>
  <c r="I781" i="42"/>
  <c r="I262" i="42"/>
  <c r="I294" i="42"/>
  <c r="I320" i="42"/>
  <c r="I336" i="42"/>
  <c r="I352" i="42"/>
  <c r="I368" i="42"/>
  <c r="I384" i="42"/>
  <c r="I400" i="42"/>
  <c r="I416" i="42"/>
  <c r="I432" i="42"/>
  <c r="I448" i="42"/>
  <c r="I464" i="42"/>
  <c r="I480" i="42"/>
  <c r="I73" i="42"/>
  <c r="I105" i="42"/>
  <c r="I137" i="42"/>
  <c r="I169" i="42"/>
  <c r="I201" i="42"/>
  <c r="I233" i="42"/>
  <c r="I289" i="42"/>
  <c r="I87" i="42"/>
  <c r="I119" i="42"/>
  <c r="I151" i="42"/>
  <c r="I183" i="42"/>
  <c r="I215" i="42"/>
  <c r="I253" i="42"/>
  <c r="I64" i="42"/>
  <c r="I80" i="42"/>
  <c r="I96" i="42"/>
  <c r="I112" i="42"/>
  <c r="I128" i="42"/>
  <c r="I144" i="42"/>
  <c r="I160" i="42"/>
  <c r="I176" i="42"/>
  <c r="I192" i="42"/>
  <c r="I208" i="42"/>
  <c r="I224" i="42"/>
  <c r="I240" i="42"/>
  <c r="I271" i="42"/>
  <c r="I303" i="42"/>
  <c r="I276" i="42"/>
  <c r="I272" i="42"/>
  <c r="I315" i="42"/>
  <c r="I331" i="42"/>
  <c r="I347" i="42"/>
  <c r="I363" i="42"/>
  <c r="I379" i="42"/>
  <c r="I395" i="42"/>
  <c r="I411" i="42"/>
  <c r="I427" i="42"/>
  <c r="I443" i="42"/>
  <c r="I459" i="42"/>
  <c r="I475" i="42"/>
  <c r="I491" i="42"/>
  <c r="I507" i="42"/>
  <c r="I523" i="42"/>
  <c r="I539" i="42"/>
  <c r="I559" i="42"/>
  <c r="I554" i="42"/>
  <c r="I586" i="42"/>
  <c r="I603" i="42"/>
  <c r="I619" i="42"/>
  <c r="I635" i="42"/>
  <c r="I651" i="42"/>
  <c r="I667" i="42"/>
  <c r="I683" i="42"/>
  <c r="I699" i="42"/>
  <c r="I715" i="42"/>
  <c r="I731" i="42"/>
  <c r="I747" i="42"/>
  <c r="I763" i="42"/>
  <c r="I779" i="42"/>
  <c r="I258" i="42"/>
  <c r="I290" i="42"/>
  <c r="I318" i="42"/>
  <c r="I334" i="42"/>
  <c r="I350" i="42"/>
  <c r="I366" i="42"/>
  <c r="I382" i="42"/>
  <c r="I398" i="42"/>
  <c r="I414" i="42"/>
  <c r="I430" i="42"/>
  <c r="I446" i="42"/>
  <c r="I462" i="42"/>
  <c r="I478" i="42"/>
  <c r="I494" i="42"/>
  <c r="I510" i="42"/>
  <c r="I526" i="42"/>
  <c r="I542" i="42"/>
  <c r="I565" i="42"/>
  <c r="I560" i="42"/>
  <c r="I590" i="42"/>
  <c r="I606" i="42"/>
  <c r="I622" i="42"/>
  <c r="I638" i="42"/>
  <c r="I654" i="42"/>
  <c r="I670" i="42"/>
  <c r="I686" i="42"/>
  <c r="I702" i="42"/>
  <c r="I718" i="42"/>
  <c r="I734" i="42"/>
  <c r="I750" i="42"/>
  <c r="I766" i="42"/>
  <c r="I782" i="42"/>
  <c r="I796" i="42"/>
  <c r="I812" i="42"/>
  <c r="I939" i="42"/>
  <c r="I932" i="42"/>
  <c r="I803" i="42"/>
  <c r="I919" i="42"/>
  <c r="I967" i="42"/>
  <c r="I968" i="42"/>
  <c r="I965" i="42"/>
  <c r="I934" i="42"/>
  <c r="I966" i="42"/>
  <c r="I93" i="42"/>
  <c r="I125" i="42"/>
  <c r="I157" i="42"/>
  <c r="I189" i="42"/>
  <c r="I221" i="42"/>
  <c r="I265" i="42"/>
  <c r="I67" i="42"/>
  <c r="I99" i="42"/>
  <c r="I131" i="42"/>
  <c r="I163" i="42"/>
  <c r="I195" i="42"/>
  <c r="I227" i="42"/>
  <c r="I277" i="42"/>
  <c r="I70" i="42"/>
  <c r="I86" i="42"/>
  <c r="I102" i="42"/>
  <c r="I118" i="42"/>
  <c r="I134" i="42"/>
  <c r="I150" i="42"/>
  <c r="I166" i="42"/>
  <c r="I182" i="42"/>
  <c r="I198" i="42"/>
  <c r="I214" i="42"/>
  <c r="I230" i="42"/>
  <c r="I251" i="42"/>
  <c r="I283" i="42"/>
  <c r="I244" i="42"/>
  <c r="I242" i="42"/>
  <c r="I296" i="42"/>
  <c r="I321" i="42"/>
  <c r="I337" i="42"/>
  <c r="I353" i="42"/>
  <c r="I369" i="42"/>
  <c r="I385" i="42"/>
  <c r="I401" i="42"/>
  <c r="I417" i="42"/>
  <c r="I433" i="42"/>
  <c r="I449" i="42"/>
  <c r="I465" i="42"/>
  <c r="I481" i="42"/>
  <c r="I497" i="42"/>
  <c r="I513" i="42"/>
  <c r="I529" i="42"/>
  <c r="I545" i="42"/>
  <c r="I571" i="42"/>
  <c r="I566" i="42"/>
  <c r="I593" i="42"/>
  <c r="I609" i="42"/>
  <c r="I625" i="42"/>
  <c r="I641" i="42"/>
  <c r="I657" i="42"/>
  <c r="I673" i="42"/>
  <c r="I689" i="42"/>
  <c r="I705" i="42"/>
  <c r="I721" i="42"/>
  <c r="I737" i="42"/>
  <c r="I753" i="42"/>
  <c r="I769" i="42"/>
  <c r="I785" i="42"/>
  <c r="I270" i="42"/>
  <c r="I302" i="42"/>
  <c r="I324" i="42"/>
  <c r="I340" i="42"/>
  <c r="I356" i="42"/>
  <c r="I372" i="42"/>
  <c r="I388" i="42"/>
  <c r="I404" i="42"/>
  <c r="I420" i="42"/>
  <c r="I436" i="42"/>
  <c r="I452" i="42"/>
  <c r="I468" i="42"/>
  <c r="I484" i="42"/>
  <c r="I500" i="42"/>
  <c r="I516" i="42"/>
  <c r="I532" i="42"/>
  <c r="I548" i="42"/>
  <c r="I577" i="42"/>
  <c r="I572" i="42"/>
  <c r="I596" i="42"/>
  <c r="I612" i="42"/>
  <c r="I628" i="42"/>
  <c r="I644" i="42"/>
  <c r="I660" i="42"/>
  <c r="I676" i="42"/>
  <c r="I692" i="42"/>
  <c r="I708" i="42"/>
  <c r="I724" i="42"/>
  <c r="I740" i="42"/>
  <c r="I756" i="42"/>
  <c r="I772" i="42"/>
  <c r="I788" i="42"/>
  <c r="I805" i="42"/>
  <c r="I917" i="42"/>
  <c r="I963" i="42"/>
  <c r="I956" i="42"/>
  <c r="I802" i="42"/>
  <c r="I931" i="42"/>
  <c r="I928" i="42"/>
  <c r="I945" i="42"/>
  <c r="I914" i="42"/>
  <c r="I946" i="42"/>
  <c r="I81" i="42"/>
  <c r="I113" i="42"/>
  <c r="I145" i="42"/>
  <c r="I177" i="42"/>
  <c r="I209" i="42"/>
  <c r="I241" i="42"/>
  <c r="I305" i="42"/>
  <c r="I95" i="42"/>
  <c r="I127" i="42"/>
  <c r="I159" i="42"/>
  <c r="I191" i="42"/>
  <c r="I223" i="42"/>
  <c r="I269" i="42"/>
  <c r="I68" i="42"/>
  <c r="I84" i="42"/>
  <c r="I100" i="42"/>
  <c r="I116" i="42"/>
  <c r="I132" i="42"/>
  <c r="I148" i="42"/>
  <c r="I164" i="42"/>
  <c r="I180" i="42"/>
  <c r="I196" i="42"/>
  <c r="I212" i="42"/>
  <c r="I228" i="42"/>
  <c r="I247" i="42"/>
  <c r="I279" i="42"/>
  <c r="I311" i="42"/>
  <c r="I292" i="42"/>
  <c r="I288" i="42"/>
  <c r="I319" i="42"/>
  <c r="I335" i="42"/>
  <c r="I351" i="42"/>
  <c r="I367" i="42"/>
  <c r="I383" i="42"/>
  <c r="I399" i="42"/>
  <c r="I415" i="42"/>
  <c r="I431" i="42"/>
  <c r="I447" i="42"/>
  <c r="I463" i="42"/>
  <c r="I479" i="42"/>
  <c r="I495" i="42"/>
  <c r="I511" i="42"/>
  <c r="I527" i="42"/>
  <c r="I543" i="42"/>
  <c r="I567" i="42"/>
  <c r="I562" i="42"/>
  <c r="I591" i="42"/>
  <c r="I607" i="42"/>
  <c r="I623" i="42"/>
  <c r="I639" i="42"/>
  <c r="I655" i="42"/>
  <c r="I671" i="42"/>
  <c r="I185" i="42"/>
  <c r="I103" i="42"/>
  <c r="I231" i="42"/>
  <c r="I104" i="42"/>
  <c r="I168" i="42"/>
  <c r="I232" i="42"/>
  <c r="I246" i="42"/>
  <c r="I355" i="42"/>
  <c r="I419" i="42"/>
  <c r="I483" i="42"/>
  <c r="I547" i="42"/>
  <c r="I611" i="42"/>
  <c r="I675" i="42"/>
  <c r="I707" i="42"/>
  <c r="I739" i="42"/>
  <c r="I771" i="42"/>
  <c r="I274" i="42"/>
  <c r="I326" i="42"/>
  <c r="I358" i="42"/>
  <c r="I390" i="42"/>
  <c r="I422" i="42"/>
  <c r="I454" i="42"/>
  <c r="I486" i="42"/>
  <c r="I518" i="42"/>
  <c r="I550" i="42"/>
  <c r="I576" i="42"/>
  <c r="I614" i="42"/>
  <c r="I646" i="42"/>
  <c r="I678" i="42"/>
  <c r="I710" i="42"/>
  <c r="I742" i="42"/>
  <c r="I774" i="42"/>
  <c r="I809" i="42"/>
  <c r="I971" i="42"/>
  <c r="I806" i="42"/>
  <c r="I936" i="42"/>
  <c r="I918" i="42"/>
  <c r="I77" i="42"/>
  <c r="I141" i="42"/>
  <c r="I205" i="42"/>
  <c r="I297" i="42"/>
  <c r="I115" i="42"/>
  <c r="I179" i="42"/>
  <c r="I245" i="42"/>
  <c r="I78" i="42"/>
  <c r="I110" i="42"/>
  <c r="I142" i="42"/>
  <c r="I174" i="42"/>
  <c r="I206" i="42"/>
  <c r="I238" i="42"/>
  <c r="I299" i="42"/>
  <c r="I264" i="42"/>
  <c r="I329" i="42"/>
  <c r="I361" i="42"/>
  <c r="I393" i="42"/>
  <c r="I425" i="42"/>
  <c r="I457" i="42"/>
  <c r="I489" i="42"/>
  <c r="I521" i="42"/>
  <c r="I555" i="42"/>
  <c r="I582" i="42"/>
  <c r="I617" i="42"/>
  <c r="I649" i="42"/>
  <c r="I681" i="42"/>
  <c r="I713" i="42"/>
  <c r="I745" i="42"/>
  <c r="I286" i="42"/>
  <c r="I396" i="42"/>
  <c r="I492" i="42"/>
  <c r="I561" i="42"/>
  <c r="I620" i="42"/>
  <c r="I684" i="42"/>
  <c r="I748" i="42"/>
  <c r="I808" i="42"/>
  <c r="I915" i="42"/>
  <c r="I930" i="42"/>
  <c r="I89" i="42"/>
  <c r="I217" i="42"/>
  <c r="I135" i="42"/>
  <c r="I285" i="42"/>
  <c r="I120" i="42"/>
  <c r="I184" i="42"/>
  <c r="I255" i="42"/>
  <c r="I300" i="42"/>
  <c r="I371" i="42"/>
  <c r="I435" i="42"/>
  <c r="I499" i="42"/>
  <c r="I575" i="42"/>
  <c r="I627" i="42"/>
  <c r="I687" i="42"/>
  <c r="I719" i="42"/>
  <c r="I751" i="42"/>
  <c r="I783" i="42"/>
  <c r="I298" i="42"/>
  <c r="I338" i="42"/>
  <c r="I370" i="42"/>
  <c r="I402" i="42"/>
  <c r="I434" i="42"/>
  <c r="I466" i="42"/>
  <c r="I498" i="42"/>
  <c r="I530" i="42"/>
  <c r="I573" i="42"/>
  <c r="I594" i="42"/>
  <c r="I626" i="42"/>
  <c r="I658" i="42"/>
  <c r="I690" i="42"/>
  <c r="I722" i="42"/>
  <c r="I754" i="42"/>
  <c r="I786" i="42"/>
  <c r="I913" i="42"/>
  <c r="I948" i="42"/>
  <c r="I927" i="42"/>
  <c r="I941" i="42"/>
  <c r="I942" i="42"/>
  <c r="I101" i="42"/>
  <c r="I165" i="42"/>
  <c r="I229" i="42"/>
  <c r="I75" i="42"/>
  <c r="I139" i="42"/>
  <c r="I203" i="42"/>
  <c r="I293" i="42"/>
  <c r="I90" i="42"/>
  <c r="I122" i="42"/>
  <c r="I154" i="42"/>
  <c r="I186" i="42"/>
  <c r="I218" i="42"/>
  <c r="I259" i="42"/>
  <c r="I252" i="42"/>
  <c r="I304" i="42"/>
  <c r="I341" i="42"/>
  <c r="I373" i="42"/>
  <c r="I405" i="42"/>
  <c r="I437" i="42"/>
  <c r="I469" i="42"/>
  <c r="I501" i="42"/>
  <c r="I533" i="42"/>
  <c r="I579" i="42"/>
  <c r="I597" i="42"/>
  <c r="I629" i="42"/>
  <c r="I661" i="42"/>
  <c r="I693" i="42"/>
  <c r="I725" i="42"/>
  <c r="I757" i="42"/>
  <c r="I789" i="42"/>
  <c r="I310" i="42"/>
  <c r="I344" i="42"/>
  <c r="I376" i="42"/>
  <c r="I408" i="42"/>
  <c r="I440" i="42"/>
  <c r="I472" i="42"/>
  <c r="I496" i="42"/>
  <c r="I520" i="42"/>
  <c r="I540" i="42"/>
  <c r="I569" i="42"/>
  <c r="I580" i="42"/>
  <c r="I604" i="42"/>
  <c r="I624" i="42"/>
  <c r="I648" i="42"/>
  <c r="I668" i="42"/>
  <c r="I688" i="42"/>
  <c r="I712" i="42"/>
  <c r="I732" i="42"/>
  <c r="I752" i="42"/>
  <c r="I776" i="42"/>
  <c r="I794" i="42"/>
  <c r="I909" i="42"/>
  <c r="I908" i="42"/>
  <c r="I799" i="42"/>
  <c r="I923" i="42"/>
  <c r="I944" i="42"/>
  <c r="I961" i="42"/>
  <c r="I938" i="42"/>
  <c r="I121" i="42"/>
  <c r="I257" i="42"/>
  <c r="I167" i="42"/>
  <c r="I72" i="42"/>
  <c r="I136" i="42"/>
  <c r="I200" i="42"/>
  <c r="I287" i="42"/>
  <c r="I323" i="42"/>
  <c r="I387" i="42"/>
  <c r="I451" i="42"/>
  <c r="I515" i="42"/>
  <c r="I570" i="42"/>
  <c r="I643" i="42"/>
  <c r="I691" i="42"/>
  <c r="I723" i="42"/>
  <c r="I755" i="42"/>
  <c r="I787" i="42"/>
  <c r="I306" i="42"/>
  <c r="I342" i="42"/>
  <c r="I374" i="42"/>
  <c r="I406" i="42"/>
  <c r="I438" i="42"/>
  <c r="I470" i="42"/>
  <c r="I502" i="42"/>
  <c r="I534" i="42"/>
  <c r="I581" i="42"/>
  <c r="I598" i="42"/>
  <c r="I630" i="42"/>
  <c r="I662" i="42"/>
  <c r="I694" i="42"/>
  <c r="I726" i="42"/>
  <c r="I758" i="42"/>
  <c r="I790" i="42"/>
  <c r="I921" i="42"/>
  <c r="I964" i="42"/>
  <c r="I935" i="42"/>
  <c r="I949" i="42"/>
  <c r="I950" i="42"/>
  <c r="I109" i="42"/>
  <c r="I173" i="42"/>
  <c r="I237" i="42"/>
  <c r="I83" i="42"/>
  <c r="I147" i="42"/>
  <c r="I211" i="42"/>
  <c r="I309" i="42"/>
  <c r="I94" i="42"/>
  <c r="I126" i="42"/>
  <c r="I158" i="42"/>
  <c r="I190" i="42"/>
  <c r="I222" i="42"/>
  <c r="I267" i="42"/>
  <c r="I268" i="42"/>
  <c r="I312" i="42"/>
  <c r="I345" i="42"/>
  <c r="I377" i="42"/>
  <c r="I409" i="42"/>
  <c r="I441" i="42"/>
  <c r="I473" i="42"/>
  <c r="I505" i="42"/>
  <c r="I537" i="42"/>
  <c r="I587" i="42"/>
  <c r="I601" i="42"/>
  <c r="I633" i="42"/>
  <c r="I665" i="42"/>
  <c r="I697" i="42"/>
  <c r="I729" i="42"/>
  <c r="I761" i="42"/>
  <c r="I254" i="42"/>
  <c r="I316" i="42"/>
  <c r="I348" i="42"/>
  <c r="I380" i="42"/>
  <c r="I412" i="42"/>
  <c r="I444" i="42"/>
  <c r="I476" i="42"/>
  <c r="I504" i="42"/>
  <c r="I524" i="42"/>
  <c r="I544" i="42"/>
  <c r="I585" i="42"/>
  <c r="I588" i="42"/>
  <c r="I608" i="42"/>
  <c r="I632" i="42"/>
  <c r="I652" i="42"/>
  <c r="I672" i="42"/>
  <c r="I696" i="42"/>
  <c r="I716" i="42"/>
  <c r="I736" i="42"/>
  <c r="I760" i="42"/>
  <c r="I780" i="42"/>
  <c r="I798" i="42"/>
  <c r="I925" i="42"/>
  <c r="I924" i="42"/>
  <c r="I807" i="42"/>
  <c r="I943" i="42"/>
  <c r="I960" i="42"/>
  <c r="I969" i="42"/>
  <c r="I954" i="42"/>
  <c r="I153" i="42"/>
  <c r="I71" i="42"/>
  <c r="I199" i="42"/>
  <c r="I88" i="42"/>
  <c r="I152" i="42"/>
  <c r="I216" i="42"/>
  <c r="I248" i="42"/>
  <c r="I339" i="42"/>
  <c r="I403" i="42"/>
  <c r="I467" i="42"/>
  <c r="I531" i="42"/>
  <c r="I595" i="42"/>
  <c r="I659" i="42"/>
  <c r="I703" i="42"/>
  <c r="I735" i="42"/>
  <c r="I767" i="42"/>
  <c r="I266" i="42"/>
  <c r="I322" i="42"/>
  <c r="I354" i="42"/>
  <c r="I386" i="42"/>
  <c r="I418" i="42"/>
  <c r="I450" i="42"/>
  <c r="I482" i="42"/>
  <c r="I514" i="42"/>
  <c r="I546" i="42"/>
  <c r="I568" i="42"/>
  <c r="I610" i="42"/>
  <c r="I642" i="42"/>
  <c r="I674" i="42"/>
  <c r="I706" i="42"/>
  <c r="I738" i="42"/>
  <c r="I770" i="42"/>
  <c r="I801" i="42"/>
  <c r="I955" i="42"/>
  <c r="I811" i="42"/>
  <c r="I920" i="42"/>
  <c r="I910" i="42"/>
  <c r="I69" i="42"/>
  <c r="I133" i="42"/>
  <c r="I197" i="42"/>
  <c r="I281" i="42"/>
  <c r="I107" i="42"/>
  <c r="I171" i="42"/>
  <c r="I235" i="42"/>
  <c r="I74" i="42"/>
  <c r="I106" i="42"/>
  <c r="I138" i="42"/>
  <c r="I170" i="42"/>
  <c r="I202" i="42"/>
  <c r="I234" i="42"/>
  <c r="I291" i="42"/>
  <c r="I250" i="42"/>
  <c r="I325" i="42"/>
  <c r="I357" i="42"/>
  <c r="I389" i="42"/>
  <c r="I421" i="42"/>
  <c r="I453" i="42"/>
  <c r="I485" i="42"/>
  <c r="I517" i="42"/>
  <c r="I549" i="42"/>
  <c r="I574" i="42"/>
  <c r="I613" i="42"/>
  <c r="I645" i="42"/>
  <c r="I677" i="42"/>
  <c r="I709" i="42"/>
  <c r="I741" i="42"/>
  <c r="I773" i="42"/>
  <c r="I278" i="42"/>
  <c r="I328" i="42"/>
  <c r="I360" i="42"/>
  <c r="I392" i="42"/>
  <c r="I424" i="42"/>
  <c r="I456" i="42"/>
  <c r="I488" i="42"/>
  <c r="I508" i="42"/>
  <c r="I528" i="42"/>
  <c r="I553" i="42"/>
  <c r="I556" i="42"/>
  <c r="I592" i="42"/>
  <c r="I616" i="42"/>
  <c r="I636" i="42"/>
  <c r="I656" i="42"/>
  <c r="I680" i="42"/>
  <c r="I700" i="42"/>
  <c r="I720" i="42"/>
  <c r="I744" i="42"/>
  <c r="I764" i="42"/>
  <c r="I784" i="42"/>
  <c r="I800" i="42"/>
  <c r="I933" i="42"/>
  <c r="I940" i="42"/>
  <c r="I810" i="42"/>
  <c r="I959" i="42"/>
  <c r="I937" i="42"/>
  <c r="I922" i="42"/>
  <c r="I962" i="42"/>
  <c r="I777" i="42"/>
  <c r="I332" i="42"/>
  <c r="I364" i="42"/>
  <c r="I428" i="42"/>
  <c r="I460" i="42"/>
  <c r="I512" i="42"/>
  <c r="I536" i="42"/>
  <c r="I564" i="42"/>
  <c r="I600" i="42"/>
  <c r="I640" i="42"/>
  <c r="I664" i="42"/>
  <c r="I704" i="42"/>
  <c r="I728" i="42"/>
  <c r="I768" i="42"/>
  <c r="I793" i="42"/>
  <c r="I947" i="42"/>
  <c r="I795" i="42"/>
  <c r="I912" i="42"/>
  <c r="I953" i="42"/>
  <c r="I970" i="42"/>
  <c r="I864" i="14"/>
  <c r="I729" i="14"/>
  <c r="I761" i="14"/>
  <c r="I820" i="14"/>
  <c r="I739" i="14"/>
  <c r="I733" i="14"/>
  <c r="I880" i="14"/>
  <c r="I705" i="14"/>
  <c r="I737" i="14"/>
  <c r="I769" i="14"/>
  <c r="I850" i="14"/>
  <c r="I780" i="14"/>
  <c r="I715" i="14"/>
  <c r="I747" i="14"/>
  <c r="I784" i="14"/>
  <c r="I1005" i="14"/>
  <c r="I857" i="14"/>
  <c r="I709" i="14"/>
  <c r="I741" i="14"/>
  <c r="I776" i="14"/>
  <c r="I862" i="14"/>
  <c r="I803" i="14"/>
  <c r="I719" i="14"/>
  <c r="I751" i="14"/>
  <c r="I788" i="14"/>
  <c r="I1004" i="14"/>
  <c r="I1002" i="14"/>
  <c r="I1007" i="14"/>
  <c r="I866" i="14"/>
  <c r="I713" i="14"/>
  <c r="I745" i="14"/>
  <c r="I781" i="14"/>
  <c r="I856" i="14"/>
  <c r="I723" i="14"/>
  <c r="I755" i="14"/>
  <c r="I794" i="14"/>
  <c r="I1008" i="14"/>
  <c r="I1006" i="14"/>
  <c r="I1009" i="14"/>
  <c r="I875" i="14"/>
  <c r="I717" i="14"/>
  <c r="I749" i="14"/>
  <c r="I786" i="14"/>
  <c r="I865" i="14"/>
  <c r="I727" i="14"/>
  <c r="I759" i="14"/>
  <c r="I813" i="14"/>
  <c r="I1012" i="14"/>
  <c r="I1010" i="14"/>
  <c r="I1011" i="14"/>
  <c r="I789" i="14"/>
  <c r="I721" i="14"/>
  <c r="I753" i="14"/>
  <c r="I791" i="14"/>
  <c r="I871" i="14"/>
  <c r="I731" i="14"/>
  <c r="I763" i="14"/>
  <c r="I838" i="14"/>
  <c r="I1016" i="14"/>
  <c r="I1014" i="14"/>
  <c r="I1013" i="14"/>
  <c r="I863" i="14"/>
  <c r="I725" i="14"/>
  <c r="I757" i="14"/>
  <c r="I805" i="14"/>
  <c r="I703" i="14"/>
  <c r="I735" i="14"/>
  <c r="I767" i="14"/>
  <c r="I845" i="14"/>
  <c r="I1015" i="14"/>
  <c r="I867" i="14"/>
  <c r="I707" i="14"/>
  <c r="I771" i="14"/>
  <c r="I853" i="14"/>
  <c r="I1001" i="14"/>
  <c r="I870" i="14"/>
  <c r="I876" i="14"/>
  <c r="I765" i="14"/>
  <c r="I841" i="14"/>
  <c r="I711" i="14"/>
  <c r="I743" i="14"/>
  <c r="I778" i="14"/>
  <c r="I1003" i="14"/>
  <c r="I111" i="14"/>
  <c r="I107" i="14"/>
  <c r="I103" i="14"/>
  <c r="I99" i="14"/>
  <c r="I19" i="14"/>
  <c r="I95" i="14"/>
  <c r="I91" i="14"/>
  <c r="I87" i="14"/>
  <c r="I83" i="14"/>
  <c r="I79" i="14"/>
  <c r="I75" i="14"/>
  <c r="I71" i="14"/>
  <c r="I67" i="14"/>
  <c r="I63" i="14"/>
  <c r="B1052" i="14" l="1"/>
  <c r="F1052" i="14" s="1"/>
  <c r="AN32" i="45" s="1"/>
  <c r="B1054" i="14"/>
  <c r="F1054" i="14" s="1"/>
  <c r="AN34" i="45" s="1"/>
  <c r="E33" i="45"/>
  <c r="F1053" i="14"/>
  <c r="AN33" i="45" s="1"/>
  <c r="B1052" i="42"/>
  <c r="E29" i="45" s="1"/>
  <c r="I1018" i="14"/>
  <c r="B1049" i="14"/>
  <c r="B1049" i="42"/>
  <c r="I1018" i="42"/>
  <c r="E30" i="45"/>
  <c r="F1053" i="42"/>
  <c r="AN30" i="45" s="1"/>
  <c r="E32" i="45" l="1"/>
  <c r="E34" i="45"/>
  <c r="F1052" i="42"/>
  <c r="AN29" i="45" s="1"/>
  <c r="AN28" i="45" s="1"/>
  <c r="AN31" i="45"/>
  <c r="D28" i="45"/>
  <c r="D31" i="45" l="1"/>
  <c r="C27" i="45" s="1"/>
  <c r="I20" i="45" s="1"/>
  <c r="B11" i="42" s="1"/>
  <c r="AN27" i="45"/>
  <c r="AC20" i="45" s="1"/>
  <c r="B11" i="14" l="1"/>
</calcChain>
</file>

<file path=xl/comments1.xml><?xml version="1.0" encoding="utf-8"?>
<comments xmlns="http://schemas.openxmlformats.org/spreadsheetml/2006/main">
  <authors>
    <author>Ismael da Silva de Melo</author>
  </authors>
  <commentList>
    <comment ref="D21" authorId="0">
      <text>
        <r>
          <rPr>
            <sz val="9"/>
            <color indexed="81"/>
            <rFont val="Tahoma"/>
            <family val="2"/>
          </rPr>
          <t>Identificador da Solicitação no Repositório de Métricas</t>
        </r>
      </text>
    </comment>
    <comment ref="M21" authorId="0">
      <text>
        <r>
          <rPr>
            <sz val="9"/>
            <color indexed="81"/>
            <rFont val="Tahoma"/>
            <family val="2"/>
          </rPr>
          <t>Identificador da contagem, obtido quando da sua importação ou registro.</t>
        </r>
      </text>
    </comment>
    <comment ref="Z21" authorId="0">
      <text>
        <r>
          <rPr>
            <sz val="9"/>
            <color indexed="81"/>
            <rFont val="Tahoma"/>
            <family val="2"/>
          </rPr>
          <t>OrgAgreg_OrgVinc_Metrica_TpProjeto_versao</t>
        </r>
      </text>
    </comment>
  </commentList>
</comments>
</file>

<file path=xl/comments2.xml><?xml version="1.0" encoding="utf-8"?>
<comments xmlns="http://schemas.openxmlformats.org/spreadsheetml/2006/main">
  <authors>
    <author>Ismael da Silva de Melo</author>
  </authors>
  <commentList>
    <comment ref="N213" authorId="0">
      <text>
        <r>
          <rPr>
            <sz val="9"/>
            <color indexed="81"/>
            <rFont val="Tahoma"/>
            <family val="2"/>
          </rPr>
          <t xml:space="preserve">Td: prazo de desenvolvimento
V: tamanho do projeto em pontos de função
t: o expoente t é definido de acordo com a </t>
        </r>
        <r>
          <rPr>
            <b/>
            <sz val="9"/>
            <color indexed="81"/>
            <rFont val="Tahoma"/>
            <family val="2"/>
          </rPr>
          <t>tabela de tipos de sistema</t>
        </r>
      </text>
    </comment>
    <comment ref="N217" authorId="0">
      <text>
        <r>
          <rPr>
            <sz val="9"/>
            <color indexed="81"/>
            <rFont val="Tahoma"/>
            <family val="2"/>
          </rPr>
          <t>Onde:
QPF = Tamanho do projeto em PF
CPF = Custo para implementar um ponto de função na plataforma em questão</t>
        </r>
      </text>
    </comment>
  </commentList>
</comments>
</file>

<file path=xl/comments3.xml><?xml version="1.0" encoding="utf-8"?>
<comments xmlns="http://schemas.openxmlformats.org/spreadsheetml/2006/main">
  <authors>
    <author>Ismael da Silva de Melo</author>
  </authors>
  <commentList>
    <comment ref="D2" authorId="0">
      <text>
        <r>
          <rPr>
            <sz val="9"/>
            <color indexed="81"/>
            <rFont val="Tahoma"/>
            <family val="2"/>
          </rPr>
          <t xml:space="preserve">Isto possibilita que as estimativas tenham diferentes </t>
        </r>
      </text>
    </comment>
  </commentList>
</comments>
</file>

<file path=xl/sharedStrings.xml><?xml version="1.0" encoding="utf-8"?>
<sst xmlns="http://schemas.openxmlformats.org/spreadsheetml/2006/main" count="1404" uniqueCount="754">
  <si>
    <t>Contagem Estimada</t>
  </si>
  <si>
    <t>Calcular Projeto de Desenvolvimento</t>
  </si>
  <si>
    <t>Calcular Projeto de Melhoria/ Manutenção</t>
  </si>
  <si>
    <t>Calcular Projeto de Conversão</t>
  </si>
  <si>
    <t>Calcular Apuração de Retrabalho por Mudança de Requisitos</t>
  </si>
  <si>
    <t>Recursos de Cálculo de Tamanho por Convenção</t>
  </si>
  <si>
    <t>Recursos para Cálculos de Esforço</t>
  </si>
  <si>
    <t>Recursos para Cálculos de Prazo</t>
  </si>
  <si>
    <t>Recursos para Cálculos de Formação de Equipe (Recursos Humanos)</t>
  </si>
  <si>
    <t>Recursos para Cálculos de Custo de Desenvolvimento</t>
  </si>
  <si>
    <t>Recursos para Cálculos Relacionados ao Gerenciamento do Projeto</t>
  </si>
  <si>
    <t>Motor de Cálculos</t>
  </si>
  <si>
    <t>Calcular Esforço pela Produtividade de Referência</t>
  </si>
  <si>
    <t>Calcular Esforço Proporcional da Etapa ou Fase</t>
  </si>
  <si>
    <t>Calcular Quantidade de Recursos da Equipe de Desenvolvimento</t>
  </si>
  <si>
    <t>Calcular Precificação pelo Custo por Ponto de Função</t>
  </si>
  <si>
    <t>Calcular Porcentagem do Projeto Realizada</t>
  </si>
  <si>
    <t>Calcular Porcentagem da Etapa Realizada</t>
  </si>
  <si>
    <t>Calcular PF Considerando Fator de Criticidade do Serviço</t>
  </si>
  <si>
    <t>Calcular PF para Manutenção Corretiva</t>
  </si>
  <si>
    <t>Calcular PF para Mudança de Plataforma – Linguagem</t>
  </si>
  <si>
    <t>Calcular PF para Mudança de Plataforma – Banco de Dados</t>
  </si>
  <si>
    <t>Calcular PF para Atualização de Versão – Linguagem</t>
  </si>
  <si>
    <t>Calcular PF para Atualização de Versão – Browser</t>
  </si>
  <si>
    <t>Calcular PF para Atualização de Versão – Banco de Dados</t>
  </si>
  <si>
    <t>Calcular PF para Manutenção em Interface</t>
  </si>
  <si>
    <t>Calcular PF para Adaptação em Funcionalidade sem Alteração de Requisitos Funcionais</t>
  </si>
  <si>
    <t>Calcular PF para Apuração Especial – Base de Dados – Sem Consulta Prévia</t>
  </si>
  <si>
    <t>Calcular PF para Apuração Especial – Base de Dados – Sem Atualização</t>
  </si>
  <si>
    <t>Calcular PF para Apuração Especial – Base de Dados – Atualização com Consulta</t>
  </si>
  <si>
    <t>Calcular PF para Apuração Especial – Geração de Relatórios</t>
  </si>
  <si>
    <t>Calcular PF para Apuração Especial – Reexecução</t>
  </si>
  <si>
    <t>Calcular PF para Atualização de Dados</t>
  </si>
  <si>
    <t>Calcular PF para Desenvolvimento, Manutenção e Publicação de Páginas Estáticas</t>
  </si>
  <si>
    <t>Calcular PF para Verificação de Erros, não existindo Documentação de Testes</t>
  </si>
  <si>
    <t>Calcular PF para Verificação de Erros, existindo Documentação de Testes</t>
  </si>
  <si>
    <t>Calcular PF de Testes</t>
  </si>
  <si>
    <t>Calcular PF de Componente Interno Reusável</t>
  </si>
  <si>
    <t>Calcular Projeto de Melhoria</t>
  </si>
  <si>
    <t>Calcular Projeto de Aplicação</t>
  </si>
  <si>
    <t>CalcularProjetoAplicacao</t>
  </si>
  <si>
    <t>CalcularProjetoDesenvolvimento</t>
  </si>
  <si>
    <t>CalcularProjetoMelhoria</t>
  </si>
  <si>
    <t>CalcularProjetoAplicacaoPosMelhoria</t>
  </si>
  <si>
    <t>Calcular Projeto de Aplicação Pós Melhoria</t>
  </si>
  <si>
    <t>CalcularProjetoMelhoriaManutencao</t>
  </si>
  <si>
    <t>CalcularProjetoConversao</t>
  </si>
  <si>
    <t>Nome do Cálculo</t>
  </si>
  <si>
    <t>Código</t>
  </si>
  <si>
    <t>Nome da Função (Macro)</t>
  </si>
  <si>
    <t>CalcularApuracaoRetrabalhoPorMudancaRequisitos</t>
  </si>
  <si>
    <t>CalcularPfManutencaoCorretiva</t>
  </si>
  <si>
    <t>CalcularPfMudancaPlataformaLinguagem</t>
  </si>
  <si>
    <t>CalcularPfAtualizacaoVersaoLinguagem</t>
  </si>
  <si>
    <t>CalcularPfAtualizacaoVersaoBrowser</t>
  </si>
  <si>
    <t>CalcularPfManutencaoInterface</t>
  </si>
  <si>
    <t>CalcularPfAtualzacaoDados</t>
  </si>
  <si>
    <t>CalcularPfAdaptacaoSemAlteracaoRequisitos</t>
  </si>
  <si>
    <t>CalcularPfAtualizacaoVersaoBD</t>
  </si>
  <si>
    <t>CalcularPfApuracaoBdSemConsPrevia</t>
  </si>
  <si>
    <t>CalcularPfApuracaoBdSemAtualizacao</t>
  </si>
  <si>
    <t>CalcularPfApuracaoBdAtualizacaoConsulta</t>
  </si>
  <si>
    <t>CalcularPfApuracaoGeracaoRelatorios</t>
  </si>
  <si>
    <t>CalcularPfApuracaoReexecucao</t>
  </si>
  <si>
    <t>CalcularDesenManutPublicPaginasEstaticas</t>
  </si>
  <si>
    <t>Calcular PF para Manutenção de Documentação de Sistemas Legados</t>
  </si>
  <si>
    <t>CalcularPfManutencaoDocSistemasLegados</t>
  </si>
  <si>
    <t>CalcularVerifErrosNaoExisteDocumentacao</t>
  </si>
  <si>
    <t>CalcularVerifErrosExisteDocumentacao</t>
  </si>
  <si>
    <t>CalcularPfTestes</t>
  </si>
  <si>
    <t>CalcularPfComponenteInternoReuso</t>
  </si>
  <si>
    <t>CalcularEsforcoProdutividadeReferencia</t>
  </si>
  <si>
    <t>CalcularEsforcoProporcionalEtapa</t>
  </si>
  <si>
    <t>CalcularPfConsiderandoFatorCriticidade</t>
  </si>
  <si>
    <t>CalcularPorcentagemEtapaRealizada</t>
  </si>
  <si>
    <t>CalcularPorcentagemProjetoRealizado</t>
  </si>
  <si>
    <t>CalcularPrecificacaoCustoPf</t>
  </si>
  <si>
    <t>CalcularQtdeRecursosEquipe</t>
  </si>
  <si>
    <t>Calcular Prazo com Base no Tipo de Sistema para Projetos até 100 PF</t>
  </si>
  <si>
    <t>CalcularPrazoTipoSistemaProjetoAte100Pf</t>
  </si>
  <si>
    <t>Nome Compacto do Cálculo</t>
  </si>
  <si>
    <t>Nome Amigável do Cálculo</t>
  </si>
  <si>
    <t>Parâmetros</t>
  </si>
  <si>
    <t>Contagem Indicativa</t>
  </si>
  <si>
    <t>Projeto de Aplicação NESMA Estimada</t>
  </si>
  <si>
    <t>Projeto de Desenvolvimento NESMA Estimada</t>
  </si>
  <si>
    <t>Projeto de Melhoria NESMA Estimada</t>
  </si>
  <si>
    <t>Projeto de Aplicação Pós Melhoria NESMA Estimada</t>
  </si>
  <si>
    <t>1° Nível de Cálculo de Contagem NESMA Indicativa</t>
  </si>
  <si>
    <t>1° Nível de Cálculo de Contagem NESMA Estimada</t>
  </si>
  <si>
    <t>1° Nível de Cálculo de Contagem Detalhada</t>
  </si>
  <si>
    <t>1° Nível de Cálculo de Contagem com Roteiro do SISP</t>
  </si>
  <si>
    <t>2° Nível de Cálculo de Contagem com Roteiro do SISP</t>
  </si>
  <si>
    <t>1° Nível de Cálculo de Métricas Derivadas do Tamanho</t>
  </si>
  <si>
    <t>2° Nível de Cálculo de Contagem Detalhada</t>
  </si>
  <si>
    <t>1 ALI:</t>
  </si>
  <si>
    <t>1 AIE:</t>
  </si>
  <si>
    <t>ALI/AIE</t>
  </si>
  <si>
    <t>1 à 19</t>
  </si>
  <si>
    <t>B</t>
  </si>
  <si>
    <t>M</t>
  </si>
  <si>
    <t>A</t>
  </si>
  <si>
    <t>2 à 5</t>
  </si>
  <si>
    <t>51 ou +</t>
  </si>
  <si>
    <t>6 ou +</t>
  </si>
  <si>
    <t>EE</t>
  </si>
  <si>
    <t>SE/CE</t>
  </si>
  <si>
    <t>1*</t>
  </si>
  <si>
    <t>3 ou +</t>
  </si>
  <si>
    <t>1 à 5</t>
  </si>
  <si>
    <t>6 à 19</t>
  </si>
  <si>
    <t>1 à 4</t>
  </si>
  <si>
    <t>20 ou +</t>
  </si>
  <si>
    <t>2 à 3</t>
  </si>
  <si>
    <t>4 ou +</t>
  </si>
  <si>
    <t>5 à 15</t>
  </si>
  <si>
    <t>16 ou +</t>
  </si>
  <si>
    <t>20 à 50</t>
  </si>
  <si>
    <t>I1RCT001</t>
  </si>
  <si>
    <t>E1RCT001</t>
  </si>
  <si>
    <t>E1RCT002</t>
  </si>
  <si>
    <t>E1RCT003</t>
  </si>
  <si>
    <t>E1RCT004</t>
  </si>
  <si>
    <t>D1RCT001</t>
  </si>
  <si>
    <t>D1RCT002</t>
  </si>
  <si>
    <t>D1RCT003</t>
  </si>
  <si>
    <t>D1RCT004</t>
  </si>
  <si>
    <t>CalcularIndicativa</t>
  </si>
  <si>
    <t>Projeto de Aplicação Pós Melhoria Detalhada</t>
  </si>
  <si>
    <t>Projeto de Melhoria Detalhada</t>
  </si>
  <si>
    <t>Projeto de Desenvolvimento Detalhada</t>
  </si>
  <si>
    <t>Projeto de Aplicação Detalhada</t>
  </si>
  <si>
    <t>Calcular Complexidade de Função de Dado</t>
  </si>
  <si>
    <t>Calcular Complexidade de Função de Transação</t>
  </si>
  <si>
    <t>Calcular Contribuição de Função de Dado</t>
  </si>
  <si>
    <t>Calcular Contribuição de Função de Transação</t>
  </si>
  <si>
    <t>Complexidade de Função de Dado</t>
  </si>
  <si>
    <t>Complexidade de Função de Transação</t>
  </si>
  <si>
    <t>Contribuição de Função de Dado</t>
  </si>
  <si>
    <t>Contribuição de Função de Transação</t>
  </si>
  <si>
    <t>CalcularComplexidadeFD</t>
  </si>
  <si>
    <t>CalcularComplexidadeFT</t>
  </si>
  <si>
    <t>CalcularContribuicaoFD</t>
  </si>
  <si>
    <t>CalcularContribuicaoFT</t>
  </si>
  <si>
    <t>Contagem Detalhada</t>
  </si>
  <si>
    <t>Contagem SISP</t>
  </si>
  <si>
    <t>Estimativas Diversas</t>
  </si>
  <si>
    <t>COMPLEXIDADE</t>
  </si>
  <si>
    <t>CONTRIBUIÇÃO</t>
  </si>
  <si>
    <t>BAIXA</t>
  </si>
  <si>
    <t>MÉDIA</t>
  </si>
  <si>
    <t>ALTA</t>
  </si>
  <si>
    <t>ALI</t>
  </si>
  <si>
    <t>AIE</t>
  </si>
  <si>
    <t>SE</t>
  </si>
  <si>
    <t>CE</t>
  </si>
  <si>
    <t>CalcularPfManutencaoEvolutiva</t>
  </si>
  <si>
    <t>Calcular PF para Manutenção Evolutiva</t>
  </si>
  <si>
    <t>Recursos de Cálculo de Tamanho para Melhoria</t>
  </si>
  <si>
    <t>Fórmula</t>
  </si>
  <si>
    <t>PF_DESENVOLVIMENTO = PF_INCLUIDO + PF_CONVERSÃO</t>
  </si>
  <si>
    <t>Esforço (horas) = Tamanho (PF) x Índice de Produtividade (HH/PF)</t>
  </si>
  <si>
    <t>Esforço (horas) = Tamanho (PF) x Índice de Produtividade (HH/PF) * %Etapa</t>
  </si>
  <si>
    <t>Td = V^t</t>
  </si>
  <si>
    <t>Calcular Prazo no Limite da Regiao Impossivel</t>
  </si>
  <si>
    <t>CalcularPrazoLimiteRegiaoImpossivel</t>
  </si>
  <si>
    <r>
      <t xml:space="preserve">To = 0,75 * V^t </t>
    </r>
    <r>
      <rPr>
        <b/>
        <sz val="11"/>
        <rFont val="Arial"/>
        <family val="2"/>
      </rPr>
      <t>ou</t>
    </r>
    <r>
      <rPr>
        <sz val="11"/>
        <rFont val="Arial"/>
        <family val="2"/>
      </rPr>
      <t xml:space="preserve"> To = 0,75 * Td</t>
    </r>
  </si>
  <si>
    <t>Condicional, conforme tabela</t>
  </si>
  <si>
    <t>ObterPrazoComplexEstimadaProjetoMenor100PF</t>
  </si>
  <si>
    <t>Obter Prazo com Base na Complexidade Estimada para Projetos &lt; 100 PF</t>
  </si>
  <si>
    <t>Equipe = Esforço (HH) / (21 x ProdDiária x Prazo)</t>
  </si>
  <si>
    <t>CP = QPF x CPF</t>
  </si>
  <si>
    <t>% Mínimo</t>
  </si>
  <si>
    <t>% Máximo</t>
  </si>
  <si>
    <t>Este percentual é sugerido, ficando a critério da instituição estabelecê-lo contratualmente.</t>
  </si>
  <si>
    <t>Após a elaboração dos requisitos, considerar para a evolução dos requisitos:</t>
  </si>
  <si>
    <t>A partir da análise do documento de visão, considerar como fator de evolução de requisitos:</t>
  </si>
  <si>
    <t>PF_TOTAL = PF_PROJETO + Σ PF_RETRABALHO</t>
  </si>
  <si>
    <t>Fator de Criticidade</t>
  </si>
  <si>
    <t>Fator</t>
  </si>
  <si>
    <t>Se não constar no contrato, assumir como 1,00</t>
  </si>
  <si>
    <t>Pontos genéricos importantes:</t>
  </si>
  <si>
    <t>Cada órgão deve definir o modelo do seu documento de contagem de pontos de função, assim como as instruções para documentação das funcionalidades, visando tornar as contagens auditáveis.</t>
  </si>
  <si>
    <t>PF_MELHORIA = PF_INCLUÍDO + (FI x PF_ALTERADO) + (0,40 x PF_EXCLUÍDO) + PF_CONVERSÃO</t>
  </si>
  <si>
    <t>PF_DESENVOLVIMENTO = PF_INCLUÍDO + PF_CONVERSÃO</t>
  </si>
  <si>
    <t>PF_ CONVERSÃO = PF_INCLUÍDO</t>
  </si>
  <si>
    <t>Fatores de Impacto (FI) para funcionalidade alterada presente em um projeto de melhoria (manutenção evolutiva):</t>
  </si>
  <si>
    <t>FI (%)</t>
  </si>
  <si>
    <t>FI = 50% para funcionalidade de sistema desenvolvida ou mantida por meio de um projeto de melhoria pela empresa contratada</t>
  </si>
  <si>
    <t>FI = 75% para funcionalidade de sistema não desenvolvida ou mantida por meio de um projeto de melhoria pela empresa contratada e sem necessidade de redocumentação da funcionalidade.</t>
  </si>
  <si>
    <t>FI = 90% para funcionalidade de sistema não desenvolvida ou mantida por meio de um projeto de melhoria pela empresa contratada e com necessidade de redocumentação da funcionalidade. FI = 90% representa a adição de 15% como fator de redocumentação ao Fator de Impacto anterior (75%). Nesse caso, a contratada deve redocumentar a funcionalidade mantida, gerando a documentação completa da mesma, aderente ao processo de software da contratante. Se houver uma nova demanda de projeto de melhoria na funcionalidade em questão, será considerado que a contratada desenvolveu a funcionalidade. Observe que o percentual de 90% apenas será considerado na primeira demanda de projeto de melhoria em cada funcionalidade.</t>
  </si>
  <si>
    <t>PF_CORRETIVA = FI x PF_ALTERADO</t>
  </si>
  <si>
    <t>PF_ALTERADO = FI x PF_ALTERADO</t>
  </si>
  <si>
    <t>Os percentuais de multiplicação propostos são estimados, podendo ser reajustados conforme avaliação da base histórica dos serviços realizados no órgão ou entidade.</t>
  </si>
  <si>
    <t>Fatores de Impacto (FI) para manutenção corretiva:</t>
  </si>
  <si>
    <t>FI = 50% quando estiver fora da garantia e a correção for feita pela mesma empresa que desenvolveu a funcionalidade.</t>
  </si>
  <si>
    <t>FI = 75% quando estiver fora da garantia e a correção for feita por empresa diferente daquela que desenvolveu a funcionalidade.</t>
  </si>
  <si>
    <t>FI (%) Add</t>
  </si>
  <si>
    <t>PF_REDESENVOLVIMENTO_LINGUAGEM = PF_INCLUÍDO + PF_CONVERSÃO</t>
  </si>
  <si>
    <t>PF_REDESENVOLVIMENTO_BD_HIERÁRQUICO = PF_INCLUÍDO + PF_CONVERSÃO</t>
  </si>
  <si>
    <t>CalcularPfMudancaPlataformaBancoDadosHierarquico</t>
  </si>
  <si>
    <t>CalcularPfMudancaPlataformaBancoDadosRelacional</t>
  </si>
  <si>
    <t>PF_REDESENVOLVIMENTO_BD_RELACIONAL = (PF_ALTERADO X 0,30) + PF_CONVERSÃO</t>
  </si>
  <si>
    <t>PF_ATUALIZAÇÃO_VERSÃO_LINGUAGEM = PF_ALTERADO x 0,30</t>
  </si>
  <si>
    <t>PF_ATUALIZAÇÃO_VERSÃO_BROWSER = PF_ALTERADO x 0,30</t>
  </si>
  <si>
    <t>PF_ ATUALIZAÇÃO_VERSÃO_BD = PF_ALTERADO x 0,30</t>
  </si>
  <si>
    <t>PF_INTERFACE = 0,6 PF x QUANTIDADE DE FUNÇÕES TRANSACIONAIS IMPACTADAS</t>
  </si>
  <si>
    <t>PF_ADAPTATIVA = FI x PF_ALTERADO</t>
  </si>
  <si>
    <t>PF_APURAÇÃO_BD = PF_INCLUÍDO</t>
  </si>
  <si>
    <t>PF _CONSULTA_PRÉVIA = PF_INCLUÍDO</t>
  </si>
  <si>
    <t>PF_APURAÇÃO_BD_PÓS_CONSULTA_PRÉVIA = PF_INCLUÍDO x 0,60</t>
  </si>
  <si>
    <t>PF_APURAÇÃO_RELATÓRIOS = PF_INCLUÍDO</t>
  </si>
  <si>
    <t>PF_REEXECUÇÃO_APURAÇÃO = PF_NÃO_AJUSTADO x 0,10</t>
  </si>
  <si>
    <t>PF_ATUALIZAÇÃO_BD = PF_INCLUÍDO x 0,10</t>
  </si>
  <si>
    <t>PF_PUBLICAÇÃO = 0,6 PF x Quantidade de Páginas Alteradas ou Incluídas</t>
  </si>
  <si>
    <t>PF_DOCUMENTAÇÃO = PF_NÃO_AJUSTADO x 0,25</t>
  </si>
  <si>
    <t>PF_VERIFICAÇÃO = PF_Funcionalidade_Reportada_Com_Erro x 0,20</t>
  </si>
  <si>
    <t>PF_VERIFICAÇÃO = PF_Funcionalidade_Reportada_Com_Erro x 0,15</t>
  </si>
  <si>
    <t>PF_TESTES = PFT x 0,15</t>
  </si>
  <si>
    <t>PF_COMPONENTE = PF_NÃO_AJUSTADO</t>
  </si>
  <si>
    <t>Mudança de Requisitos (Apuração de Retrabalho; com base no tamanho antes da mudança)</t>
  </si>
  <si>
    <t>Acréscimo</t>
  </si>
  <si>
    <t>Alteração</t>
  </si>
  <si>
    <t>Desistência</t>
  </si>
  <si>
    <t>Alteração de Requisitos</t>
  </si>
  <si>
    <t>Alteração de Interface</t>
  </si>
  <si>
    <t>%</t>
  </si>
  <si>
    <t>PF</t>
  </si>
  <si>
    <t>Tipo de Mudança de Requisito</t>
  </si>
  <si>
    <t xml:space="preserve"> --&gt; considera o item que seria incluído + sua exclusão ou o item que seria alterado + sua exclusão ou ainda, apenas a exclusão do item que seria excluído.</t>
  </si>
  <si>
    <t xml:space="preserve"> --&gt; considera itens que constavam do escopo inicial e sofreram apenas mudança em itens da interface.</t>
  </si>
  <si>
    <t xml:space="preserve"> --&gt; considera itens que constavam do escopo inicial, como inclusão ou como alteração e cujos requisitos foram alterados.</t>
  </si>
  <si>
    <t>Deve-se aplicar ainda o percentual concluído de cada requisito ao total de PF obtido</t>
  </si>
  <si>
    <t>Inclusão</t>
  </si>
  <si>
    <t>Exclusão</t>
  </si>
  <si>
    <t>Tipo de Manutenção no Req. Original</t>
  </si>
  <si>
    <t xml:space="preserve"> --&gt; não considera funcionalidades incluídas, alteradas ou excluídas do escopo inicial do projeto, estas devem ser consideradas normalmente na contagem (serão incluídas no escopo)</t>
  </si>
  <si>
    <t xml:space="preserve"> --&gt; tipo de inclusão no requisito original. Exemplo: 1 EE Alterada, 1 CE Incluída; as quais serão objeto de alteração de escopo (requisitos), sendo aplicado o fator de 75% para a alteração de requisitos e considerado o percentual concluído da funcionalidade</t>
  </si>
  <si>
    <t>N/A</t>
  </si>
  <si>
    <t>M2RCT000 - CalcularPfManutencaoEvolutiva</t>
  </si>
  <si>
    <t>Dependência de outros cálculos:</t>
  </si>
  <si>
    <t>Fator de impacto para redesenvolvimento com impacto no SGDB, madando o mesmo de relacional para outro relacional:</t>
  </si>
  <si>
    <t>Fator de impacto para atualização da versão da linguagem utilizada:</t>
  </si>
  <si>
    <t>Fator de impacto para atualização da versão de browser:</t>
  </si>
  <si>
    <t>Fator de impacto para atualização da versão de banco de dados:</t>
  </si>
  <si>
    <t>Impacto</t>
  </si>
  <si>
    <t>Impacto em PF para cada função de transação impactada por mudança de interface:</t>
  </si>
  <si>
    <t>FI adicional para casos em que é demandada a redocumentação da funcionalidade</t>
  </si>
  <si>
    <t>% Atualização de Dados com Consulta Prévia em caso de Apuração Especial:</t>
  </si>
  <si>
    <t>% para reexecução de Apuração Especial:</t>
  </si>
  <si>
    <t>% para atualização de dados em Apuração Especial:</t>
  </si>
  <si>
    <t>Valor em PF por página desenvolvida ou mantida pelo projeto de manutenção:</t>
  </si>
  <si>
    <t>Valor</t>
  </si>
  <si>
    <t>Fator de impacto para documentação de sistemas legado:</t>
  </si>
  <si>
    <t>Se não existir documentação de testes para auxiliar na verificação, considerar o fator de impacto:</t>
  </si>
  <si>
    <t>Se existir documentação de testes para auxiliar na verificação, considerar o fator de impacto:</t>
  </si>
  <si>
    <t>Considerar o % quando a funcionalidade for apenas testada:</t>
  </si>
  <si>
    <t>PF_INDICATIVA = PF_ALI + PF_AIE</t>
  </si>
  <si>
    <t>Qtde</t>
  </si>
  <si>
    <t>PF_APLICACAO = PF_INCLUIDO</t>
  </si>
  <si>
    <t>CalcularPfConsiderandoEvolucaoRequisitos</t>
  </si>
  <si>
    <t>D1RCT005</t>
  </si>
  <si>
    <t>CalcularFatorAjuste</t>
  </si>
  <si>
    <t>Cálculo do Fator de Ajuste</t>
  </si>
  <si>
    <t>Informação estática:</t>
  </si>
  <si>
    <t>pFiMudReqAltFuncaoIncRequisitos</t>
  </si>
  <si>
    <t>pFiMudReqAltFuncaoAltRequisitos</t>
  </si>
  <si>
    <t>pFiMudReqAltFuncaoIncInterface</t>
  </si>
  <si>
    <t>pFiMudReqAltFuncaoAltInterface</t>
  </si>
  <si>
    <t>pFiMudReqDesistFuncaoInc</t>
  </si>
  <si>
    <t>pFiMudReqDesistFuncaoAlt</t>
  </si>
  <si>
    <t>pFiMudReqExcFuncao</t>
  </si>
  <si>
    <t>pFiManEvoDesEmpContratada</t>
  </si>
  <si>
    <t>pFiManEvoNaoDesEmpContratada</t>
  </si>
  <si>
    <t>pFiManEvoNaoDesEmpContratadaComDoc</t>
  </si>
  <si>
    <t>pFiManCorDesEmpContratada</t>
  </si>
  <si>
    <t>pFiManCorNaoDesEmpContratada</t>
  </si>
  <si>
    <t>pFiManCorNaoDesEmpContratadaComDoc</t>
  </si>
  <si>
    <t>pFiAtualizVersaoLinguagem</t>
  </si>
  <si>
    <t>pFiAtualizVersaoBrowser</t>
  </si>
  <si>
    <t>pFiAtualizVersaoDB</t>
  </si>
  <si>
    <t>pFiManutInterface</t>
  </si>
  <si>
    <t>pFiApuracaoDBPosConstCons</t>
  </si>
  <si>
    <t>pFiApuracaoReexecucao</t>
  </si>
  <si>
    <t>pFiApuracaoAtualizacaoDados</t>
  </si>
  <si>
    <t>pQtPfPagEstatica</t>
  </si>
  <si>
    <t>pFiDocLegado</t>
  </si>
  <si>
    <t>pFiVerifErrosSemDoc</t>
  </si>
  <si>
    <t>pFiVerifErrosComDoc</t>
  </si>
  <si>
    <t>pFiPfTestes</t>
  </si>
  <si>
    <t>pFiMudancaPlatDBRel</t>
  </si>
  <si>
    <t>pFiAdapSemAltReqDesEmpCont</t>
  </si>
  <si>
    <t>pFiAdapSemAltReqNaoDesEmpCont</t>
  </si>
  <si>
    <t>pQtPfNaoAjustados</t>
  </si>
  <si>
    <t>pFatorAjuste</t>
  </si>
  <si>
    <t>pQtPfIncluidos</t>
  </si>
  <si>
    <t>pQtPfAlterados</t>
  </si>
  <si>
    <t>pQtPfExcluidos</t>
  </si>
  <si>
    <t>pQtPfConversao</t>
  </si>
  <si>
    <t>pQtPfIncluidoALI</t>
  </si>
  <si>
    <t>pQtPfIncluidoAIE</t>
  </si>
  <si>
    <t>pQtPfIncluidoEE</t>
  </si>
  <si>
    <t>pQtPfIncluidoSE</t>
  </si>
  <si>
    <t>pQtPfIncluidoCE</t>
  </si>
  <si>
    <t>pQtPfAlteradoALI</t>
  </si>
  <si>
    <t>pQtPfAlteradoAIE</t>
  </si>
  <si>
    <t>pQtPfAlteradoEE</t>
  </si>
  <si>
    <t>pQtPfAlteradoSE</t>
  </si>
  <si>
    <t>pQtPfAlteradoCE</t>
  </si>
  <si>
    <t>pQtPfExcluidoALI</t>
  </si>
  <si>
    <t>pQtPfExcluidoAIE</t>
  </si>
  <si>
    <t>pQtPfExcluidoEE</t>
  </si>
  <si>
    <t>pQtPfExcluidoSE</t>
  </si>
  <si>
    <t>pQtPfExcluidoCE</t>
  </si>
  <si>
    <t>pQtPfConversaoALI</t>
  </si>
  <si>
    <t>pQtPfConversaoAIE</t>
  </si>
  <si>
    <t>pQtPfConversaoEE</t>
  </si>
  <si>
    <t>pQtPfConversaoSE</t>
  </si>
  <si>
    <t>pQtPfConversaoCE</t>
  </si>
  <si>
    <t>pQtPfALI</t>
  </si>
  <si>
    <t>pQtPfAIE</t>
  </si>
  <si>
    <t>pQtPfEE</t>
  </si>
  <si>
    <t>pQtPfSE</t>
  </si>
  <si>
    <t>pQtPfCE</t>
  </si>
  <si>
    <t>pQtPfResultado</t>
  </si>
  <si>
    <t>pQtPfAlteradosAntes</t>
  </si>
  <si>
    <t>pQtPfAplicacaoAntes</t>
  </si>
  <si>
    <t>pCaracteristicaGeral1</t>
  </si>
  <si>
    <t>pCaracteristicaGeral2</t>
  </si>
  <si>
    <t>pCaracteristicaGeral3</t>
  </si>
  <si>
    <t>pCaracteristicaGeral4</t>
  </si>
  <si>
    <t>pCaracteristicaGeral5</t>
  </si>
  <si>
    <t>pCaracteristicaGeral6</t>
  </si>
  <si>
    <t>pCaracteristicaGeral7</t>
  </si>
  <si>
    <t>pCaracteristicaGeral8</t>
  </si>
  <si>
    <t>pCaracteristicaGeral9</t>
  </si>
  <si>
    <t>pCaracteristicaGeral10</t>
  </si>
  <si>
    <t>pCaracteristicaGeral11</t>
  </si>
  <si>
    <t>pCaracteristicaGeral12</t>
  </si>
  <si>
    <t>pCaracteristicaGeral13</t>
  </si>
  <si>
    <t>pCaracteristicaGeral14</t>
  </si>
  <si>
    <t>pVafAntes</t>
  </si>
  <si>
    <r>
      <rPr>
        <b/>
        <sz val="11"/>
        <color rgb="FFFFFF00"/>
        <rFont val="Calibri"/>
        <family val="2"/>
        <scheme val="minor"/>
      </rPr>
      <t xml:space="preserve">(!) </t>
    </r>
    <r>
      <rPr>
        <sz val="11"/>
        <color theme="0"/>
        <rFont val="Calibri"/>
        <family val="2"/>
        <scheme val="minor"/>
      </rPr>
      <t>Atenção! Os dados desta planilha devem referenciar campos da interface (planilhas onde os usuários imputam dados).</t>
    </r>
  </si>
  <si>
    <r>
      <rPr>
        <b/>
        <sz val="11"/>
        <color rgb="FFFFFF00"/>
        <rFont val="Calibri"/>
        <family val="2"/>
        <scheme val="minor"/>
      </rPr>
      <t xml:space="preserve">(!) </t>
    </r>
    <r>
      <rPr>
        <sz val="11"/>
        <color theme="0"/>
        <rFont val="Calibri"/>
        <family val="2"/>
        <scheme val="minor"/>
      </rPr>
      <t>Atenção! Os dados desta planilha devem referenciar campos da interface (planilhas onde os usuários imputam dados), exceto os campos "cinza".</t>
    </r>
  </si>
  <si>
    <t>pCoSolicitacao</t>
  </si>
  <si>
    <t>TpServiço</t>
  </si>
  <si>
    <t>LEGENDA</t>
  </si>
  <si>
    <t>TpContagem</t>
  </si>
  <si>
    <t>Contagem de PF - IFPUG</t>
  </si>
  <si>
    <t>Aplicação</t>
  </si>
  <si>
    <t>Desenvolvimento</t>
  </si>
  <si>
    <t>Melhoria</t>
  </si>
  <si>
    <t>Contagem de PF - SISP</t>
  </si>
  <si>
    <t>Estimativa de PF - Indicativa (NESMA)</t>
  </si>
  <si>
    <t>Estimativa de PF - Estimada (NESMA)</t>
  </si>
  <si>
    <t>Processo</t>
  </si>
  <si>
    <t>Metrificação de Projetos</t>
  </si>
  <si>
    <t>Verificação de Contagem</t>
  </si>
  <si>
    <r>
      <rPr>
        <b/>
        <sz val="11"/>
        <color rgb="FFFFFF00"/>
        <rFont val="Calibri"/>
        <family val="2"/>
        <scheme val="minor"/>
      </rPr>
      <t xml:space="preserve">(!) </t>
    </r>
    <r>
      <rPr>
        <sz val="11"/>
        <color theme="0"/>
        <rFont val="Calibri"/>
        <family val="2"/>
        <scheme val="minor"/>
      </rPr>
      <t>Atenção! Os dados de parâmetros que constam nesta planilha são gerados pelo aplicativo Repositório de Contagens.</t>
    </r>
  </si>
  <si>
    <r>
      <rPr>
        <b/>
        <sz val="11"/>
        <color rgb="FFFFFF00"/>
        <rFont val="Calibri"/>
        <family val="2"/>
        <scheme val="minor"/>
      </rPr>
      <t xml:space="preserve">(!) </t>
    </r>
    <r>
      <rPr>
        <sz val="11"/>
        <color theme="0"/>
        <rFont val="Calibri"/>
        <family val="2"/>
        <scheme val="minor"/>
      </rPr>
      <t>Atenção! Os dados de parâmetros que constam nesta planilha são mantidos no sistema.</t>
    </r>
  </si>
  <si>
    <t>pCoTpProcesso</t>
  </si>
  <si>
    <t>pCoTpServico</t>
  </si>
  <si>
    <t>pCoTpContagem</t>
  </si>
  <si>
    <t>pIcVAF</t>
  </si>
  <si>
    <t>True</t>
  </si>
  <si>
    <t>APF</t>
  </si>
  <si>
    <t>SISP2</t>
  </si>
  <si>
    <t>VafAntes</t>
  </si>
  <si>
    <t>pQtALI</t>
  </si>
  <si>
    <t>pQtAIE</t>
  </si>
  <si>
    <t>pQtEE</t>
  </si>
  <si>
    <t>pQtSE</t>
  </si>
  <si>
    <t>pQtCE</t>
  </si>
  <si>
    <t>Versão 1.00</t>
  </si>
  <si>
    <t>1. Dados do Solicitante</t>
  </si>
  <si>
    <t>Ismael da Silva de Melo</t>
  </si>
  <si>
    <t>3049-2445 (1346)</t>
  </si>
  <si>
    <t>ismelo@stefanini.com</t>
  </si>
  <si>
    <t>José Meirelles (FSW CWI)</t>
  </si>
  <si>
    <t>2. Dados da Solicitação</t>
  </si>
  <si>
    <t>2. Dados da solicitação</t>
  </si>
  <si>
    <t>CWI</t>
  </si>
  <si>
    <t>Contratação CPC</t>
  </si>
  <si>
    <t>3. Escopo da Solicitação</t>
  </si>
  <si>
    <t>Requisitos/ Ucs  (endereço e observações)</t>
  </si>
  <si>
    <t>Nome da Função</t>
  </si>
  <si>
    <t>DER</t>
  </si>
  <si>
    <t>Observações</t>
  </si>
  <si>
    <t xml:space="preserve"> Qtde de linhas exibidas:</t>
  </si>
  <si>
    <t>ALR</t>
  </si>
  <si>
    <t>à</t>
  </si>
  <si>
    <t>d. Considerações sobre os dados da solicitação e/ou documentação fornecida:</t>
  </si>
  <si>
    <t>e. Considerações sobre a contagem:</t>
  </si>
  <si>
    <r>
      <rPr>
        <i/>
        <sz val="10"/>
        <color rgb="FFFF0000"/>
        <rFont val="Calibri"/>
        <family val="2"/>
        <scheme val="minor"/>
      </rPr>
      <t xml:space="preserve">* </t>
    </r>
    <r>
      <rPr>
        <i/>
        <sz val="10"/>
        <color theme="0" tint="-0.499984740745262"/>
        <rFont val="Calibri"/>
        <family val="2"/>
        <scheme val="minor"/>
      </rPr>
      <t>campos obrigatórios</t>
    </r>
  </si>
  <si>
    <r>
      <t xml:space="preserve">a. Situação: </t>
    </r>
    <r>
      <rPr>
        <sz val="10"/>
        <color rgb="FFFF0000"/>
        <rFont val="Calibri"/>
        <family val="2"/>
        <scheme val="minor"/>
      </rPr>
      <t>*</t>
    </r>
  </si>
  <si>
    <r>
      <t xml:space="preserve">b. Data da Situação: </t>
    </r>
    <r>
      <rPr>
        <sz val="10"/>
        <color rgb="FFFF0000"/>
        <rFont val="Calibri"/>
        <family val="2"/>
        <scheme val="minor"/>
      </rPr>
      <t>*</t>
    </r>
  </si>
  <si>
    <r>
      <t xml:space="preserve">g. Responsável: </t>
    </r>
    <r>
      <rPr>
        <sz val="10"/>
        <color rgb="FFFF0000"/>
        <rFont val="Calibri"/>
        <family val="2"/>
        <scheme val="minor"/>
      </rPr>
      <t>*</t>
    </r>
  </si>
  <si>
    <t>pCoProjeto</t>
  </si>
  <si>
    <t>pNoContatoAdicional</t>
  </si>
  <si>
    <t>pDsEmailSolicitante</t>
  </si>
  <si>
    <t>pTxTelefoneSolicitante</t>
  </si>
  <si>
    <t>pNoSolicitante</t>
  </si>
  <si>
    <t>pDtSolicitacao</t>
  </si>
  <si>
    <t>pCoFornecedor</t>
  </si>
  <si>
    <t>pNoFornecedor</t>
  </si>
  <si>
    <t>pNoProjeto</t>
  </si>
  <si>
    <t>Apuração Especial</t>
  </si>
  <si>
    <t>Verificação de Erros</t>
  </si>
  <si>
    <t>Atualização de Dados</t>
  </si>
  <si>
    <t>Conversão</t>
  </si>
  <si>
    <t>Concluída</t>
  </si>
  <si>
    <t>Pendente</t>
  </si>
  <si>
    <t>Excluída</t>
  </si>
  <si>
    <t>A contagem foi finalizada, sendo integralmente importada.</t>
  </si>
  <si>
    <t>Apenas o status da contagem será atualizado para concluída.</t>
  </si>
  <si>
    <t>A contagem será excluída do sistema, perdendo também o carimbo da planilha.</t>
  </si>
  <si>
    <t>Tipos de Manutenção</t>
  </si>
  <si>
    <t>Ao importar, trocar situação da contagem para</t>
  </si>
  <si>
    <t>Cód. Situação</t>
  </si>
  <si>
    <t>Responsáveis</t>
  </si>
  <si>
    <t>Nome</t>
  </si>
  <si>
    <t>Cód.</t>
  </si>
  <si>
    <t>Paulo César Martins Dias</t>
  </si>
  <si>
    <t>Outro</t>
  </si>
  <si>
    <r>
      <t xml:space="preserve">c. Período de envolvimento com a contagem </t>
    </r>
    <r>
      <rPr>
        <sz val="10"/>
        <color rgb="FFFF0000"/>
        <rFont val="Calibri"/>
        <family val="2"/>
        <scheme val="minor"/>
      </rPr>
      <t>*</t>
    </r>
  </si>
  <si>
    <t>Fases Executadas</t>
  </si>
  <si>
    <t>Complex.</t>
  </si>
  <si>
    <t>Tipos de Elementos</t>
  </si>
  <si>
    <t>Codedata</t>
  </si>
  <si>
    <t>Atualização de Versão</t>
  </si>
  <si>
    <t>Manutenção Corretiva</t>
  </si>
  <si>
    <t>Alteração (Des. Contrat.)</t>
  </si>
  <si>
    <t>Alteração (Des. Outra)</t>
  </si>
  <si>
    <t>Tipo de Manutenção</t>
  </si>
  <si>
    <t>Mudança de Plataforma</t>
  </si>
  <si>
    <t>Código da Solcitação:</t>
  </si>
  <si>
    <t>Tipos de Projeto</t>
  </si>
  <si>
    <t>Projeto de Desenvolvimento</t>
  </si>
  <si>
    <t>Projeto de Melhoria</t>
  </si>
  <si>
    <t>Projeto de Migração de Dados</t>
  </si>
  <si>
    <t>Manutenção em Interface</t>
  </si>
  <si>
    <t>Adaptação sem Alteração de Requisitos</t>
  </si>
  <si>
    <t>Desenvolvimento, Manutenção e Publicação de Páginas Estáticas</t>
  </si>
  <si>
    <t>Manutenção de Documentação de Sistemas Legados</t>
  </si>
  <si>
    <t>Pontos de Função de Teste</t>
  </si>
  <si>
    <t>Componente Interno Reusavel</t>
  </si>
  <si>
    <t>Mudança de Escopo</t>
  </si>
  <si>
    <t>NM</t>
  </si>
  <si>
    <t>Tipo Função</t>
  </si>
  <si>
    <t>DOCUMENTAR PROCESSO</t>
  </si>
  <si>
    <t>Modelo de Métricas:</t>
  </si>
  <si>
    <t>Código da Contagem</t>
  </si>
  <si>
    <t>Não importada</t>
  </si>
  <si>
    <t>/</t>
  </si>
  <si>
    <t># Seq</t>
  </si>
  <si>
    <t>linhas exibidas</t>
  </si>
  <si>
    <t>BADESUL_CWI_SISP2_ProjManut_v01.00</t>
  </si>
  <si>
    <t>Alteração (Des. Outra R.)</t>
  </si>
  <si>
    <t>elementos de contagem</t>
  </si>
  <si>
    <t>elementos mensuráveis</t>
  </si>
  <si>
    <t>Alteração de linguagem não se aplica à plataforma</t>
  </si>
  <si>
    <t>pFiExcluido</t>
  </si>
  <si>
    <t>FI acom dicional para casos em que é demandada a redocumentação da funcionalidade corrigida, porque a documentação não existe ou está desatualizada</t>
  </si>
  <si>
    <t>pFiAdapSemAltReqNaoDesEmpContComRedoc</t>
  </si>
  <si>
    <t>pFiAtualizacaoDados</t>
  </si>
  <si>
    <t>FD_Melhoria</t>
  </si>
  <si>
    <t>FD_Corretiva</t>
  </si>
  <si>
    <t>FD_Plataforma</t>
  </si>
  <si>
    <t>FD_Documentacao</t>
  </si>
  <si>
    <t>Tipos de Mud. Plataforma]</t>
  </si>
  <si>
    <t>Cancelada</t>
  </si>
  <si>
    <t>A contagem será cancelada no sistema, ou seja, poderá constar esta informação no laudo e o número de contagem ficará registrado no Repositório de Contagens.</t>
  </si>
  <si>
    <t>Categoria/ Tipo de Manutenção</t>
  </si>
  <si>
    <t>Função de Transação</t>
  </si>
  <si>
    <t>Funções de Dados</t>
  </si>
  <si>
    <t>Descrição do Tipo</t>
  </si>
  <si>
    <t>Itens</t>
  </si>
  <si>
    <t>a. Resultado Final:</t>
  </si>
  <si>
    <t>RESULTADO DA CONTAGEM</t>
  </si>
  <si>
    <t>Entrada Externa</t>
  </si>
  <si>
    <t>Consulta Externa</t>
  </si>
  <si>
    <t>Saída Externa</t>
  </si>
  <si>
    <t>b. Quantidade de Elementos</t>
  </si>
  <si>
    <t>Arquivo de Interface Externa</t>
  </si>
  <si>
    <t>Arquivo Lógico Interno</t>
  </si>
  <si>
    <t>IFPUG-ISSO/IEC 20926:200x-sisp</t>
  </si>
  <si>
    <t>Cod UC/ MP</t>
  </si>
  <si>
    <t>Nome do UC/ Macro Processo</t>
  </si>
  <si>
    <t>Não informado</t>
  </si>
  <si>
    <t>Novo UC</t>
  </si>
  <si>
    <t>E-mail:</t>
  </si>
  <si>
    <t>Telefone/ ramal:</t>
  </si>
  <si>
    <t>Contato adicional:</t>
  </si>
  <si>
    <t>Cód. Solicitação:</t>
  </si>
  <si>
    <t>Data da solicitação:</t>
  </si>
  <si>
    <t>Sigla e Nome do Sistema:</t>
  </si>
  <si>
    <t>Método Utilizado:</t>
  </si>
  <si>
    <t>Tipo de contagem:</t>
  </si>
  <si>
    <t>Propósito da contagem:</t>
  </si>
  <si>
    <t>Observações sobre a 
solicitação:</t>
  </si>
  <si>
    <t>Insumos (artefatos disponiveis, tais como os requisitos/ casos de uso do escopo):</t>
  </si>
  <si>
    <t>Observações sobre o escopo:</t>
  </si>
  <si>
    <t>1. Resultado</t>
  </si>
  <si>
    <t>2. Detalhamento</t>
  </si>
  <si>
    <t>Cláudio Kroth</t>
  </si>
  <si>
    <t>Constantes</t>
  </si>
  <si>
    <t>Usar ou não o VAF:</t>
  </si>
  <si>
    <t>pCoSolicitante</t>
  </si>
  <si>
    <t>pCoSistema</t>
  </si>
  <si>
    <t>pSgSistema</t>
  </si>
  <si>
    <t>pNoSistema</t>
  </si>
  <si>
    <t>pCoMetodologia</t>
  </si>
  <si>
    <t>pCoProcesso</t>
  </si>
  <si>
    <t>pNotodologia</t>
  </si>
  <si>
    <t>pCoFaseMedida</t>
  </si>
  <si>
    <t>pCoMetrica</t>
  </si>
  <si>
    <t>pNoMetrica</t>
  </si>
  <si>
    <t>pNoTpContagem</t>
  </si>
  <si>
    <t>pCoProposito</t>
  </si>
  <si>
    <t>pNoProposito</t>
  </si>
  <si>
    <t>pDsInsumos</t>
  </si>
  <si>
    <t>pDsImpactoDB</t>
  </si>
  <si>
    <t>pTxObsSolicitacao</t>
  </si>
  <si>
    <t>pTxObsEscopo</t>
  </si>
  <si>
    <r>
      <rPr>
        <b/>
        <sz val="11"/>
        <color rgb="FFFFFF00"/>
        <rFont val="Calibri"/>
        <family val="2"/>
        <scheme val="minor"/>
      </rPr>
      <t xml:space="preserve">(!) </t>
    </r>
    <r>
      <rPr>
        <sz val="11"/>
        <color theme="0"/>
        <rFont val="Calibri"/>
        <family val="2"/>
        <scheme val="minor"/>
      </rPr>
      <t>Atenção! Os dados de parâmetros que constam nesta planilha NÃO são oriundos de outras fontes, sendo portanto, particulares a cada planilha de medição.</t>
    </r>
  </si>
  <si>
    <t>1. Documentação da Contagem</t>
  </si>
  <si>
    <t>SOLICITAÇÃO DE CONTAGEM</t>
  </si>
  <si>
    <t>FT_Inclusão</t>
  </si>
  <si>
    <t>FT_Conversão</t>
  </si>
  <si>
    <t>APF (IFPUG) - Aplicação</t>
  </si>
  <si>
    <t>APF (IFPUG)</t>
  </si>
  <si>
    <t>Código:</t>
  </si>
  <si>
    <t>-</t>
  </si>
  <si>
    <t>Grupo de Funcionalidades</t>
  </si>
  <si>
    <t>Página Inicial</t>
  </si>
  <si>
    <t>Minha Página</t>
  </si>
  <si>
    <t>Projetos</t>
  </si>
  <si>
    <t>Ajuda</t>
  </si>
  <si>
    <t>Minha Conta</t>
  </si>
  <si>
    <t>Consultar Últimos Projetos</t>
  </si>
  <si>
    <t>Pesquisar no Sistema</t>
  </si>
  <si>
    <t>Listar Projetos</t>
  </si>
  <si>
    <t>Entrar no Sistema</t>
  </si>
  <si>
    <t>Sair do Sistema</t>
  </si>
  <si>
    <t>Alterar Minha Conta</t>
  </si>
  <si>
    <t>Consultar Minha Conta (consulta implícita)</t>
  </si>
  <si>
    <t>Listar Minhas Tarefas Abertas</t>
  </si>
  <si>
    <t>Listar Tarefas Abertas por Mim</t>
  </si>
  <si>
    <t>Pesquisar Todas as Tarefas</t>
  </si>
  <si>
    <t>Consultar Tarefa</t>
  </si>
  <si>
    <t>Atualizar Tarefa</t>
  </si>
  <si>
    <t>Observar Tarefa</t>
  </si>
  <si>
    <t>Copiar Tarefa</t>
  </si>
  <si>
    <t>Comentar/ Responder Tarefa</t>
  </si>
  <si>
    <t>Pesquisar Tempo Gasto Total</t>
  </si>
  <si>
    <t>Pesquisar Atividades Gerais</t>
  </si>
  <si>
    <t>Consultar Projeto</t>
  </si>
  <si>
    <t>Consultar Visão Geral do Projeto</t>
  </si>
  <si>
    <t>Projetos - Visão Geral</t>
  </si>
  <si>
    <t>Projetos - Atividade</t>
  </si>
  <si>
    <t>Projetos - Planejamento</t>
  </si>
  <si>
    <t>Projetos - Tarefas</t>
  </si>
  <si>
    <t>Projetos - Nova Tarefa</t>
  </si>
  <si>
    <t>Projetos - Gantt</t>
  </si>
  <si>
    <t>Projetos - Calendário</t>
  </si>
  <si>
    <t>Usuário</t>
  </si>
  <si>
    <t>Listar Todas as Tarefas</t>
  </si>
  <si>
    <t>Visualizar Gantt</t>
  </si>
  <si>
    <t>Visualizar Calendário</t>
  </si>
  <si>
    <t>Consultar Membro</t>
  </si>
  <si>
    <t>Relatório de Tempo Gasto</t>
  </si>
  <si>
    <t>Pesquisar Atividades</t>
  </si>
  <si>
    <t>Consultar Tarefas de uma Versão</t>
  </si>
  <si>
    <t>Pesquisar Tarefas por Situação</t>
  </si>
  <si>
    <t>Consultar Usuário e Histórico das Suas Atividades</t>
  </si>
  <si>
    <t>Executar Consulta Personalizada</t>
  </si>
  <si>
    <t>Visualizar Resumo das Tarefas por Tipo</t>
  </si>
  <si>
    <t>Visualizar Resumo das Tarefas por Prioridade</t>
  </si>
  <si>
    <t>Visualizar Resumo das Tarefas Atribuídas por Usuário</t>
  </si>
  <si>
    <t>Visualizar Resumo das Tarefas por Autor</t>
  </si>
  <si>
    <t>Visualizar Resumo das Tarefas por Versão</t>
  </si>
  <si>
    <t>Visualizar Resumo das Tarefas por Categoria</t>
  </si>
  <si>
    <t>Pesquisar Tarefas de Todas as Versões p/ Planejamento</t>
  </si>
  <si>
    <t>Situação de Tarefa</t>
  </si>
  <si>
    <t>Pesquisar Tempo Gasto</t>
  </si>
  <si>
    <t>Incluir Projeto</t>
  </si>
  <si>
    <t>Alterar Projeto</t>
  </si>
  <si>
    <t>Copiar Projeto</t>
  </si>
  <si>
    <t>Excluir Projeto</t>
  </si>
  <si>
    <t>Tarefa</t>
  </si>
  <si>
    <t>Pesquisar Projeto</t>
  </si>
  <si>
    <t>DROPDOWN - Listar Usuários</t>
  </si>
  <si>
    <t>DROPDOWN - Listar Projetos</t>
  </si>
  <si>
    <t>Tipo de Tarefa</t>
  </si>
  <si>
    <t>Selecionar Usuário</t>
  </si>
  <si>
    <t>Selecionar Módulos</t>
  </si>
  <si>
    <t>Selecionar Tipos de Tarefas</t>
  </si>
  <si>
    <t>Administração - Usuários</t>
  </si>
  <si>
    <t>Administração - Projetos</t>
  </si>
  <si>
    <t>Administração - Grupos</t>
  </si>
  <si>
    <t>Administração - Papéis e Permissões</t>
  </si>
  <si>
    <t>Administração - Tipos de Tarefas</t>
  </si>
  <si>
    <t>Administração - Situação das Tarefas</t>
  </si>
  <si>
    <t>Administração - Fluxo de Trabalho</t>
  </si>
  <si>
    <t>Administração - Campos Personalizados</t>
  </si>
  <si>
    <t>Administração - Tipos e Categorias</t>
  </si>
  <si>
    <t>Administração - Configurações</t>
  </si>
  <si>
    <t>Administração - Autenticação LDAP</t>
  </si>
  <si>
    <t>Administração - Contatos</t>
  </si>
  <si>
    <t>Administração - Plugins</t>
  </si>
  <si>
    <t>Administração - Informações</t>
  </si>
  <si>
    <t>Bloquear Projeto</t>
  </si>
  <si>
    <t>Pesquisar Usuários</t>
  </si>
  <si>
    <t>Incluir Usuário</t>
  </si>
  <si>
    <t>Alterar Usuário</t>
  </si>
  <si>
    <t>Consultar Usuário</t>
  </si>
  <si>
    <t>Excluir Usuário</t>
  </si>
  <si>
    <t>Bloquear Usuário</t>
  </si>
  <si>
    <t>Selecionar Grupos de Usuários</t>
  </si>
  <si>
    <t>Selecionar Projetos</t>
  </si>
  <si>
    <t>Grupo de Usuário</t>
  </si>
  <si>
    <t>Pesquisar Grupos de Usuários</t>
  </si>
  <si>
    <t>Incluir Grupo de Usuário</t>
  </si>
  <si>
    <t>Alterar Grupo de Usuário</t>
  </si>
  <si>
    <t>Consultar Grupo de Usuário</t>
  </si>
  <si>
    <t>Excluir Grupo de Usuário</t>
  </si>
  <si>
    <t>Pesquisar Papéis</t>
  </si>
  <si>
    <t>Incluir Papel</t>
  </si>
  <si>
    <t>Alterar Papel</t>
  </si>
  <si>
    <t>Consultar Papel</t>
  </si>
  <si>
    <t>Copiar Papel</t>
  </si>
  <si>
    <t>Excluir Papel</t>
  </si>
  <si>
    <t>Emitir Relatório de Permissões de Papéis</t>
  </si>
  <si>
    <t>Papel</t>
  </si>
  <si>
    <t>Pesquisar Tipos de Tarefas</t>
  </si>
  <si>
    <t>Incluir Tipo de Tarefa</t>
  </si>
  <si>
    <t>Alterar Tipo de Tarefa</t>
  </si>
  <si>
    <t>Excluir Tipo de Tarefa</t>
  </si>
  <si>
    <t>Consultar Tipo de Tarefa</t>
  </si>
  <si>
    <t>Consultar Resumo de Tipos de Tarefas</t>
  </si>
  <si>
    <t>Selecionar Projeto - Encadeado</t>
  </si>
  <si>
    <t>Incluir Tarefa</t>
  </si>
  <si>
    <t>Incluir Situação de Tarefa</t>
  </si>
  <si>
    <t>Pesquisar Situações de Tarefas</t>
  </si>
  <si>
    <t>Alterar Situação de Tarefa</t>
  </si>
  <si>
    <t>Consultar Situação de Tarefa</t>
  </si>
  <si>
    <t>Excluir Situação de Tarefa</t>
  </si>
  <si>
    <t>Atualizar Percentual de Conclusão de Tarefas</t>
  </si>
  <si>
    <t>Fluxo de Trabalho</t>
  </si>
  <si>
    <t>Editar Estados de Transições</t>
  </si>
  <si>
    <t>Consultar Fluxo de Trabalho</t>
  </si>
  <si>
    <t>Alterar Fluxo de Trabalho</t>
  </si>
  <si>
    <t>Editar Permissões de Campos</t>
  </si>
  <si>
    <t>Copiar Fluxo de Trabalho</t>
  </si>
  <si>
    <t>Consultar Resumo do Fluxo de Trabalho</t>
  </si>
  <si>
    <t>Selecionar Papel</t>
  </si>
  <si>
    <t>Selecionar Tipo de Tarefa</t>
  </si>
  <si>
    <t>Incluir Campo Personalizado de Tarefas</t>
  </si>
  <si>
    <t>Alterar Campo Personalizado de Tarefas</t>
  </si>
  <si>
    <t>Consultar Campo Personalizado de Tarefas</t>
  </si>
  <si>
    <t>Pesquisar Campo Personalizado</t>
  </si>
  <si>
    <t>Excluir Campo Personalizado</t>
  </si>
  <si>
    <t>Incluir Campo Personalizado de Projeto ou Usuário</t>
  </si>
  <si>
    <t>Alterar Campo Personalizado de Projeto ou Usuário</t>
  </si>
  <si>
    <t>Consultar Campo Personalizado de Projeto ou Usuário</t>
  </si>
  <si>
    <t>Consultar Campo Personalizado de Tempo Gasto</t>
  </si>
  <si>
    <t>Incluir Campo Personalizado de Tempo Gasto, Versões ou Grupos</t>
  </si>
  <si>
    <t>Alterar Campo Personalizado de Tempo Gasto, Versões ou Grupos</t>
  </si>
  <si>
    <t>Incluir Campo Personalizado de Atividades, Prioridade ou Cat. Doc.</t>
  </si>
  <si>
    <t>Alterar Campo Personalizado de Atividades, Prioridade ou Cat. Doc.</t>
  </si>
  <si>
    <t>Consultar Campo Personalizado de Atividades, Prioridade ou Cat. Doc.</t>
  </si>
  <si>
    <t>Campo Personalizado</t>
  </si>
  <si>
    <t>Projeto (Projeto, Versão)</t>
  </si>
  <si>
    <t>Pesquisar Categorias de Documento</t>
  </si>
  <si>
    <t>Incluir Categoria de Documento</t>
  </si>
  <si>
    <t>Alterar Categoria de Documento</t>
  </si>
  <si>
    <t>Consultar Categoria de Documento</t>
  </si>
  <si>
    <t>Excluir Categoria de Documento</t>
  </si>
  <si>
    <t>Categoria de Documento</t>
  </si>
  <si>
    <t>Pesquisar Prioridades de Tarefas</t>
  </si>
  <si>
    <t>Incluir Prioridade de Tarefa</t>
  </si>
  <si>
    <t>Alterar Prioridade de Tarefa</t>
  </si>
  <si>
    <t>Consultar Prioridade de Tarefa</t>
  </si>
  <si>
    <t>Excluir Prioridade de Tarefa</t>
  </si>
  <si>
    <t>Prioridade de Tarefa</t>
  </si>
  <si>
    <t>Pesquisar Atividades de Registro de Horas</t>
  </si>
  <si>
    <t>Incluir Atividade de Registro de Horas</t>
  </si>
  <si>
    <t>Alterar Atividade de Registro de Horas</t>
  </si>
  <si>
    <t>Consultar Atividade de Registro de Horas</t>
  </si>
  <si>
    <t>Excluir Atividade de Registro de Horas</t>
  </si>
  <si>
    <t>Atividade de Registro de Horas</t>
  </si>
  <si>
    <t>Configurações Gerais</t>
  </si>
  <si>
    <t>Configurações de Exibição</t>
  </si>
  <si>
    <t>Configurações de Autenticação</t>
  </si>
  <si>
    <t>Configurações de Projetos</t>
  </si>
  <si>
    <t>Configurações de Tarefas</t>
  </si>
  <si>
    <t>Configurações de Notificações de E-mail</t>
  </si>
  <si>
    <t>Configurações de E-mails Recebidos</t>
  </si>
  <si>
    <t>Configurações de Repositório</t>
  </si>
  <si>
    <t>Alterar Configurações Gerais</t>
  </si>
  <si>
    <t>Alterar Configurações de Exibição</t>
  </si>
  <si>
    <t>Alterar Configurações de Autenticação</t>
  </si>
  <si>
    <t>Alterar Configurações de Projetos</t>
  </si>
  <si>
    <t>Alterar Configurações de Tarefas</t>
  </si>
  <si>
    <t>Alterar Configurações de Notificações de E-mail</t>
  </si>
  <si>
    <t>Alterar Configurações de E-mails Recebidos</t>
  </si>
  <si>
    <t>Alterar Configurações de Repositório</t>
  </si>
  <si>
    <t>Consultar Configurações Gerais</t>
  </si>
  <si>
    <t>Consultar Configurações de Exibição</t>
  </si>
  <si>
    <t>Consultar Configurações de Autenticação</t>
  </si>
  <si>
    <t>Consultar Configurações de Projetos</t>
  </si>
  <si>
    <t>Consultar Configurações de Tarefas</t>
  </si>
  <si>
    <t>Consultar Configurações de Notificações de E-mail</t>
  </si>
  <si>
    <t>Consultar Configurações de E-mails Recebidos</t>
  </si>
  <si>
    <t>Consultar Configurações de Repositório</t>
  </si>
  <si>
    <t>DROPDOWN - Listar Papéis</t>
  </si>
  <si>
    <t>Pesquisar Modos de Autenticação</t>
  </si>
  <si>
    <t>Incluir Modo de Autenticação</t>
  </si>
  <si>
    <t>Alterar Modo de Autenticação</t>
  </si>
  <si>
    <t>Consultar Modo de Autenticação</t>
  </si>
  <si>
    <t>Excluir Modo de Autenticação</t>
  </si>
  <si>
    <t>Modo de Autenticação</t>
  </si>
  <si>
    <t>Pesquisar Plugins</t>
  </si>
  <si>
    <t>Alterar Configuração do Plugin</t>
  </si>
  <si>
    <t>Consultar Configuração do Plugin</t>
  </si>
  <si>
    <t>Configuração do Plugin</t>
  </si>
  <si>
    <t>Exibir Chave de Acesso</t>
  </si>
  <si>
    <t>Alterar Senha</t>
  </si>
  <si>
    <t>Redefinir Chave de Acesso ao Atom</t>
  </si>
  <si>
    <t>Redefinir Chave de Acesso a API</t>
  </si>
  <si>
    <t>Foi utilizado o sistema em produção na sua versão 2.4.</t>
  </si>
  <si>
    <t>Realizada utilizando-se a técnica estimada NESMA de PF.</t>
  </si>
  <si>
    <t>Redmine 2.4</t>
  </si>
  <si>
    <t>Serviços</t>
  </si>
  <si>
    <t>Detalhar um Registro de Projeto</t>
  </si>
  <si>
    <t>Pesquisar Últimos Registros de Projetos</t>
  </si>
  <si>
    <t>Pesquisar Últimos Registros de Versões</t>
  </si>
  <si>
    <t>Pesquisar Últimos Registros de Categorias de Tarefas</t>
  </si>
  <si>
    <t>Pesquisar Últimos Registros de Tarefas</t>
  </si>
  <si>
    <t>Pesquisar Últimos Registros de Campos Personalizados</t>
  </si>
  <si>
    <t>Pesquisar Últimos Registros de Grupos</t>
  </si>
  <si>
    <t>Pesquisar Últimos Registros de Prioridades de Tarefas</t>
  </si>
  <si>
    <t>Pesquisar Últimos Registros de Situações de Tarefas</t>
  </si>
  <si>
    <t>Pesquisar Últimos Registros de Notícias</t>
  </si>
  <si>
    <t>Pesquisar Últimos Registros de Consultas</t>
  </si>
  <si>
    <t>Salvar Consulta</t>
  </si>
  <si>
    <t>Pesquisar Últimos Registros de Papéis</t>
  </si>
  <si>
    <t>Pesquisar Últimos Registros de Lançamentos</t>
  </si>
  <si>
    <t>Pesquisar Últimos Registros de Marcadores</t>
  </si>
  <si>
    <t>Pesquisar Últimos Registros de Usuários</t>
  </si>
  <si>
    <t>Pesquisar Últimos Registros de Páginas Wiki</t>
  </si>
  <si>
    <t>Detalhar um Registro de Tarefa</t>
  </si>
  <si>
    <t>Comum</t>
  </si>
  <si>
    <t>Consulta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</si>
</sst>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00.00\ \P\F"/>
  </numFmts>
  <fonts count="8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color theme="0" tint="-0.499984740745262"/>
      <name val="Arial"/>
      <family val="2"/>
    </font>
    <font>
      <sz val="11"/>
      <color theme="9" tint="0.79998168889431442"/>
      <name val="Calibri"/>
      <family val="2"/>
      <scheme val="minor"/>
    </font>
    <font>
      <sz val="11"/>
      <color theme="9" tint="0.79998168889431442"/>
      <name val="Arial"/>
      <family val="2"/>
    </font>
    <font>
      <sz val="10"/>
      <color theme="0" tint="-0.34998626667073579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2"/>
      <name val="Arial"/>
      <family val="2"/>
    </font>
    <font>
      <sz val="10"/>
      <color theme="1"/>
      <name val="Calibri"/>
      <family val="2"/>
      <scheme val="minor"/>
    </font>
    <font>
      <sz val="11"/>
      <color theme="9" tint="0.39997558519241921"/>
      <name val="Arial"/>
      <family val="2"/>
    </font>
    <font>
      <b/>
      <sz val="16"/>
      <name val="Arial Unicode MS"/>
      <family val="2"/>
    </font>
    <font>
      <sz val="28"/>
      <color theme="9" tint="0.39997558519241921"/>
      <name val="Sakkal Majalla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  <font>
      <i/>
      <sz val="8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0" tint="-0.499984740745262"/>
      <name val="Arial"/>
      <family val="2"/>
    </font>
    <font>
      <sz val="10"/>
      <name val="Lucida Sans"/>
      <family val="2"/>
    </font>
    <font>
      <sz val="10"/>
      <color theme="0" tint="-0.499984740745262"/>
      <name val="Calibri"/>
      <family val="2"/>
      <scheme val="minor"/>
    </font>
    <font>
      <u/>
      <sz val="10"/>
      <color theme="6" tint="-0.499984740745262"/>
      <name val="Calibri"/>
      <family val="2"/>
      <scheme val="minor"/>
    </font>
    <font>
      <u/>
      <sz val="10"/>
      <color theme="10"/>
      <name val="Arial"/>
      <family val="2"/>
    </font>
    <font>
      <i/>
      <sz val="10"/>
      <name val="Calibri"/>
      <family val="2"/>
      <scheme val="minor"/>
    </font>
    <font>
      <b/>
      <i/>
      <sz val="12"/>
      <color theme="6" tint="-0.499984740745262"/>
      <name val="Lucida Sans"/>
      <family val="2"/>
    </font>
    <font>
      <i/>
      <sz val="10"/>
      <name val="Lucida Sans"/>
      <family val="2"/>
    </font>
    <font>
      <i/>
      <sz val="10"/>
      <name val="Arial"/>
      <family val="2"/>
    </font>
    <font>
      <sz val="10"/>
      <name val="Calibri"/>
      <family val="2"/>
      <scheme val="minor"/>
    </font>
    <font>
      <i/>
      <sz val="8"/>
      <name val="Calibri"/>
      <family val="2"/>
      <scheme val="minor"/>
    </font>
    <font>
      <b/>
      <sz val="10"/>
      <name val="Arial"/>
      <family val="2"/>
    </font>
    <font>
      <b/>
      <sz val="7"/>
      <name val="Trebuchet MS"/>
      <family val="2"/>
    </font>
    <font>
      <i/>
      <sz val="8"/>
      <name val="Trebuchet MS"/>
      <family val="2"/>
    </font>
    <font>
      <b/>
      <i/>
      <sz val="8"/>
      <name val="Trebuchet MS"/>
      <family val="2"/>
    </font>
    <font>
      <b/>
      <sz val="10"/>
      <name val="Calibri"/>
      <family val="2"/>
      <scheme val="minor"/>
    </font>
    <font>
      <sz val="8"/>
      <name val="Trebuchet MS"/>
      <family val="2"/>
    </font>
    <font>
      <sz val="8"/>
      <color indexed="18"/>
      <name val="Trebuchet MS"/>
      <family val="2"/>
    </font>
    <font>
      <i/>
      <sz val="10"/>
      <color theme="2" tint="-0.89999084444715716"/>
      <name val="Calibri"/>
      <family val="2"/>
      <scheme val="minor"/>
    </font>
    <font>
      <i/>
      <sz val="10"/>
      <color theme="2" tint="-0.89999084444715716"/>
      <name val="Arial"/>
      <family val="2"/>
    </font>
    <font>
      <sz val="8"/>
      <name val="Calibri"/>
      <family val="2"/>
      <scheme val="minor"/>
    </font>
    <font>
      <b/>
      <i/>
      <sz val="8"/>
      <color indexed="18"/>
      <name val="Trebuchet MS"/>
      <family val="2"/>
    </font>
    <font>
      <sz val="10"/>
      <name val="Trebuchet MS"/>
      <family val="2"/>
    </font>
    <font>
      <sz val="7"/>
      <name val="Trebuchet MS"/>
      <family val="2"/>
    </font>
    <font>
      <b/>
      <i/>
      <sz val="10"/>
      <name val="Trebuchet MS"/>
      <family val="2"/>
    </font>
    <font>
      <sz val="10"/>
      <name val="Arial"/>
      <family val="2"/>
    </font>
    <font>
      <b/>
      <i/>
      <sz val="5"/>
      <name val="Trebuchet MS"/>
      <family val="2"/>
    </font>
    <font>
      <i/>
      <sz val="10"/>
      <color rgb="FFFF0000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C00000"/>
      <name val="Courier New"/>
      <family val="3"/>
    </font>
    <font>
      <sz val="8"/>
      <color theme="0" tint="-0.499984740745262"/>
      <name val="Arial"/>
      <family val="2"/>
    </font>
    <font>
      <sz val="10"/>
      <color theme="0" tint="-0.499984740745262"/>
      <name val="Calibri"/>
      <family val="2"/>
    </font>
    <font>
      <b/>
      <sz val="8"/>
      <name val="Calibri"/>
      <family val="2"/>
      <scheme val="minor"/>
    </font>
    <font>
      <b/>
      <i/>
      <sz val="12"/>
      <color theme="1" tint="0.499984740745262"/>
      <name val="Trebuchet MS"/>
      <family val="2"/>
    </font>
    <font>
      <sz val="12"/>
      <color theme="1" tint="0.499984740745262"/>
      <name val="Trebuchet MS"/>
      <family val="2"/>
    </font>
    <font>
      <sz val="8"/>
      <color theme="3" tint="-0.499984740745262"/>
      <name val="Trebuchet MS"/>
      <family val="2"/>
    </font>
    <font>
      <i/>
      <sz val="10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i/>
      <sz val="8"/>
      <color theme="0"/>
      <name val="Trebuchet MS"/>
      <family val="2"/>
    </font>
    <font>
      <b/>
      <sz val="2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10"/>
      <color theme="0" tint="-0.34998626667073579"/>
      <name val="Arial"/>
      <family val="2"/>
    </font>
    <font>
      <i/>
      <sz val="10"/>
      <color theme="0" tint="-0.34998626667073579"/>
      <name val="Calibri"/>
      <family val="2"/>
      <scheme val="minor"/>
    </font>
    <font>
      <i/>
      <sz val="10"/>
      <color theme="0" tint="-0.34998626667073579"/>
      <name val="Trebuchet MS"/>
      <family val="2"/>
    </font>
    <font>
      <b/>
      <sz val="12"/>
      <color theme="6" tint="-0.499984740745262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u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color theme="1" tint="4.9989318521683403E-2"/>
      <name val="Trebuchet MS"/>
      <family val="2"/>
    </font>
    <font>
      <i/>
      <sz val="8"/>
      <color theme="1" tint="4.9989318521683403E-2"/>
      <name val="Trebuchet MS"/>
      <family val="2"/>
    </font>
    <font>
      <sz val="8"/>
      <color theme="1" tint="4.9989318521683403E-2"/>
      <name val="Trebuchet MS"/>
      <family val="2"/>
    </font>
    <font>
      <sz val="12"/>
      <name val="Lucida Sans"/>
      <family val="2"/>
    </font>
    <font>
      <sz val="12"/>
      <name val="Calibri"/>
      <family val="2"/>
      <scheme val="minor"/>
    </font>
    <font>
      <sz val="12"/>
      <name val="Arial"/>
      <family val="2"/>
    </font>
    <font>
      <sz val="8"/>
      <color rgb="FF000000"/>
      <name val="Tahoma"/>
      <family val="2"/>
    </font>
    <font>
      <sz val="18"/>
      <name val="Calibri"/>
      <family val="2"/>
      <scheme val="minor"/>
    </font>
    <font>
      <sz val="8"/>
      <color rgb="FFFF0000"/>
      <name val="Trebuchet MS"/>
      <family val="2"/>
    </font>
    <font>
      <sz val="10"/>
      <color theme="2" tint="-0.74999237037263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darkGray">
        <fgColor theme="0"/>
        <bgColor theme="6" tint="-0.249977111117893"/>
      </patternFill>
    </fill>
    <fill>
      <patternFill patternType="darkGray">
        <fgColor theme="0"/>
        <bgColor rgb="FFFFFFCC"/>
      </patternFill>
    </fill>
    <fill>
      <patternFill patternType="darkGray">
        <fgColor theme="0"/>
        <bgColor theme="2"/>
      </patternFill>
    </fill>
    <fill>
      <patternFill patternType="darkGray">
        <fgColor theme="0"/>
        <bgColor theme="5" tint="0.79998168889431442"/>
      </patternFill>
    </fill>
    <fill>
      <patternFill patternType="darkGray">
        <fgColor theme="0"/>
        <bgColor theme="5" tint="-0.249977111117893"/>
      </patternFill>
    </fill>
    <fill>
      <patternFill patternType="darkGray">
        <fgColor theme="0"/>
        <bgColor theme="6" tint="0.79998168889431442"/>
      </patternFill>
    </fill>
    <fill>
      <patternFill patternType="darkGray">
        <fgColor theme="0"/>
        <bgColor theme="4" tint="-0.499984740745262"/>
      </patternFill>
    </fill>
    <fill>
      <patternFill patternType="darkGray">
        <fgColor theme="0"/>
        <bgColor theme="7" tint="-0.499984740745262"/>
      </patternFill>
    </fill>
    <fill>
      <patternFill patternType="darkGray">
        <fgColor theme="0"/>
        <bgColor theme="2" tint="-0.499984740745262"/>
      </patternFill>
    </fill>
    <fill>
      <patternFill patternType="darkGray">
        <fgColor theme="0"/>
        <bgColor theme="8" tint="-0.249977111117893"/>
      </patternFill>
    </fill>
    <fill>
      <patternFill patternType="gray125">
        <bgColor theme="3" tint="-0.249977111117893"/>
      </patternFill>
    </fill>
    <fill>
      <patternFill patternType="darkGray">
        <fgColor theme="0"/>
        <bgColor rgb="FFFFFF00"/>
      </patternFill>
    </fill>
    <fill>
      <patternFill patternType="darkGray">
        <fgColor theme="0"/>
        <bgColor rgb="FFFF0000"/>
      </patternFill>
    </fill>
    <fill>
      <patternFill patternType="solid">
        <fgColor theme="0" tint="-0.34998626667073579"/>
        <bgColor theme="0"/>
      </patternFill>
    </fill>
    <fill>
      <patternFill patternType="solid">
        <fgColor rgb="FFFFFF00"/>
        <bgColor theme="0"/>
      </patternFill>
    </fill>
    <fill>
      <patternFill patternType="darkGray">
        <fgColor theme="0"/>
        <bgColor theme="0" tint="-0.49998474074526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theme="0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Up">
        <fgColor theme="0"/>
        <bgColor theme="0" tint="-4.9989318521683403E-2"/>
      </patternFill>
    </fill>
    <fill>
      <patternFill patternType="solid">
        <fgColor theme="6" tint="0.79998168889431442"/>
        <bgColor indexed="64"/>
      </patternFill>
    </fill>
    <fill>
      <patternFill patternType="lightUp">
        <fgColor theme="6" tint="0.79998168889431442"/>
        <bgColor theme="0"/>
      </patternFill>
    </fill>
    <fill>
      <patternFill patternType="lightUp">
        <fgColor theme="9" tint="0.79998168889431442"/>
        <bgColor theme="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lightUp">
        <fgColor theme="0"/>
        <bgColor theme="6" tint="0.79998168889431442"/>
      </patternFill>
    </fill>
    <fill>
      <patternFill patternType="lightUp">
        <fgColor theme="0"/>
        <bgColor theme="0" tint="-0.14999847407452621"/>
      </patternFill>
    </fill>
    <fill>
      <patternFill patternType="lightUp">
        <fgColor theme="6" tint="0.79998168889431442"/>
        <bgColor theme="4" tint="0.79998168889431442"/>
      </patternFill>
    </fill>
    <fill>
      <patternFill patternType="lightUp">
        <fgColor theme="6" tint="0.79998168889431442"/>
        <bgColor theme="6" tint="0.79998168889431442"/>
      </patternFill>
    </fill>
    <fill>
      <patternFill patternType="lightUp">
        <fgColor theme="6" tint="0.79998168889431442"/>
        <bgColor theme="0" tint="-0.14999847407452621"/>
      </patternFill>
    </fill>
    <fill>
      <patternFill patternType="lightUp">
        <fgColor theme="6" tint="0.79998168889431442"/>
        <bgColor theme="9" tint="0.5999938962981048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>
        <fgColor theme="0"/>
        <bgColor rgb="FFFFFFCC"/>
      </patternFill>
    </fill>
    <fill>
      <patternFill patternType="lightUp">
        <fgColor theme="0"/>
        <bgColor theme="4" tint="0.79998168889431442"/>
      </patternFill>
    </fill>
    <fill>
      <patternFill patternType="lightUp">
        <fgColor theme="0"/>
        <bgColor theme="6" tint="0.59999389629810485"/>
      </patternFill>
    </fill>
    <fill>
      <patternFill patternType="solid">
        <fgColor theme="2" tint="-9.9978637043366805E-2"/>
        <bgColor indexed="64"/>
      </patternFill>
    </fill>
    <fill>
      <patternFill patternType="lightUp">
        <fgColor theme="0"/>
        <bgColor rgb="FFFFFF00"/>
      </patternFill>
    </fill>
    <fill>
      <patternFill patternType="darkGray">
        <fgColor theme="0"/>
        <bgColor theme="0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/>
      <bottom style="hair">
        <color indexed="2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6" tint="-0.499984740745262"/>
      </left>
      <right style="thin">
        <color theme="6" tint="-0.499984740745262"/>
      </right>
      <top style="medium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medium">
        <color theme="6" tint="-0.499984740745262"/>
      </left>
      <right style="hair">
        <color theme="0" tint="-0.499984740745262"/>
      </right>
      <top/>
      <bottom style="medium">
        <color theme="6" tint="-0.499984740745262"/>
      </bottom>
      <diagonal/>
    </border>
    <border>
      <left/>
      <right/>
      <top/>
      <bottom style="medium">
        <color theme="6" tint="-0.499984740745262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theme="6" tint="-0.499984740745262"/>
      </left>
      <right style="hair">
        <color theme="0" tint="-0.499984740745262"/>
      </right>
      <top/>
      <bottom/>
      <diagonal/>
    </border>
    <border>
      <left/>
      <right/>
      <top style="medium">
        <color theme="6" tint="-0.499984740745262"/>
      </top>
      <bottom/>
      <diagonal/>
    </border>
    <border>
      <left style="medium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medium">
        <color theme="6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6" tint="-0.499984740745262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medium">
        <color theme="6" tint="-0.499984740745262"/>
      </bottom>
      <diagonal/>
    </border>
    <border>
      <left style="thin">
        <color indexed="22"/>
      </left>
      <right style="hair">
        <color indexed="64"/>
      </right>
      <top/>
      <bottom/>
      <diagonal/>
    </border>
    <border>
      <left style="thin">
        <color indexed="22"/>
      </left>
      <right style="medium">
        <color theme="6" tint="-0.499984740745262"/>
      </right>
      <top/>
      <bottom style="hair">
        <color indexed="22"/>
      </bottom>
      <diagonal/>
    </border>
    <border>
      <left style="thin">
        <color indexed="22"/>
      </left>
      <right style="medium">
        <color theme="6" tint="-0.499984740745262"/>
      </right>
      <top style="hair">
        <color indexed="22"/>
      </top>
      <bottom style="hair">
        <color indexed="22"/>
      </bottom>
      <diagonal/>
    </border>
    <border>
      <left style="thin">
        <color indexed="22"/>
      </left>
      <right style="medium">
        <color theme="6" tint="-0.499984740745262"/>
      </right>
      <top style="hair">
        <color indexed="22"/>
      </top>
      <bottom style="medium">
        <color theme="6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</borders>
  <cellStyleXfs count="6">
    <xf numFmtId="0" fontId="0" fillId="0" borderId="0"/>
    <xf numFmtId="0" fontId="26" fillId="0" borderId="0"/>
    <xf numFmtId="0" fontId="31" fillId="0" borderId="0" applyNumberFormat="0" applyFill="0" applyBorder="0" applyAlignment="0" applyProtection="0"/>
    <xf numFmtId="0" fontId="52" fillId="0" borderId="0"/>
    <xf numFmtId="9" fontId="26" fillId="0" borderId="0" applyFont="0" applyFill="0" applyBorder="0" applyAlignment="0" applyProtection="0"/>
    <xf numFmtId="164" fontId="26" fillId="0" borderId="0" applyFont="0" applyFill="0" applyBorder="0" applyAlignment="0" applyProtection="0"/>
  </cellStyleXfs>
  <cellXfs count="348">
    <xf numFmtId="0" fontId="0" fillId="0" borderId="0" xfId="0"/>
    <xf numFmtId="0" fontId="1" fillId="0" borderId="0" xfId="0" applyFont="1"/>
    <xf numFmtId="0" fontId="0" fillId="0" borderId="0" xfId="0" applyAlignment="1">
      <alignment horizontal="left" indent="1"/>
    </xf>
    <xf numFmtId="0" fontId="2" fillId="0" borderId="0" xfId="0" applyFont="1"/>
    <xf numFmtId="0" fontId="0" fillId="3" borderId="0" xfId="0" applyFill="1"/>
    <xf numFmtId="0" fontId="2" fillId="3" borderId="0" xfId="0" applyFont="1" applyFill="1"/>
    <xf numFmtId="0" fontId="0" fillId="2" borderId="0" xfId="0" applyFill="1"/>
    <xf numFmtId="0" fontId="4" fillId="3" borderId="0" xfId="0" applyFont="1" applyFill="1"/>
    <xf numFmtId="0" fontId="3" fillId="3" borderId="0" xfId="0" applyFont="1" applyFill="1"/>
    <xf numFmtId="0" fontId="0" fillId="3" borderId="0" xfId="0" applyFont="1" applyFill="1"/>
    <xf numFmtId="0" fontId="11" fillId="3" borderId="0" xfId="0" applyFont="1" applyFill="1"/>
    <xf numFmtId="0" fontId="14" fillId="0" borderId="0" xfId="0" applyFont="1"/>
    <xf numFmtId="0" fontId="5" fillId="7" borderId="0" xfId="0" applyFont="1" applyFill="1" applyBorder="1" applyAlignment="1">
      <alignment horizontal="left" vertical="top" indent="1"/>
    </xf>
    <xf numFmtId="0" fontId="5" fillId="8" borderId="0" xfId="0" applyFont="1" applyFill="1" applyBorder="1" applyAlignment="1">
      <alignment horizontal="left" indent="1"/>
    </xf>
    <xf numFmtId="0" fontId="8" fillId="8" borderId="0" xfId="0" applyFont="1" applyFill="1" applyBorder="1" applyAlignment="1">
      <alignment horizontal="left" indent="1"/>
    </xf>
    <xf numFmtId="0" fontId="6" fillId="6" borderId="0" xfId="0" applyFont="1" applyFill="1" applyBorder="1"/>
    <xf numFmtId="0" fontId="6" fillId="9" borderId="0" xfId="0" applyFont="1" applyFill="1" applyBorder="1"/>
    <xf numFmtId="0" fontId="5" fillId="11" borderId="0" xfId="0" applyFont="1" applyFill="1" applyBorder="1" applyAlignment="1">
      <alignment horizontal="left" vertical="top" indent="1"/>
    </xf>
    <xf numFmtId="0" fontId="6" fillId="10" borderId="0" xfId="0" applyFont="1" applyFill="1" applyBorder="1"/>
    <xf numFmtId="0" fontId="5" fillId="12" borderId="0" xfId="0" applyFont="1" applyFill="1" applyBorder="1"/>
    <xf numFmtId="0" fontId="5" fillId="13" borderId="0" xfId="0" applyFont="1" applyFill="1" applyBorder="1"/>
    <xf numFmtId="0" fontId="5" fillId="14" borderId="0" xfId="0" applyFont="1" applyFill="1" applyBorder="1"/>
    <xf numFmtId="0" fontId="5" fillId="15" borderId="0" xfId="0" applyFont="1" applyFill="1" applyBorder="1"/>
    <xf numFmtId="0" fontId="12" fillId="5" borderId="2" xfId="0" applyFont="1" applyFill="1" applyBorder="1"/>
    <xf numFmtId="0" fontId="13" fillId="5" borderId="3" xfId="0" applyFont="1" applyFill="1" applyBorder="1" applyAlignment="1">
      <alignment horizontal="left" vertical="center" indent="1"/>
    </xf>
    <xf numFmtId="0" fontId="13" fillId="4" borderId="3" xfId="0" applyFont="1" applyFill="1" applyBorder="1" applyAlignment="1">
      <alignment horizontal="left" vertical="center" indent="1"/>
    </xf>
    <xf numFmtId="0" fontId="13" fillId="5" borderId="4" xfId="0" applyFont="1" applyFill="1" applyBorder="1" applyAlignment="1">
      <alignment horizontal="left" vertical="center" indent="1"/>
    </xf>
    <xf numFmtId="0" fontId="0" fillId="6" borderId="5" xfId="0" applyFill="1" applyBorder="1"/>
    <xf numFmtId="0" fontId="3" fillId="8" borderId="6" xfId="0" applyFont="1" applyFill="1" applyBorder="1" applyAlignment="1">
      <alignment horizontal="left" indent="1"/>
    </xf>
    <xf numFmtId="0" fontId="2" fillId="6" borderId="5" xfId="0" applyFont="1" applyFill="1" applyBorder="1"/>
    <xf numFmtId="0" fontId="6" fillId="9" borderId="6" xfId="0" applyFont="1" applyFill="1" applyBorder="1"/>
    <xf numFmtId="0" fontId="0" fillId="10" borderId="5" xfId="0" applyFill="1" applyBorder="1"/>
    <xf numFmtId="0" fontId="2" fillId="10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0" fillId="15" borderId="5" xfId="0" applyFill="1" applyBorder="1"/>
    <xf numFmtId="0" fontId="6" fillId="9" borderId="7" xfId="0" applyFont="1" applyFill="1" applyBorder="1"/>
    <xf numFmtId="0" fontId="6" fillId="9" borderId="8" xfId="0" applyFont="1" applyFill="1" applyBorder="1"/>
    <xf numFmtId="0" fontId="9" fillId="16" borderId="0" xfId="0" applyFont="1" applyFill="1"/>
    <xf numFmtId="0" fontId="17" fillId="16" borderId="0" xfId="0" applyFont="1" applyFill="1"/>
    <xf numFmtId="0" fontId="15" fillId="16" borderId="0" xfId="0" applyFont="1" applyFill="1"/>
    <xf numFmtId="0" fontId="10" fillId="16" borderId="0" xfId="0" applyFont="1" applyFill="1"/>
    <xf numFmtId="0" fontId="10" fillId="2" borderId="0" xfId="0" applyFont="1" applyFill="1"/>
    <xf numFmtId="0" fontId="7" fillId="9" borderId="0" xfId="0" applyFont="1" applyFill="1" applyBorder="1" applyAlignment="1">
      <alignment horizontal="right"/>
    </xf>
    <xf numFmtId="0" fontId="6" fillId="9" borderId="0" xfId="0" applyFont="1" applyFill="1" applyBorder="1" applyAlignment="1">
      <alignment horizontal="center"/>
    </xf>
    <xf numFmtId="0" fontId="7" fillId="17" borderId="0" xfId="0" applyFont="1" applyFill="1" applyBorder="1"/>
    <xf numFmtId="0" fontId="6" fillId="17" borderId="0" xfId="0" applyFont="1" applyFill="1" applyBorder="1"/>
    <xf numFmtId="0" fontId="6" fillId="17" borderId="6" xfId="0" applyFont="1" applyFill="1" applyBorder="1"/>
    <xf numFmtId="0" fontId="6" fillId="9" borderId="0" xfId="0" applyFont="1" applyFill="1" applyBorder="1" applyAlignment="1">
      <alignment horizontal="left" indent="1"/>
    </xf>
    <xf numFmtId="0" fontId="6" fillId="9" borderId="1" xfId="0" applyFont="1" applyFill="1" applyBorder="1"/>
    <xf numFmtId="0" fontId="7" fillId="9" borderId="0" xfId="0" applyFont="1" applyFill="1" applyBorder="1" applyAlignment="1">
      <alignment horizontal="left" indent="1"/>
    </xf>
    <xf numFmtId="0" fontId="5" fillId="7" borderId="0" xfId="0" applyFont="1" applyFill="1" applyBorder="1" applyAlignment="1">
      <alignment horizontal="left" vertical="top" indent="1"/>
    </xf>
    <xf numFmtId="0" fontId="5" fillId="11" borderId="0" xfId="0" applyFont="1" applyFill="1" applyBorder="1" applyAlignment="1">
      <alignment horizontal="left" vertical="top" indent="1"/>
    </xf>
    <xf numFmtId="0" fontId="7" fillId="9" borderId="0" xfId="0" applyFont="1" applyFill="1" applyBorder="1"/>
    <xf numFmtId="0" fontId="6" fillId="8" borderId="0" xfId="0" applyFont="1" applyFill="1" applyBorder="1" applyAlignment="1">
      <alignment horizontal="left" indent="1"/>
    </xf>
    <xf numFmtId="0" fontId="21" fillId="9" borderId="0" xfId="0" applyFont="1" applyFill="1" applyBorder="1"/>
    <xf numFmtId="0" fontId="5" fillId="8" borderId="0" xfId="0" applyFont="1" applyFill="1" applyBorder="1" applyAlignment="1">
      <alignment horizontal="left" wrapText="1" indent="1"/>
    </xf>
    <xf numFmtId="0" fontId="6" fillId="9" borderId="1" xfId="0" applyFont="1" applyFill="1" applyBorder="1" applyAlignment="1">
      <alignment horizontal="center"/>
    </xf>
    <xf numFmtId="0" fontId="6" fillId="21" borderId="1" xfId="0" applyFont="1" applyFill="1" applyBorder="1"/>
    <xf numFmtId="0" fontId="6" fillId="20" borderId="1" xfId="0" applyFont="1" applyFill="1" applyBorder="1" applyAlignment="1">
      <alignment horizontal="center"/>
    </xf>
    <xf numFmtId="0" fontId="6" fillId="19" borderId="1" xfId="0" applyFont="1" applyFill="1" applyBorder="1" applyAlignment="1">
      <alignment horizontal="center"/>
    </xf>
    <xf numFmtId="0" fontId="21" fillId="9" borderId="6" xfId="0" applyFont="1" applyFill="1" applyBorder="1"/>
    <xf numFmtId="0" fontId="0" fillId="0" borderId="0" xfId="0" applyAlignment="1">
      <alignment horizontal="left"/>
    </xf>
    <xf numFmtId="0" fontId="0" fillId="22" borderId="0" xfId="0" applyFill="1"/>
    <xf numFmtId="0" fontId="0" fillId="23" borderId="0" xfId="0" applyFill="1"/>
    <xf numFmtId="0" fontId="22" fillId="22" borderId="0" xfId="0" applyFont="1" applyFill="1"/>
    <xf numFmtId="0" fontId="25" fillId="0" borderId="0" xfId="0" applyFont="1"/>
    <xf numFmtId="0" fontId="52" fillId="35" borderId="0" xfId="3" applyFill="1" applyAlignment="1"/>
    <xf numFmtId="0" fontId="52" fillId="35" borderId="0" xfId="3" applyFill="1" applyAlignment="1">
      <alignment horizontal="center"/>
    </xf>
    <xf numFmtId="0" fontId="28" fillId="26" borderId="0" xfId="3" applyFont="1" applyFill="1"/>
    <xf numFmtId="0" fontId="52" fillId="35" borderId="0" xfId="3" applyFill="1" applyBorder="1" applyAlignment="1"/>
    <xf numFmtId="0" fontId="43" fillId="35" borderId="0" xfId="3" applyFont="1" applyFill="1" applyBorder="1" applyAlignment="1"/>
    <xf numFmtId="0" fontId="28" fillId="29" borderId="0" xfId="3" applyFont="1" applyFill="1"/>
    <xf numFmtId="0" fontId="29" fillId="34" borderId="15" xfId="3" applyFont="1" applyFill="1" applyBorder="1" applyAlignment="1">
      <alignment horizontal="center"/>
    </xf>
    <xf numFmtId="0" fontId="41" fillId="35" borderId="0" xfId="3" applyFont="1" applyFill="1" applyBorder="1" applyAlignment="1"/>
    <xf numFmtId="0" fontId="52" fillId="36" borderId="0" xfId="3" applyFill="1" applyBorder="1" applyAlignment="1"/>
    <xf numFmtId="0" fontId="52" fillId="36" borderId="0" xfId="3" applyFill="1" applyBorder="1" applyAlignment="1">
      <alignment horizontal="center"/>
    </xf>
    <xf numFmtId="0" fontId="44" fillId="35" borderId="0" xfId="3" applyFont="1" applyFill="1" applyBorder="1" applyAlignment="1"/>
    <xf numFmtId="0" fontId="52" fillId="0" borderId="0" xfId="3"/>
    <xf numFmtId="0" fontId="52" fillId="0" borderId="0" xfId="3" applyAlignment="1">
      <alignment horizontal="center"/>
    </xf>
    <xf numFmtId="0" fontId="53" fillId="35" borderId="0" xfId="3" applyFont="1" applyFill="1" applyBorder="1" applyAlignment="1"/>
    <xf numFmtId="0" fontId="39" fillId="35" borderId="0" xfId="3" applyFont="1" applyFill="1" applyBorder="1" applyAlignment="1"/>
    <xf numFmtId="0" fontId="40" fillId="35" borderId="0" xfId="3" applyFont="1" applyFill="1" applyBorder="1" applyAlignment="1"/>
    <xf numFmtId="0" fontId="52" fillId="27" borderId="0" xfId="3" applyFill="1"/>
    <xf numFmtId="0" fontId="52" fillId="27" borderId="0" xfId="3" applyFill="1" applyAlignment="1">
      <alignment horizontal="center"/>
    </xf>
    <xf numFmtId="0" fontId="27" fillId="25" borderId="0" xfId="3" applyFont="1" applyFill="1"/>
    <xf numFmtId="0" fontId="41" fillId="35" borderId="0" xfId="3" applyFont="1" applyFill="1" applyBorder="1"/>
    <xf numFmtId="0" fontId="48" fillId="35" borderId="0" xfId="3" applyFont="1" applyFill="1" applyBorder="1"/>
    <xf numFmtId="0" fontId="43" fillId="35" borderId="0" xfId="3" applyFont="1" applyFill="1" applyBorder="1"/>
    <xf numFmtId="0" fontId="43" fillId="35" borderId="0" xfId="3" applyFont="1" applyFill="1"/>
    <xf numFmtId="0" fontId="29" fillId="34" borderId="0" xfId="3" applyFont="1" applyFill="1" applyBorder="1" applyAlignment="1">
      <alignment horizontal="center"/>
    </xf>
    <xf numFmtId="0" fontId="41" fillId="35" borderId="0" xfId="3" applyFont="1" applyFill="1"/>
    <xf numFmtId="0" fontId="49" fillId="35" borderId="0" xfId="3" applyFont="1" applyFill="1"/>
    <xf numFmtId="0" fontId="49" fillId="35" borderId="0" xfId="3" applyFont="1" applyFill="1" applyAlignment="1">
      <alignment horizontal="center"/>
    </xf>
    <xf numFmtId="0" fontId="52" fillId="35" borderId="0" xfId="3" applyFill="1" applyBorder="1" applyAlignment="1">
      <alignment horizontal="center"/>
    </xf>
    <xf numFmtId="0" fontId="50" fillId="35" borderId="0" xfId="3" applyFont="1" applyFill="1"/>
    <xf numFmtId="0" fontId="51" fillId="35" borderId="0" xfId="3" applyFont="1" applyFill="1"/>
    <xf numFmtId="0" fontId="28" fillId="29" borderId="0" xfId="3" applyFont="1" applyFill="1" applyAlignment="1"/>
    <xf numFmtId="0" fontId="32" fillId="29" borderId="0" xfId="3" applyFont="1" applyFill="1"/>
    <xf numFmtId="0" fontId="32" fillId="30" borderId="0" xfId="3" applyFont="1" applyFill="1"/>
    <xf numFmtId="0" fontId="32" fillId="0" borderId="0" xfId="3" applyFont="1"/>
    <xf numFmtId="0" fontId="34" fillId="28" borderId="0" xfId="3" applyFont="1" applyFill="1"/>
    <xf numFmtId="0" fontId="34" fillId="22" borderId="0" xfId="3" applyFont="1" applyFill="1"/>
    <xf numFmtId="0" fontId="35" fillId="22" borderId="0" xfId="3" applyFont="1" applyFill="1"/>
    <xf numFmtId="0" fontId="35" fillId="0" borderId="0" xfId="3" applyFont="1"/>
    <xf numFmtId="0" fontId="36" fillId="27" borderId="0" xfId="3" applyFont="1" applyFill="1"/>
    <xf numFmtId="0" fontId="26" fillId="0" borderId="0" xfId="3" applyFont="1"/>
    <xf numFmtId="0" fontId="28" fillId="22" borderId="0" xfId="3" applyFont="1" applyFill="1"/>
    <xf numFmtId="0" fontId="52" fillId="22" borderId="0" xfId="3" applyFill="1"/>
    <xf numFmtId="0" fontId="36" fillId="29" borderId="0" xfId="3" applyFont="1" applyFill="1"/>
    <xf numFmtId="0" fontId="36" fillId="37" borderId="0" xfId="3" applyFont="1" applyFill="1"/>
    <xf numFmtId="0" fontId="36" fillId="37" borderId="0" xfId="3" applyFont="1" applyFill="1" applyAlignment="1"/>
    <xf numFmtId="0" fontId="36" fillId="38" borderId="0" xfId="3" applyFont="1" applyFill="1"/>
    <xf numFmtId="0" fontId="36" fillId="26" borderId="0" xfId="3" applyFont="1" applyFill="1"/>
    <xf numFmtId="0" fontId="52" fillId="39" borderId="0" xfId="3" applyFill="1"/>
    <xf numFmtId="0" fontId="52" fillId="40" borderId="0" xfId="3" applyFill="1"/>
    <xf numFmtId="0" fontId="52" fillId="41" borderId="0" xfId="3" applyFill="1"/>
    <xf numFmtId="0" fontId="52" fillId="31" borderId="0" xfId="3" applyFill="1"/>
    <xf numFmtId="0" fontId="52" fillId="42" borderId="0" xfId="3" applyFill="1"/>
    <xf numFmtId="0" fontId="57" fillId="25" borderId="0" xfId="3" applyFont="1" applyFill="1" applyAlignment="1">
      <alignment horizontal="center"/>
    </xf>
    <xf numFmtId="14" fontId="0" fillId="0" borderId="0" xfId="0" applyNumberFormat="1" applyAlignment="1">
      <alignment horizontal="left"/>
    </xf>
    <xf numFmtId="0" fontId="57" fillId="25" borderId="0" xfId="3" applyFont="1" applyFill="1" applyAlignment="1">
      <alignment horizontal="center"/>
    </xf>
    <xf numFmtId="0" fontId="36" fillId="27" borderId="0" xfId="3" applyFont="1" applyFill="1" applyBorder="1" applyAlignment="1"/>
    <xf numFmtId="0" fontId="36" fillId="27" borderId="0" xfId="3" applyFont="1" applyFill="1" applyAlignment="1"/>
    <xf numFmtId="0" fontId="36" fillId="27" borderId="0" xfId="3" applyFont="1" applyFill="1" applyAlignment="1">
      <alignment horizontal="left" indent="1"/>
    </xf>
    <xf numFmtId="0" fontId="58" fillId="25" borderId="0" xfId="3" applyFont="1" applyFill="1"/>
    <xf numFmtId="0" fontId="58" fillId="25" borderId="0" xfId="3" applyFont="1" applyFill="1" applyAlignment="1">
      <alignment horizontal="right" indent="1"/>
    </xf>
    <xf numFmtId="0" fontId="52" fillId="0" borderId="0" xfId="3" applyBorder="1" applyAlignment="1">
      <alignment horizontal="center"/>
    </xf>
    <xf numFmtId="0" fontId="28" fillId="29" borderId="0" xfId="3" applyFont="1" applyFill="1" applyBorder="1" applyAlignment="1">
      <alignment horizontal="center"/>
    </xf>
    <xf numFmtId="0" fontId="32" fillId="28" borderId="0" xfId="3" applyFont="1" applyFill="1"/>
    <xf numFmtId="0" fontId="52" fillId="0" borderId="0" xfId="3" applyBorder="1"/>
    <xf numFmtId="0" fontId="28" fillId="29" borderId="0" xfId="3" applyFont="1" applyFill="1" applyBorder="1"/>
    <xf numFmtId="0" fontId="26" fillId="25" borderId="0" xfId="3" applyFont="1" applyFill="1"/>
    <xf numFmtId="0" fontId="26" fillId="25" borderId="0" xfId="3" applyFont="1" applyFill="1" applyBorder="1" applyAlignment="1">
      <alignment horizontal="center"/>
    </xf>
    <xf numFmtId="0" fontId="26" fillId="25" borderId="0" xfId="3" applyFont="1" applyFill="1" applyBorder="1"/>
    <xf numFmtId="0" fontId="45" fillId="25" borderId="0" xfId="3" applyFont="1" applyFill="1" applyAlignment="1">
      <alignment horizontal="left" indent="1"/>
    </xf>
    <xf numFmtId="0" fontId="45" fillId="25" borderId="0" xfId="3" applyFont="1" applyFill="1" applyAlignment="1">
      <alignment horizontal="left" indent="13"/>
    </xf>
    <xf numFmtId="0" fontId="46" fillId="25" borderId="0" xfId="3" applyFont="1" applyFill="1"/>
    <xf numFmtId="0" fontId="45" fillId="25" borderId="0" xfId="3" applyFont="1" applyFill="1" applyBorder="1" applyAlignment="1"/>
    <xf numFmtId="0" fontId="41" fillId="0" borderId="0" xfId="3" applyFont="1" applyFill="1" applyBorder="1"/>
    <xf numFmtId="0" fontId="41" fillId="0" borderId="0" xfId="3" applyFont="1" applyFill="1" applyBorder="1" applyAlignment="1">
      <alignment horizontal="center"/>
    </xf>
    <xf numFmtId="0" fontId="52" fillId="30" borderId="0" xfId="3" applyFill="1"/>
    <xf numFmtId="0" fontId="52" fillId="30" borderId="0" xfId="3" applyFill="1" applyBorder="1" applyAlignment="1">
      <alignment horizontal="center"/>
    </xf>
    <xf numFmtId="0" fontId="52" fillId="30" borderId="0" xfId="3" applyFill="1" applyBorder="1"/>
    <xf numFmtId="0" fontId="44" fillId="30" borderId="0" xfId="3" applyFont="1" applyFill="1" applyBorder="1" applyAlignment="1"/>
    <xf numFmtId="0" fontId="52" fillId="36" borderId="0" xfId="3" applyFill="1"/>
    <xf numFmtId="0" fontId="52" fillId="36" borderId="0" xfId="3" applyFill="1" applyAlignment="1">
      <alignment horizontal="center"/>
    </xf>
    <xf numFmtId="0" fontId="45" fillId="25" borderId="0" xfId="3" applyFont="1" applyFill="1" applyBorder="1" applyAlignment="1">
      <alignment horizontal="left"/>
    </xf>
    <xf numFmtId="0" fontId="63" fillId="45" borderId="21" xfId="3" applyFont="1" applyFill="1" applyBorder="1" applyAlignment="1">
      <alignment horizontal="left" indent="1"/>
    </xf>
    <xf numFmtId="0" fontId="63" fillId="45" borderId="22" xfId="3" applyFont="1" applyFill="1" applyBorder="1" applyAlignment="1">
      <alignment horizontal="left" indent="1"/>
    </xf>
    <xf numFmtId="0" fontId="63" fillId="22" borderId="22" xfId="3" applyFont="1" applyFill="1" applyBorder="1" applyAlignment="1">
      <alignment horizontal="left" indent="1"/>
    </xf>
    <xf numFmtId="0" fontId="63" fillId="22" borderId="22" xfId="3" applyFont="1" applyFill="1" applyBorder="1" applyAlignment="1">
      <alignment horizontal="center"/>
    </xf>
    <xf numFmtId="0" fontId="63" fillId="45" borderId="22" xfId="3" applyFont="1" applyFill="1" applyBorder="1" applyAlignment="1">
      <alignment horizontal="center"/>
    </xf>
    <xf numFmtId="0" fontId="29" fillId="34" borderId="25" xfId="3" applyFont="1" applyFill="1" applyBorder="1" applyAlignment="1">
      <alignment horizontal="center"/>
    </xf>
    <xf numFmtId="0" fontId="57" fillId="25" borderId="0" xfId="3" applyFont="1" applyFill="1" applyAlignment="1">
      <alignment horizontal="center"/>
    </xf>
    <xf numFmtId="0" fontId="36" fillId="0" borderId="31" xfId="3" applyNumberFormat="1" applyFont="1" applyFill="1" applyBorder="1" applyAlignment="1">
      <alignment horizontal="left" indent="1"/>
    </xf>
    <xf numFmtId="0" fontId="41" fillId="35" borderId="32" xfId="3" applyFont="1" applyFill="1" applyBorder="1"/>
    <xf numFmtId="0" fontId="49" fillId="35" borderId="32" xfId="3" applyFont="1" applyFill="1" applyBorder="1"/>
    <xf numFmtId="0" fontId="52" fillId="35" borderId="32" xfId="3" applyFill="1" applyBorder="1" applyAlignment="1"/>
    <xf numFmtId="0" fontId="29" fillId="34" borderId="23" xfId="3" applyNumberFormat="1" applyFont="1" applyFill="1" applyBorder="1" applyAlignment="1">
      <alignment horizontal="left" indent="1"/>
    </xf>
    <xf numFmtId="0" fontId="29" fillId="34" borderId="24" xfId="3" applyNumberFormat="1" applyFont="1" applyFill="1" applyBorder="1" applyAlignment="1">
      <alignment horizontal="left" indent="1"/>
    </xf>
    <xf numFmtId="0" fontId="36" fillId="0" borderId="34" xfId="3" applyFont="1" applyFill="1" applyBorder="1" applyAlignment="1">
      <alignment horizontal="left" indent="1"/>
    </xf>
    <xf numFmtId="0" fontId="47" fillId="0" borderId="34" xfId="3" applyFont="1" applyFill="1" applyBorder="1" applyAlignment="1">
      <alignment horizontal="center"/>
    </xf>
    <xf numFmtId="0" fontId="36" fillId="0" borderId="34" xfId="3" applyFont="1" applyFill="1" applyBorder="1" applyAlignment="1">
      <alignment horizontal="center"/>
    </xf>
    <xf numFmtId="0" fontId="66" fillId="35" borderId="32" xfId="3" applyFont="1" applyFill="1" applyBorder="1"/>
    <xf numFmtId="0" fontId="40" fillId="35" borderId="0" xfId="3" applyFont="1" applyFill="1"/>
    <xf numFmtId="0" fontId="41" fillId="35" borderId="0" xfId="3" applyFont="1" applyFill="1" applyAlignment="1">
      <alignment horizontal="center"/>
    </xf>
    <xf numFmtId="0" fontId="67" fillId="0" borderId="0" xfId="0" applyFont="1"/>
    <xf numFmtId="0" fontId="68" fillId="30" borderId="0" xfId="3" applyFont="1" applyFill="1" applyAlignment="1">
      <alignment vertical="top"/>
    </xf>
    <xf numFmtId="0" fontId="67" fillId="46" borderId="0" xfId="0" applyFont="1" applyFill="1"/>
    <xf numFmtId="0" fontId="29" fillId="46" borderId="16" xfId="3" applyFont="1" applyFill="1" applyBorder="1" applyAlignment="1">
      <alignment horizontal="left" indent="1"/>
    </xf>
    <xf numFmtId="0" fontId="63" fillId="22" borderId="35" xfId="3" applyFont="1" applyFill="1" applyBorder="1" applyAlignment="1">
      <alignment horizontal="left" indent="1"/>
    </xf>
    <xf numFmtId="0" fontId="59" fillId="0" borderId="0" xfId="3" applyFont="1" applyFill="1" applyAlignment="1">
      <alignment horizontal="right" indent="1"/>
    </xf>
    <xf numFmtId="0" fontId="27" fillId="0" borderId="0" xfId="3" applyFont="1" applyFill="1"/>
    <xf numFmtId="0" fontId="62" fillId="30" borderId="0" xfId="3" applyFont="1" applyFill="1" applyBorder="1" applyAlignment="1"/>
    <xf numFmtId="0" fontId="52" fillId="47" borderId="0" xfId="3" applyFill="1" applyBorder="1" applyAlignment="1"/>
    <xf numFmtId="0" fontId="52" fillId="28" borderId="0" xfId="3" applyFill="1" applyBorder="1" applyAlignment="1"/>
    <xf numFmtId="0" fontId="0" fillId="46" borderId="0" xfId="0" applyFill="1" applyAlignment="1">
      <alignment horizontal="left"/>
    </xf>
    <xf numFmtId="0" fontId="48" fillId="35" borderId="37" xfId="3" applyFont="1" applyFill="1" applyBorder="1"/>
    <xf numFmtId="0" fontId="69" fillId="25" borderId="0" xfId="3" applyFont="1" applyFill="1"/>
    <xf numFmtId="0" fontId="70" fillId="25" borderId="0" xfId="3" applyFont="1" applyFill="1" applyAlignment="1">
      <alignment horizontal="left" indent="1"/>
    </xf>
    <xf numFmtId="0" fontId="71" fillId="25" borderId="0" xfId="3" applyFont="1" applyFill="1" applyAlignment="1">
      <alignment horizontal="left" indent="1"/>
    </xf>
    <xf numFmtId="0" fontId="72" fillId="25" borderId="0" xfId="3" applyFont="1" applyFill="1" applyAlignment="1">
      <alignment horizontal="left" indent="1"/>
    </xf>
    <xf numFmtId="0" fontId="73" fillId="25" borderId="0" xfId="3" applyFont="1" applyFill="1" applyAlignment="1">
      <alignment horizontal="left" indent="1"/>
    </xf>
    <xf numFmtId="0" fontId="74" fillId="25" borderId="0" xfId="3" applyFont="1" applyFill="1" applyAlignment="1">
      <alignment horizontal="left" indent="1"/>
    </xf>
    <xf numFmtId="0" fontId="52" fillId="48" borderId="0" xfId="3" applyFill="1" applyBorder="1" applyAlignment="1"/>
    <xf numFmtId="0" fontId="52" fillId="48" borderId="0" xfId="3" applyFill="1" applyBorder="1" applyAlignment="1">
      <alignment horizontal="center"/>
    </xf>
    <xf numFmtId="2" fontId="29" fillId="22" borderId="36" xfId="3" applyNumberFormat="1" applyFont="1" applyFill="1" applyBorder="1" applyAlignment="1">
      <alignment horizontal="center"/>
    </xf>
    <xf numFmtId="2" fontId="41" fillId="25" borderId="33" xfId="3" applyNumberFormat="1" applyFont="1" applyFill="1" applyBorder="1" applyAlignment="1">
      <alignment horizontal="center" vertical="center"/>
    </xf>
    <xf numFmtId="0" fontId="36" fillId="0" borderId="39" xfId="3" applyFont="1" applyFill="1" applyBorder="1" applyAlignment="1">
      <alignment horizontal="left"/>
    </xf>
    <xf numFmtId="0" fontId="52" fillId="36" borderId="0" xfId="3" applyFill="1" applyAlignment="1">
      <alignment horizontal="center"/>
    </xf>
    <xf numFmtId="0" fontId="63" fillId="22" borderId="35" xfId="3" applyFont="1" applyFill="1" applyBorder="1" applyAlignment="1">
      <alignment horizontal="left" indent="1"/>
    </xf>
    <xf numFmtId="0" fontId="58" fillId="25" borderId="0" xfId="3" applyFont="1" applyFill="1" applyAlignment="1">
      <alignment horizontal="right" indent="1"/>
    </xf>
    <xf numFmtId="0" fontId="55" fillId="44" borderId="0" xfId="3" applyFont="1" applyFill="1" applyAlignment="1">
      <alignment horizontal="center"/>
    </xf>
    <xf numFmtId="0" fontId="36" fillId="50" borderId="0" xfId="3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5" fillId="0" borderId="0" xfId="0" applyFont="1" applyAlignment="1">
      <alignment horizontal="center"/>
    </xf>
    <xf numFmtId="0" fontId="75" fillId="50" borderId="0" xfId="3" applyFont="1" applyFill="1"/>
    <xf numFmtId="0" fontId="47" fillId="50" borderId="0" xfId="3" applyFont="1" applyFill="1"/>
    <xf numFmtId="0" fontId="77" fillId="53" borderId="43" xfId="3" applyFont="1" applyFill="1" applyBorder="1" applyAlignment="1">
      <alignment horizontal="left" indent="1"/>
    </xf>
    <xf numFmtId="0" fontId="77" fillId="53" borderId="44" xfId="3" applyFont="1" applyFill="1" applyBorder="1" applyAlignment="1">
      <alignment horizontal="left" indent="1"/>
    </xf>
    <xf numFmtId="0" fontId="78" fillId="0" borderId="46" xfId="3" applyFont="1" applyFill="1" applyBorder="1" applyAlignment="1">
      <alignment horizontal="left" indent="1"/>
    </xf>
    <xf numFmtId="0" fontId="78" fillId="0" borderId="14" xfId="3" applyFont="1" applyFill="1" applyBorder="1" applyAlignment="1">
      <alignment horizontal="left" indent="1"/>
    </xf>
    <xf numFmtId="2" fontId="36" fillId="50" borderId="0" xfId="3" applyNumberFormat="1" applyFont="1" applyFill="1"/>
    <xf numFmtId="0" fontId="80" fillId="29" borderId="0" xfId="3" applyFont="1" applyFill="1"/>
    <xf numFmtId="0" fontId="81" fillId="50" borderId="0" xfId="3" applyFont="1" applyFill="1"/>
    <xf numFmtId="0" fontId="82" fillId="0" borderId="0" xfId="3" applyFont="1"/>
    <xf numFmtId="0" fontId="74" fillId="50" borderId="0" xfId="3" applyFont="1" applyFill="1"/>
    <xf numFmtId="0" fontId="1" fillId="22" borderId="0" xfId="0" applyFont="1" applyFill="1"/>
    <xf numFmtId="2" fontId="26" fillId="0" borderId="0" xfId="3" applyNumberFormat="1" applyFont="1"/>
    <xf numFmtId="2" fontId="52" fillId="0" borderId="0" xfId="3" applyNumberFormat="1"/>
    <xf numFmtId="0" fontId="36" fillId="0" borderId="16" xfId="3" applyFont="1" applyFill="1" applyBorder="1" applyAlignment="1" applyProtection="1">
      <alignment horizontal="left" indent="1"/>
      <protection locked="0"/>
    </xf>
    <xf numFmtId="0" fontId="36" fillId="0" borderId="16" xfId="3" applyFont="1" applyFill="1" applyBorder="1" applyAlignment="1" applyProtection="1">
      <alignment horizontal="center"/>
      <protection locked="0"/>
    </xf>
    <xf numFmtId="0" fontId="47" fillId="0" borderId="16" xfId="3" applyFont="1" applyFill="1" applyBorder="1" applyAlignment="1" applyProtection="1">
      <alignment horizontal="center"/>
      <protection locked="0"/>
    </xf>
    <xf numFmtId="0" fontId="36" fillId="0" borderId="14" xfId="3" applyFont="1" applyFill="1" applyBorder="1" applyAlignment="1" applyProtection="1">
      <alignment horizontal="left" indent="1"/>
      <protection locked="0"/>
    </xf>
    <xf numFmtId="0" fontId="47" fillId="0" borderId="14" xfId="3" applyFont="1" applyFill="1" applyBorder="1" applyAlignment="1" applyProtection="1">
      <alignment horizontal="center"/>
      <protection locked="0"/>
    </xf>
    <xf numFmtId="0" fontId="36" fillId="0" borderId="14" xfId="3" applyFont="1" applyFill="1" applyBorder="1" applyAlignment="1" applyProtection="1">
      <alignment horizontal="center"/>
      <protection locked="0"/>
    </xf>
    <xf numFmtId="0" fontId="36" fillId="0" borderId="38" xfId="3" applyFont="1" applyFill="1" applyBorder="1" applyAlignment="1" applyProtection="1">
      <alignment horizontal="left" indent="1"/>
      <protection locked="0"/>
    </xf>
    <xf numFmtId="0" fontId="36" fillId="0" borderId="38" xfId="3" applyFont="1" applyFill="1" applyBorder="1" applyAlignment="1" applyProtection="1">
      <alignment horizontal="center"/>
      <protection locked="0"/>
    </xf>
    <xf numFmtId="0" fontId="36" fillId="0" borderId="41" xfId="3" applyFont="1" applyFill="1" applyBorder="1" applyAlignment="1" applyProtection="1">
      <alignment horizontal="left"/>
      <protection locked="0"/>
    </xf>
    <xf numFmtId="0" fontId="36" fillId="0" borderId="42" xfId="3" applyFont="1" applyFill="1" applyBorder="1" applyAlignment="1" applyProtection="1">
      <alignment horizontal="left"/>
      <protection locked="0"/>
    </xf>
    <xf numFmtId="0" fontId="36" fillId="0" borderId="40" xfId="3" applyFont="1" applyFill="1" applyBorder="1" applyAlignment="1" applyProtection="1">
      <alignment horizontal="left"/>
      <protection locked="0"/>
    </xf>
    <xf numFmtId="0" fontId="29" fillId="46" borderId="16" xfId="3" applyFont="1" applyFill="1" applyBorder="1" applyAlignment="1" applyProtection="1">
      <alignment horizontal="left" indent="1"/>
      <protection locked="0"/>
    </xf>
    <xf numFmtId="0" fontId="47" fillId="0" borderId="38" xfId="3" applyFont="1" applyFill="1" applyBorder="1" applyAlignment="1" applyProtection="1">
      <alignment horizontal="center"/>
      <protection locked="0"/>
    </xf>
    <xf numFmtId="0" fontId="6" fillId="55" borderId="0" xfId="0" applyFont="1" applyFill="1" applyBorder="1"/>
    <xf numFmtId="0" fontId="0" fillId="36" borderId="0" xfId="0" applyFill="1"/>
    <xf numFmtId="0" fontId="0" fillId="25" borderId="0" xfId="0" applyFill="1"/>
    <xf numFmtId="0" fontId="0" fillId="0" borderId="0" xfId="0" applyFill="1"/>
    <xf numFmtId="0" fontId="77" fillId="53" borderId="44" xfId="3" applyFont="1" applyFill="1" applyBorder="1" applyAlignment="1">
      <alignment horizontal="left" indent="1"/>
    </xf>
    <xf numFmtId="0" fontId="49" fillId="34" borderId="0" xfId="3" applyFont="1" applyFill="1" applyAlignment="1">
      <alignment horizontal="center"/>
    </xf>
    <xf numFmtId="0" fontId="59" fillId="0" borderId="0" xfId="3" applyFont="1" applyFill="1" applyAlignment="1">
      <alignment horizontal="center"/>
    </xf>
    <xf numFmtId="0" fontId="85" fillId="0" borderId="25" xfId="3" applyFont="1" applyFill="1" applyBorder="1" applyAlignment="1"/>
    <xf numFmtId="0" fontId="43" fillId="35" borderId="37" xfId="3" applyFont="1" applyFill="1" applyBorder="1"/>
    <xf numFmtId="0" fontId="36" fillId="27" borderId="0" xfId="3" applyFont="1" applyFill="1" applyAlignment="1" applyProtection="1"/>
    <xf numFmtId="0" fontId="36" fillId="27" borderId="0" xfId="3" applyFont="1" applyFill="1" applyProtection="1"/>
    <xf numFmtId="0" fontId="29" fillId="27" borderId="0" xfId="3" applyFont="1" applyFill="1" applyBorder="1" applyAlignment="1" applyProtection="1">
      <alignment horizontal="left" indent="1"/>
    </xf>
    <xf numFmtId="0" fontId="36" fillId="27" borderId="0" xfId="3" applyFont="1" applyFill="1" applyBorder="1" applyAlignment="1" applyProtection="1">
      <alignment horizontal="left" indent="1"/>
    </xf>
    <xf numFmtId="0" fontId="36" fillId="27" borderId="0" xfId="3" applyFont="1" applyFill="1" applyBorder="1" applyAlignment="1" applyProtection="1">
      <alignment horizontal="center"/>
    </xf>
    <xf numFmtId="0" fontId="36" fillId="27" borderId="0" xfId="3" applyFont="1" applyFill="1" applyAlignment="1" applyProtection="1">
      <alignment horizontal="left" indent="1"/>
    </xf>
    <xf numFmtId="0" fontId="36" fillId="0" borderId="14" xfId="3" applyFont="1" applyFill="1" applyBorder="1" applyAlignment="1" applyProtection="1">
      <alignment horizontal="left" wrapText="1" indent="1"/>
      <protection locked="0"/>
    </xf>
    <xf numFmtId="0" fontId="36" fillId="0" borderId="16" xfId="3" applyFont="1" applyFill="1" applyBorder="1" applyAlignment="1" applyProtection="1">
      <alignment horizontal="left" wrapText="1" indent="1"/>
      <protection locked="0"/>
    </xf>
    <xf numFmtId="0" fontId="0" fillId="0" borderId="0" xfId="0" applyAlignment="1">
      <alignment wrapText="1"/>
    </xf>
    <xf numFmtId="0" fontId="58" fillId="25" borderId="0" xfId="3" applyFont="1" applyFill="1" applyAlignment="1">
      <alignment horizontal="center"/>
    </xf>
    <xf numFmtId="0" fontId="58" fillId="25" borderId="0" xfId="3" applyFont="1" applyFill="1" applyAlignment="1">
      <alignment horizontal="left"/>
    </xf>
    <xf numFmtId="0" fontId="36" fillId="46" borderId="0" xfId="3" applyFont="1" applyFill="1" applyAlignment="1" applyProtection="1">
      <alignment horizontal="left" indent="1"/>
      <protection locked="0"/>
    </xf>
    <xf numFmtId="0" fontId="86" fillId="53" borderId="0" xfId="3" applyFont="1" applyFill="1" applyAlignment="1" applyProtection="1">
      <alignment horizontal="left" indent="1"/>
      <protection locked="0"/>
    </xf>
    <xf numFmtId="0" fontId="55" fillId="43" borderId="0" xfId="3" applyFont="1" applyFill="1" applyAlignment="1">
      <alignment horizontal="center"/>
    </xf>
    <xf numFmtId="0" fontId="55" fillId="22" borderId="0" xfId="3" applyFont="1" applyFill="1" applyAlignment="1">
      <alignment horizontal="center"/>
    </xf>
    <xf numFmtId="0" fontId="36" fillId="27" borderId="0" xfId="3" applyFont="1" applyFill="1" applyAlignment="1">
      <alignment horizontal="left"/>
    </xf>
    <xf numFmtId="0" fontId="36" fillId="27" borderId="0" xfId="3" applyFont="1" applyFill="1" applyBorder="1" applyAlignment="1">
      <alignment horizontal="left"/>
    </xf>
    <xf numFmtId="0" fontId="33" fillId="25" borderId="0" xfId="3" applyFont="1" applyFill="1" applyAlignment="1">
      <alignment horizontal="left" vertical="center" indent="1"/>
    </xf>
    <xf numFmtId="0" fontId="36" fillId="27" borderId="0" xfId="3" applyFont="1" applyFill="1" applyAlignment="1" applyProtection="1">
      <alignment horizontal="left"/>
    </xf>
    <xf numFmtId="0" fontId="36" fillId="27" borderId="0" xfId="3" applyFont="1" applyFill="1" applyBorder="1" applyAlignment="1" applyProtection="1">
      <alignment horizontal="left"/>
    </xf>
    <xf numFmtId="0" fontId="52" fillId="27" borderId="0" xfId="3" applyFill="1" applyAlignment="1">
      <alignment horizontal="left"/>
    </xf>
    <xf numFmtId="0" fontId="52" fillId="36" borderId="0" xfId="3" applyFill="1" applyAlignment="1">
      <alignment horizontal="center"/>
    </xf>
    <xf numFmtId="0" fontId="60" fillId="25" borderId="18" xfId="3" applyFont="1" applyFill="1" applyBorder="1" applyAlignment="1">
      <alignment horizontal="center"/>
    </xf>
    <xf numFmtId="0" fontId="60" fillId="25" borderId="19" xfId="3" applyFont="1" applyFill="1" applyBorder="1" applyAlignment="1">
      <alignment horizontal="center"/>
    </xf>
    <xf numFmtId="0" fontId="60" fillId="25" borderId="20" xfId="3" applyFont="1" applyFill="1" applyBorder="1" applyAlignment="1">
      <alignment horizontal="center"/>
    </xf>
    <xf numFmtId="0" fontId="36" fillId="46" borderId="0" xfId="3" applyFont="1" applyFill="1" applyBorder="1" applyAlignment="1" applyProtection="1">
      <alignment horizontal="left" vertical="top" wrapText="1" indent="1"/>
      <protection locked="0"/>
    </xf>
    <xf numFmtId="0" fontId="36" fillId="46" borderId="17" xfId="3" applyFont="1" applyFill="1" applyBorder="1" applyAlignment="1" applyProtection="1">
      <alignment horizontal="left" vertical="top" wrapText="1" indent="1"/>
      <protection locked="0"/>
    </xf>
    <xf numFmtId="0" fontId="12" fillId="33" borderId="11" xfId="3" applyFont="1" applyFill="1" applyBorder="1" applyAlignment="1">
      <alignment horizontal="left" indent="1"/>
    </xf>
    <xf numFmtId="0" fontId="12" fillId="33" borderId="12" xfId="3" applyFont="1" applyFill="1" applyBorder="1" applyAlignment="1">
      <alignment horizontal="left" indent="1"/>
    </xf>
    <xf numFmtId="0" fontId="12" fillId="33" borderId="12" xfId="3" applyFont="1" applyFill="1" applyBorder="1" applyAlignment="1">
      <alignment horizontal="left"/>
    </xf>
    <xf numFmtId="0" fontId="12" fillId="33" borderId="13" xfId="3" applyFont="1" applyFill="1" applyBorder="1" applyAlignment="1">
      <alignment horizontal="left"/>
    </xf>
    <xf numFmtId="0" fontId="36" fillId="27" borderId="0" xfId="3" applyFont="1" applyFill="1" applyAlignment="1">
      <alignment horizontal="left" vertical="top" wrapText="1"/>
    </xf>
    <xf numFmtId="0" fontId="36" fillId="27" borderId="0" xfId="3" applyFont="1" applyFill="1" applyBorder="1" applyAlignment="1">
      <alignment horizontal="left" vertical="top" wrapText="1"/>
    </xf>
    <xf numFmtId="0" fontId="36" fillId="46" borderId="0" xfId="3" applyFont="1" applyFill="1" applyAlignment="1" applyProtection="1">
      <alignment horizontal="left" vertical="top" wrapText="1" indent="1"/>
      <protection locked="0"/>
    </xf>
    <xf numFmtId="14" fontId="36" fillId="46" borderId="0" xfId="3" applyNumberFormat="1" applyFont="1" applyFill="1" applyAlignment="1" applyProtection="1">
      <alignment horizontal="left" indent="1"/>
      <protection locked="0"/>
    </xf>
    <xf numFmtId="0" fontId="61" fillId="30" borderId="0" xfId="3" applyFont="1" applyFill="1" applyBorder="1" applyAlignment="1">
      <alignment horizontal="center"/>
    </xf>
    <xf numFmtId="0" fontId="62" fillId="30" borderId="0" xfId="3" applyFont="1" applyFill="1" applyBorder="1" applyAlignment="1">
      <alignment horizontal="center"/>
    </xf>
    <xf numFmtId="0" fontId="29" fillId="29" borderId="0" xfId="3" applyFont="1" applyFill="1" applyAlignment="1">
      <alignment horizontal="center"/>
    </xf>
    <xf numFmtId="0" fontId="32" fillId="30" borderId="0" xfId="3" applyFont="1" applyFill="1" applyAlignment="1">
      <alignment horizontal="left" vertical="center"/>
    </xf>
    <xf numFmtId="0" fontId="55" fillId="34" borderId="0" xfId="3" applyFont="1" applyFill="1" applyAlignment="1">
      <alignment horizontal="left"/>
    </xf>
    <xf numFmtId="0" fontId="64" fillId="49" borderId="26" xfId="3" applyFont="1" applyFill="1" applyBorder="1" applyAlignment="1">
      <alignment horizontal="center"/>
    </xf>
    <xf numFmtId="0" fontId="64" fillId="49" borderId="27" xfId="3" applyFont="1" applyFill="1" applyBorder="1" applyAlignment="1">
      <alignment horizontal="center"/>
    </xf>
    <xf numFmtId="0" fontId="64" fillId="49" borderId="28" xfId="3" applyFont="1" applyFill="1" applyBorder="1" applyAlignment="1">
      <alignment horizontal="center"/>
    </xf>
    <xf numFmtId="0" fontId="64" fillId="30" borderId="29" xfId="3" applyFont="1" applyFill="1" applyBorder="1" applyAlignment="1">
      <alignment horizontal="center"/>
    </xf>
    <xf numFmtId="0" fontId="64" fillId="30" borderId="30" xfId="3" applyFont="1" applyFill="1" applyBorder="1" applyAlignment="1">
      <alignment horizontal="center"/>
    </xf>
    <xf numFmtId="0" fontId="64" fillId="46" borderId="26" xfId="3" applyFont="1" applyFill="1" applyBorder="1" applyAlignment="1">
      <alignment horizontal="center"/>
    </xf>
    <xf numFmtId="0" fontId="64" fillId="46" borderId="27" xfId="3" applyFont="1" applyFill="1" applyBorder="1" applyAlignment="1">
      <alignment horizontal="center"/>
    </xf>
    <xf numFmtId="0" fontId="64" fillId="46" borderId="28" xfId="3" applyFont="1" applyFill="1" applyBorder="1" applyAlignment="1">
      <alignment horizontal="center"/>
    </xf>
    <xf numFmtId="0" fontId="30" fillId="29" borderId="0" xfId="3" applyFont="1" applyFill="1" applyAlignment="1">
      <alignment horizontal="center"/>
    </xf>
    <xf numFmtId="0" fontId="30" fillId="29" borderId="0" xfId="2" applyFont="1" applyFill="1" applyAlignment="1">
      <alignment horizontal="center"/>
    </xf>
    <xf numFmtId="0" fontId="55" fillId="43" borderId="0" xfId="3" applyFont="1" applyFill="1" applyAlignment="1" applyProtection="1">
      <alignment horizontal="center"/>
      <protection locked="0"/>
    </xf>
    <xf numFmtId="0" fontId="77" fillId="53" borderId="44" xfId="3" applyFont="1" applyFill="1" applyBorder="1" applyAlignment="1">
      <alignment horizontal="left" indent="1"/>
    </xf>
    <xf numFmtId="0" fontId="77" fillId="53" borderId="45" xfId="3" applyFont="1" applyFill="1" applyBorder="1" applyAlignment="1">
      <alignment horizontal="left" indent="1"/>
    </xf>
    <xf numFmtId="0" fontId="79" fillId="0" borderId="14" xfId="3" applyFont="1" applyFill="1" applyBorder="1" applyAlignment="1">
      <alignment horizontal="left" indent="1"/>
    </xf>
    <xf numFmtId="0" fontId="79" fillId="0" borderId="47" xfId="3" applyFont="1" applyFill="1" applyBorder="1" applyAlignment="1">
      <alignment horizontal="left" indent="1"/>
    </xf>
    <xf numFmtId="165" fontId="65" fillId="30" borderId="0" xfId="3" applyNumberFormat="1" applyFont="1" applyFill="1" applyBorder="1" applyAlignment="1">
      <alignment horizontal="center"/>
    </xf>
    <xf numFmtId="0" fontId="58" fillId="25" borderId="0" xfId="3" applyFont="1" applyFill="1" applyBorder="1" applyAlignment="1">
      <alignment horizontal="left" vertical="center" indent="1"/>
    </xf>
    <xf numFmtId="0" fontId="85" fillId="0" borderId="25" xfId="3" applyFont="1" applyFill="1" applyBorder="1" applyAlignment="1">
      <alignment horizontal="left" indent="3"/>
    </xf>
    <xf numFmtId="0" fontId="36" fillId="37" borderId="0" xfId="3" applyFont="1" applyFill="1" applyAlignment="1">
      <alignment horizontal="left"/>
    </xf>
    <xf numFmtId="0" fontId="36" fillId="37" borderId="0" xfId="3" applyFont="1" applyFill="1" applyBorder="1" applyAlignment="1">
      <alignment horizontal="left"/>
    </xf>
    <xf numFmtId="0" fontId="38" fillId="0" borderId="0" xfId="3" applyFont="1" applyAlignment="1">
      <alignment horizontal="center"/>
    </xf>
    <xf numFmtId="0" fontId="36" fillId="32" borderId="11" xfId="3" applyFont="1" applyFill="1" applyBorder="1" applyAlignment="1" applyProtection="1">
      <alignment horizontal="left" indent="1"/>
      <protection locked="0"/>
    </xf>
    <xf numFmtId="0" fontId="36" fillId="32" borderId="12" xfId="3" applyFont="1" applyFill="1" applyBorder="1" applyAlignment="1" applyProtection="1">
      <alignment horizontal="left" indent="1"/>
      <protection locked="0"/>
    </xf>
    <xf numFmtId="0" fontId="36" fillId="32" borderId="13" xfId="3" applyFont="1" applyFill="1" applyBorder="1" applyAlignment="1" applyProtection="1">
      <alignment horizontal="left" indent="1"/>
      <protection locked="0"/>
    </xf>
    <xf numFmtId="0" fontId="55" fillId="44" borderId="0" xfId="3" applyFont="1" applyFill="1" applyAlignment="1">
      <alignment horizontal="center"/>
    </xf>
    <xf numFmtId="0" fontId="36" fillId="37" borderId="0" xfId="3" applyFont="1" applyFill="1" applyAlignment="1">
      <alignment horizontal="left" vertical="top" wrapText="1" indent="1"/>
    </xf>
    <xf numFmtId="14" fontId="36" fillId="31" borderId="11" xfId="3" applyNumberFormat="1" applyFont="1" applyFill="1" applyBorder="1" applyAlignment="1" applyProtection="1">
      <alignment horizontal="center"/>
      <protection locked="0"/>
    </xf>
    <xf numFmtId="14" fontId="36" fillId="31" borderId="12" xfId="3" applyNumberFormat="1" applyFont="1" applyFill="1" applyBorder="1" applyAlignment="1" applyProtection="1">
      <alignment horizontal="center"/>
      <protection locked="0"/>
    </xf>
    <xf numFmtId="14" fontId="36" fillId="31" borderId="13" xfId="3" applyNumberFormat="1" applyFont="1" applyFill="1" applyBorder="1" applyAlignment="1" applyProtection="1">
      <alignment horizontal="center"/>
      <protection locked="0"/>
    </xf>
    <xf numFmtId="0" fontId="36" fillId="37" borderId="0" xfId="3" applyFont="1" applyFill="1" applyBorder="1" applyAlignment="1">
      <alignment horizontal="center"/>
    </xf>
    <xf numFmtId="0" fontId="36" fillId="31" borderId="11" xfId="3" applyFont="1" applyFill="1" applyBorder="1" applyAlignment="1" applyProtection="1">
      <alignment horizontal="left" vertical="top" wrapText="1" indent="1"/>
      <protection locked="0"/>
    </xf>
    <xf numFmtId="0" fontId="36" fillId="31" borderId="12" xfId="3" applyFont="1" applyFill="1" applyBorder="1" applyAlignment="1" applyProtection="1">
      <alignment horizontal="left" vertical="top" wrapText="1" indent="1"/>
      <protection locked="0"/>
    </xf>
    <xf numFmtId="0" fontId="36" fillId="31" borderId="13" xfId="3" applyFont="1" applyFill="1" applyBorder="1" applyAlignment="1" applyProtection="1">
      <alignment horizontal="left" vertical="top" wrapText="1" indent="1"/>
      <protection locked="0"/>
    </xf>
    <xf numFmtId="1" fontId="36" fillId="29" borderId="0" xfId="3" applyNumberFormat="1" applyFont="1" applyFill="1" applyAlignment="1">
      <alignment horizontal="right" indent="1"/>
    </xf>
    <xf numFmtId="2" fontId="36" fillId="29" borderId="0" xfId="3" applyNumberFormat="1" applyFont="1" applyFill="1" applyAlignment="1">
      <alignment horizontal="left"/>
    </xf>
    <xf numFmtId="1" fontId="42" fillId="52" borderId="0" xfId="3" applyNumberFormat="1" applyFont="1" applyFill="1" applyAlignment="1">
      <alignment horizontal="center"/>
    </xf>
    <xf numFmtId="2" fontId="36" fillId="52" borderId="0" xfId="3" applyNumberFormat="1" applyFont="1" applyFill="1" applyAlignment="1">
      <alignment horizontal="left"/>
    </xf>
    <xf numFmtId="2" fontId="84" fillId="54" borderId="2" xfId="3" applyNumberFormat="1" applyFont="1" applyFill="1" applyBorder="1" applyAlignment="1">
      <alignment horizontal="center"/>
    </xf>
    <xf numFmtId="0" fontId="84" fillId="54" borderId="3" xfId="3" applyFont="1" applyFill="1" applyBorder="1" applyAlignment="1">
      <alignment horizontal="center"/>
    </xf>
    <xf numFmtId="0" fontId="84" fillId="54" borderId="4" xfId="3" applyFont="1" applyFill="1" applyBorder="1" applyAlignment="1">
      <alignment horizontal="center"/>
    </xf>
    <xf numFmtId="0" fontId="37" fillId="50" borderId="0" xfId="3" applyFont="1" applyFill="1" applyBorder="1" applyAlignment="1">
      <alignment horizontal="left"/>
    </xf>
    <xf numFmtId="1" fontId="76" fillId="51" borderId="0" xfId="3" applyNumberFormat="1" applyFont="1" applyFill="1" applyAlignment="1">
      <alignment horizontal="center"/>
    </xf>
    <xf numFmtId="1" fontId="36" fillId="52" borderId="0" xfId="3" applyNumberFormat="1" applyFont="1" applyFill="1" applyAlignment="1">
      <alignment horizontal="center"/>
    </xf>
    <xf numFmtId="2" fontId="36" fillId="51" borderId="0" xfId="3" applyNumberFormat="1" applyFont="1" applyFill="1" applyAlignment="1">
      <alignment horizontal="left"/>
    </xf>
    <xf numFmtId="1" fontId="36" fillId="29" borderId="2" xfId="3" applyNumberFormat="1" applyFont="1" applyFill="1" applyBorder="1" applyAlignment="1">
      <alignment horizontal="center"/>
    </xf>
    <xf numFmtId="1" fontId="36" fillId="29" borderId="3" xfId="3" applyNumberFormat="1" applyFont="1" applyFill="1" applyBorder="1" applyAlignment="1">
      <alignment horizontal="center"/>
    </xf>
    <xf numFmtId="1" fontId="36" fillId="29" borderId="4" xfId="3" applyNumberFormat="1" applyFont="1" applyFill="1" applyBorder="1" applyAlignment="1">
      <alignment horizontal="center"/>
    </xf>
    <xf numFmtId="0" fontId="32" fillId="50" borderId="5" xfId="3" applyFont="1" applyFill="1" applyBorder="1" applyAlignment="1">
      <alignment horizontal="left" indent="1"/>
    </xf>
    <xf numFmtId="0" fontId="32" fillId="50" borderId="0" xfId="3" applyFont="1" applyFill="1" applyBorder="1" applyAlignment="1">
      <alignment horizontal="left" indent="1"/>
    </xf>
    <xf numFmtId="0" fontId="0" fillId="0" borderId="0" xfId="0" applyAlignment="1">
      <alignment horizontal="left" wrapText="1" indent="1"/>
    </xf>
    <xf numFmtId="0" fontId="6" fillId="9" borderId="2" xfId="0" applyFont="1" applyFill="1" applyBorder="1" applyAlignment="1"/>
    <xf numFmtId="0" fontId="6" fillId="9" borderId="3" xfId="0" applyFont="1" applyFill="1" applyBorder="1" applyAlignment="1"/>
    <xf numFmtId="0" fontId="6" fillId="9" borderId="4" xfId="0" applyFont="1" applyFill="1" applyBorder="1" applyAlignment="1"/>
    <xf numFmtId="0" fontId="21" fillId="9" borderId="0" xfId="0" applyFont="1" applyFill="1" applyBorder="1" applyAlignment="1">
      <alignment horizontal="left" wrapText="1"/>
    </xf>
    <xf numFmtId="0" fontId="21" fillId="9" borderId="0" xfId="0" applyFont="1" applyFill="1" applyBorder="1" applyAlignment="1">
      <alignment horizontal="left" vertical="top" wrapText="1"/>
    </xf>
    <xf numFmtId="0" fontId="21" fillId="9" borderId="6" xfId="0" applyFont="1" applyFill="1" applyBorder="1" applyAlignment="1">
      <alignment horizontal="left" vertical="top" wrapText="1"/>
    </xf>
    <xf numFmtId="0" fontId="5" fillId="11" borderId="0" xfId="0" applyFont="1" applyFill="1" applyBorder="1" applyAlignment="1">
      <alignment horizontal="left" vertical="top" indent="1"/>
    </xf>
    <xf numFmtId="0" fontId="5" fillId="7" borderId="0" xfId="0" applyFont="1" applyFill="1" applyBorder="1" applyAlignment="1">
      <alignment horizontal="left" vertical="top" indent="1"/>
    </xf>
    <xf numFmtId="0" fontId="16" fillId="11" borderId="0" xfId="0" applyFont="1" applyFill="1" applyBorder="1" applyAlignment="1">
      <alignment horizontal="left" vertical="center" indent="1"/>
    </xf>
    <xf numFmtId="0" fontId="16" fillId="11" borderId="6" xfId="0" applyFont="1" applyFill="1" applyBorder="1" applyAlignment="1">
      <alignment horizontal="left" vertical="center" indent="1"/>
    </xf>
    <xf numFmtId="0" fontId="16" fillId="18" borderId="0" xfId="0" applyFont="1" applyFill="1" applyBorder="1" applyAlignment="1">
      <alignment horizontal="left" vertical="center" indent="1"/>
    </xf>
    <xf numFmtId="0" fontId="16" fillId="18" borderId="6" xfId="0" applyFont="1" applyFill="1" applyBorder="1" applyAlignment="1">
      <alignment horizontal="left" vertical="center" indent="1"/>
    </xf>
    <xf numFmtId="0" fontId="13" fillId="5" borderId="3" xfId="0" applyFont="1" applyFill="1" applyBorder="1" applyAlignment="1">
      <alignment horizontal="left" vertical="center" indent="1"/>
    </xf>
    <xf numFmtId="0" fontId="6" fillId="9" borderId="2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9" borderId="4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left"/>
    </xf>
    <xf numFmtId="0" fontId="6" fillId="9" borderId="4" xfId="0" applyFont="1" applyFill="1" applyBorder="1" applyAlignment="1">
      <alignment horizontal="left"/>
    </xf>
    <xf numFmtId="0" fontId="6" fillId="9" borderId="9" xfId="0" applyFont="1" applyFill="1" applyBorder="1" applyAlignment="1"/>
    <xf numFmtId="0" fontId="6" fillId="9" borderId="10" xfId="0" applyFont="1" applyFill="1" applyBorder="1" applyAlignment="1"/>
    <xf numFmtId="0" fontId="6" fillId="9" borderId="1" xfId="0" applyFont="1" applyFill="1" applyBorder="1" applyAlignment="1">
      <alignment horizontal="center" wrapText="1"/>
    </xf>
    <xf numFmtId="0" fontId="6" fillId="9" borderId="1" xfId="0" applyFont="1" applyFill="1" applyBorder="1" applyAlignment="1">
      <alignment horizontal="left"/>
    </xf>
    <xf numFmtId="0" fontId="23" fillId="24" borderId="0" xfId="0" applyFont="1" applyFill="1" applyAlignment="1">
      <alignment horizontal="left" vertical="top" wrapText="1" indent="1"/>
    </xf>
  </cellXfs>
  <cellStyles count="6">
    <cellStyle name="Hiperlink" xfId="2" builtinId="8"/>
    <cellStyle name="Normal" xfId="0" builtinId="0"/>
    <cellStyle name="Normal 2" xfId="1"/>
    <cellStyle name="Normal 3" xfId="3"/>
    <cellStyle name="Porcentagem 2" xfId="4"/>
    <cellStyle name="Vírgula 2" xfId="5"/>
  </cellStyles>
  <dxfs count="12228"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F8FED2"/>
      <color rgb="FFFFFFCC"/>
      <color rgb="FFC85D3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B$1948" fmlaRange="$B$1937:$B$1946" noThreeD="1" sel="0" val="0"/>
</file>

<file path=xl/ctrlProps/ctrlProp2.xml><?xml version="1.0" encoding="utf-8"?>
<formControlPr xmlns="http://schemas.microsoft.com/office/spreadsheetml/2009/9/main" objectType="Drop" dropStyle="combo" dx="16" fmlaLink="B1018" fmlaRange="$B$1022:$B$1031" noThreeD="1" sel="3" val="0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Drop" dropStyle="combo" dx="16" fmlaLink="$B$1953" fmlaRange="$B$1942:$B$1951" noThreeD="1" sel="0" val="0"/>
</file>

<file path=xl/ctrlProps/ctrlProp5.xml><?xml version="1.0" encoding="utf-8"?>
<formControlPr xmlns="http://schemas.microsoft.com/office/spreadsheetml/2009/9/main" objectType="Drop" dropStyle="combo" dx="16" fmlaLink="B1018" fmlaRange="$B$1022:$B$1031" noThreeD="1" sel="7" val="2"/>
</file>

<file path=xl/ctrlProps/ctrlProp6.xml><?xml version="1.0" encoding="utf-8"?>
<formControlPr xmlns="http://schemas.microsoft.com/office/spreadsheetml/2009/9/main" objectType="CheckBox" fmlaLink="B12" lockText="1" noThreeD="1"/>
</file>

<file path=xl/ctrlProps/ctrlProp7.xml><?xml version="1.0" encoding="utf-8"?>
<formControlPr xmlns="http://schemas.microsoft.com/office/spreadsheetml/2009/9/main" objectType="Drop" dropStyle="combo" dx="16" fmlaLink="$B$2111" fmlaRange="$B$2100:$B$2109" noThreeD="1" sel="0" val="0"/>
</file>

<file path=xl/ctrlProps/ctrlProp8.xml><?xml version="1.0" encoding="utf-8"?>
<formControlPr xmlns="http://schemas.microsoft.com/office/spreadsheetml/2009/9/main" objectType="Drop" dropStyle="combo" dx="16" fmlaLink="$B$1189" fmlaRange="$B$1178:$B$1187" noThreeD="1" sel="0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OC!A1"/><Relationship Id="rId3" Type="http://schemas.openxmlformats.org/officeDocument/2006/relationships/hyperlink" Target="#'Fun&#231;&#245;es de Dados'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FD_Aplicacao!A1"/><Relationship Id="rId6" Type="http://schemas.openxmlformats.org/officeDocument/2006/relationships/hyperlink" Target="#FT_Aplicacao!A1"/><Relationship Id="rId5" Type="http://schemas.openxmlformats.org/officeDocument/2006/relationships/image" Target="../media/image3.png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SULTADO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DOC!A1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2" Type="http://schemas.openxmlformats.org/officeDocument/2006/relationships/hyperlink" Target="#FT_Aplicacao!A1"/><Relationship Id="rId1" Type="http://schemas.openxmlformats.org/officeDocument/2006/relationships/hyperlink" Target="#FSOL!A1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10" Type="http://schemas.openxmlformats.org/officeDocument/2006/relationships/image" Target="../media/image5.png"/><Relationship Id="rId4" Type="http://schemas.openxmlformats.org/officeDocument/2006/relationships/hyperlink" Target="#'Fun&#231;&#245;es de Dados'!A1"/><Relationship Id="rId9" Type="http://schemas.openxmlformats.org/officeDocument/2006/relationships/hyperlink" Target="#RESULTAD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hyperlink" Target="#DOC!A1"/><Relationship Id="rId1" Type="http://schemas.openxmlformats.org/officeDocument/2006/relationships/hyperlink" Target="#FD_Aplicacao!A1"/><Relationship Id="rId6" Type="http://schemas.openxmlformats.org/officeDocument/2006/relationships/image" Target="../media/image2.png"/><Relationship Id="rId5" Type="http://schemas.openxmlformats.org/officeDocument/2006/relationships/hyperlink" Target="#'Fun&#231;&#245;es de Dados'!A1"/><Relationship Id="rId10" Type="http://schemas.openxmlformats.org/officeDocument/2006/relationships/image" Target="../media/image5.png"/><Relationship Id="rId4" Type="http://schemas.openxmlformats.org/officeDocument/2006/relationships/hyperlink" Target="#FSOL!A1"/><Relationship Id="rId9" Type="http://schemas.openxmlformats.org/officeDocument/2006/relationships/hyperlink" Target="#RESULTAD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FSOL!A1"/><Relationship Id="rId7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#FT_Aplicacao!A1"/><Relationship Id="rId6" Type="http://schemas.openxmlformats.org/officeDocument/2006/relationships/hyperlink" Target="#FD_Aplicacao!A1"/><Relationship Id="rId5" Type="http://schemas.openxmlformats.org/officeDocument/2006/relationships/image" Target="../media/image2.png"/><Relationship Id="rId10" Type="http://schemas.openxmlformats.org/officeDocument/2006/relationships/image" Target="../media/image5.png"/><Relationship Id="rId4" Type="http://schemas.openxmlformats.org/officeDocument/2006/relationships/hyperlink" Target="#'Fun&#231;&#245;es de Dados'!A1"/><Relationship Id="rId9" Type="http://schemas.openxmlformats.org/officeDocument/2006/relationships/hyperlink" Target="#RESULTAD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FT_Aplicacao!A1"/><Relationship Id="rId3" Type="http://schemas.openxmlformats.org/officeDocument/2006/relationships/hyperlink" Target="#FSOL!A1"/><Relationship Id="rId7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#DOC!A1"/><Relationship Id="rId6" Type="http://schemas.openxmlformats.org/officeDocument/2006/relationships/hyperlink" Target="#FD_Aplicacao!A1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0" Type="http://schemas.openxmlformats.org/officeDocument/2006/relationships/image" Target="../media/image6.gif"/><Relationship Id="rId4" Type="http://schemas.openxmlformats.org/officeDocument/2006/relationships/hyperlink" Target="#'Fun&#231;&#245;es de Dados'!A1"/><Relationship Id="rId9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66675</xdr:colOff>
      <xdr:row>65</xdr:row>
      <xdr:rowOff>0</xdr:rowOff>
    </xdr:from>
    <xdr:to>
      <xdr:col>25</xdr:col>
      <xdr:colOff>76200</xdr:colOff>
      <xdr:row>66</xdr:row>
      <xdr:rowOff>104775</xdr:rowOff>
    </xdr:to>
    <xdr:sp macro="" textlink="">
      <xdr:nvSpPr>
        <xdr:cNvPr id="19" name="Seta para a esquerda 18">
          <a:hlinkClick xmlns:r="http://schemas.openxmlformats.org/officeDocument/2006/relationships" r:id="rId1" tooltip="Avançar para &quot;Funções de Dados&quot;"/>
        </xdr:cNvPr>
        <xdr:cNvSpPr/>
      </xdr:nvSpPr>
      <xdr:spPr bwMode="auto">
        <a:xfrm flipH="1">
          <a:off x="4105275" y="18173700"/>
          <a:ext cx="371475" cy="266700"/>
        </a:xfrm>
        <a:prstGeom prst="leftArrow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0</xdr:colOff>
      <xdr:row>65</xdr:row>
      <xdr:rowOff>123826</xdr:rowOff>
    </xdr:from>
    <xdr:to>
      <xdr:col>23</xdr:col>
      <xdr:colOff>133350</xdr:colOff>
      <xdr:row>67</xdr:row>
      <xdr:rowOff>85726</xdr:rowOff>
    </xdr:to>
    <xdr:sp macro="" textlink="">
      <xdr:nvSpPr>
        <xdr:cNvPr id="20" name="CaixaDeTexto 19">
          <a:hlinkClick xmlns:r="http://schemas.openxmlformats.org/officeDocument/2006/relationships" r:id="rId1" tooltip="Ir para &quot;Funções de Dados&quot;"/>
        </xdr:cNvPr>
        <xdr:cNvSpPr txBox="1"/>
      </xdr:nvSpPr>
      <xdr:spPr>
        <a:xfrm>
          <a:off x="3495675" y="18297526"/>
          <a:ext cx="6762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i="1"/>
            <a:t>Avançar</a:t>
          </a:r>
        </a:p>
      </xdr:txBody>
    </xdr:sp>
    <xdr:clientData/>
  </xdr:twoCellAnchor>
  <xdr:twoCellAnchor>
    <xdr:from>
      <xdr:col>19</xdr:col>
      <xdr:colOff>114300</xdr:colOff>
      <xdr:row>5</xdr:row>
      <xdr:rowOff>104775</xdr:rowOff>
    </xdr:from>
    <xdr:to>
      <xdr:col>30</xdr:col>
      <xdr:colOff>28575</xdr:colOff>
      <xdr:row>10</xdr:row>
      <xdr:rowOff>57150</xdr:rowOff>
    </xdr:to>
    <xdr:sp macro="" textlink="">
      <xdr:nvSpPr>
        <xdr:cNvPr id="22" name="Retângulo 21"/>
        <xdr:cNvSpPr/>
      </xdr:nvSpPr>
      <xdr:spPr>
        <a:xfrm>
          <a:off x="3429000" y="381000"/>
          <a:ext cx="1905000" cy="638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123824</xdr:colOff>
      <xdr:row>7</xdr:row>
      <xdr:rowOff>95250</xdr:rowOff>
    </xdr:from>
    <xdr:to>
      <xdr:col>17</xdr:col>
      <xdr:colOff>133349</xdr:colOff>
      <xdr:row>8</xdr:row>
      <xdr:rowOff>142875</xdr:rowOff>
    </xdr:to>
    <xdr:sp macro="" textlink="">
      <xdr:nvSpPr>
        <xdr:cNvPr id="24" name="Seta para a esquerda 23">
          <a:hlinkClick xmlns:r="http://schemas.openxmlformats.org/officeDocument/2006/relationships" r:id="rId1" tooltip="Avançar para o &quot;Funções de Dados&quot;"/>
        </xdr:cNvPr>
        <xdr:cNvSpPr/>
      </xdr:nvSpPr>
      <xdr:spPr bwMode="auto">
        <a:xfrm flipH="1">
          <a:off x="2714624" y="571500"/>
          <a:ext cx="371475" cy="285750"/>
        </a:xfrm>
        <a:prstGeom prst="leftArrow">
          <a:avLst/>
        </a:prstGeom>
        <a:solidFill>
          <a:schemeClr val="accent3">
            <a:lumMod val="20000"/>
            <a:lumOff val="80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123825</xdr:colOff>
      <xdr:row>7</xdr:row>
      <xdr:rowOff>66675</xdr:rowOff>
    </xdr:from>
    <xdr:to>
      <xdr:col>29</xdr:col>
      <xdr:colOff>0</xdr:colOff>
      <xdr:row>9</xdr:row>
      <xdr:rowOff>0</xdr:rowOff>
    </xdr:to>
    <xdr:grpSp>
      <xdr:nvGrpSpPr>
        <xdr:cNvPr id="25" name="Grupo 24"/>
        <xdr:cNvGrpSpPr/>
      </xdr:nvGrpSpPr>
      <xdr:grpSpPr>
        <a:xfrm>
          <a:off x="3619500" y="571500"/>
          <a:ext cx="1504950" cy="333375"/>
          <a:chOff x="8991600" y="581025"/>
          <a:chExt cx="1504950" cy="333375"/>
        </a:xfrm>
      </xdr:grpSpPr>
      <xdr:grpSp>
        <xdr:nvGrpSpPr>
          <xdr:cNvPr id="26" name="Grupo 25"/>
          <xdr:cNvGrpSpPr/>
        </xdr:nvGrpSpPr>
        <xdr:grpSpPr>
          <a:xfrm>
            <a:off x="8991600" y="581025"/>
            <a:ext cx="342899" cy="333375"/>
            <a:chOff x="9420225" y="228600"/>
            <a:chExt cx="342899" cy="304800"/>
          </a:xfrm>
        </xdr:grpSpPr>
        <xdr:pic>
          <xdr:nvPicPr>
            <xdr:cNvPr id="36" name="Imagem 3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48800" y="228600"/>
              <a:ext cx="279365" cy="279365"/>
            </a:xfrm>
            <a:prstGeom prst="rect">
              <a:avLst/>
            </a:prstGeom>
          </xdr:spPr>
        </xdr:pic>
        <xdr:sp macro="" textlink="">
          <xdr:nvSpPr>
            <xdr:cNvPr id="37" name="CaixaDeTexto 36"/>
            <xdr:cNvSpPr txBox="1"/>
          </xdr:nvSpPr>
          <xdr:spPr>
            <a:xfrm>
              <a:off x="9420225" y="361950"/>
              <a:ext cx="342899" cy="171450"/>
            </a:xfrm>
            <a:prstGeom prst="rect">
              <a:avLst/>
            </a:prstGeom>
            <a:ln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SOL</a:t>
              </a:r>
            </a:p>
          </xdr:txBody>
        </xdr:sp>
      </xdr:grpSp>
      <xdr:grpSp>
        <xdr:nvGrpSpPr>
          <xdr:cNvPr id="27" name="Grupo 26">
            <a:hlinkClick xmlns:r="http://schemas.openxmlformats.org/officeDocument/2006/relationships" r:id="rId3" tooltip="Funções de Dados"/>
          </xdr:cNvPr>
          <xdr:cNvGrpSpPr/>
        </xdr:nvGrpSpPr>
        <xdr:grpSpPr>
          <a:xfrm>
            <a:off x="9410700" y="590550"/>
            <a:ext cx="295276" cy="323850"/>
            <a:chOff x="9772650" y="238125"/>
            <a:chExt cx="295276" cy="295275"/>
          </a:xfrm>
        </xdr:grpSpPr>
        <xdr:pic>
          <xdr:nvPicPr>
            <xdr:cNvPr id="34" name="Imagem 33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20275" y="238125"/>
              <a:ext cx="219075" cy="266700"/>
            </a:xfrm>
            <a:prstGeom prst="rect">
              <a:avLst/>
            </a:prstGeom>
          </xdr:spPr>
        </xdr:pic>
        <xdr:sp macro="" textlink="">
          <xdr:nvSpPr>
            <xdr:cNvPr id="35" name="CaixaDeTexto 34">
              <a:hlinkClick xmlns:r="http://schemas.openxmlformats.org/officeDocument/2006/relationships" r:id="rId1" tooltip="Funções de Dados"/>
            </xdr:cNvPr>
            <xdr:cNvSpPr txBox="1"/>
          </xdr:nvSpPr>
          <xdr:spPr>
            <a:xfrm>
              <a:off x="9772650" y="361950"/>
              <a:ext cx="295276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FD</a:t>
              </a:r>
            </a:p>
          </xdr:txBody>
        </xdr:sp>
      </xdr:grpSp>
      <xdr:grpSp>
        <xdr:nvGrpSpPr>
          <xdr:cNvPr id="28" name="Grupo 27"/>
          <xdr:cNvGrpSpPr/>
        </xdr:nvGrpSpPr>
        <xdr:grpSpPr>
          <a:xfrm>
            <a:off x="9782175" y="590550"/>
            <a:ext cx="295276" cy="323850"/>
            <a:chOff x="10191750" y="238125"/>
            <a:chExt cx="295276" cy="295275"/>
          </a:xfrm>
        </xdr:grpSpPr>
        <xdr:pic>
          <xdr:nvPicPr>
            <xdr:cNvPr id="32" name="Imagem 31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0800" y="238125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33" name="CaixaDeTexto 32">
              <a:hlinkClick xmlns:r="http://schemas.openxmlformats.org/officeDocument/2006/relationships" r:id="rId6" tooltip="Funções de Transação"/>
            </xdr:cNvPr>
            <xdr:cNvSpPr txBox="1"/>
          </xdr:nvSpPr>
          <xdr:spPr>
            <a:xfrm>
              <a:off x="10191750" y="361950"/>
              <a:ext cx="295276" cy="171450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FT</a:t>
              </a:r>
            </a:p>
          </xdr:txBody>
        </xdr:sp>
      </xdr:grpSp>
      <xdr:grpSp>
        <xdr:nvGrpSpPr>
          <xdr:cNvPr id="29" name="Grupo 28"/>
          <xdr:cNvGrpSpPr/>
        </xdr:nvGrpSpPr>
        <xdr:grpSpPr>
          <a:xfrm>
            <a:off x="10153650" y="595014"/>
            <a:ext cx="342900" cy="319384"/>
            <a:chOff x="10591800" y="242589"/>
            <a:chExt cx="342900" cy="290809"/>
          </a:xfrm>
        </xdr:grpSpPr>
        <xdr:pic>
          <xdr:nvPicPr>
            <xdr:cNvPr id="30" name="Imagem 29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39425" y="242589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31" name="CaixaDeTexto 30">
              <a:hlinkClick xmlns:r="http://schemas.openxmlformats.org/officeDocument/2006/relationships" r:id="rId8" tooltip="Documentar"/>
            </xdr:cNvPr>
            <xdr:cNvSpPr txBox="1"/>
          </xdr:nvSpPr>
          <xdr:spPr>
            <a:xfrm>
              <a:off x="10591800" y="361949"/>
              <a:ext cx="342900" cy="171449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DOC</a:t>
              </a:r>
            </a:p>
          </xdr:txBody>
        </xdr:sp>
      </xdr:grpSp>
    </xdr:grpSp>
    <xdr:clientData/>
  </xdr:twoCellAnchor>
  <xdr:twoCellAnchor>
    <xdr:from>
      <xdr:col>30</xdr:col>
      <xdr:colOff>104775</xdr:colOff>
      <xdr:row>5</xdr:row>
      <xdr:rowOff>104775</xdr:rowOff>
    </xdr:from>
    <xdr:to>
      <xdr:col>34</xdr:col>
      <xdr:colOff>123825</xdr:colOff>
      <xdr:row>10</xdr:row>
      <xdr:rowOff>57151</xdr:rowOff>
    </xdr:to>
    <xdr:grpSp>
      <xdr:nvGrpSpPr>
        <xdr:cNvPr id="23" name="Grupo 22"/>
        <xdr:cNvGrpSpPr/>
      </xdr:nvGrpSpPr>
      <xdr:grpSpPr>
        <a:xfrm>
          <a:off x="5410200" y="409575"/>
          <a:ext cx="742950" cy="638176"/>
          <a:chOff x="5410200" y="381000"/>
          <a:chExt cx="742950" cy="638176"/>
        </a:xfrm>
      </xdr:grpSpPr>
      <xdr:sp macro="" textlink="">
        <xdr:nvSpPr>
          <xdr:cNvPr id="38" name="Retângulo 37"/>
          <xdr:cNvSpPr/>
        </xdr:nvSpPr>
        <xdr:spPr>
          <a:xfrm>
            <a:off x="5410200" y="381000"/>
            <a:ext cx="742950" cy="638176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>
            <a:hlinkClick xmlns:r="http://schemas.openxmlformats.org/officeDocument/2006/relationships" r:id="rId9" tooltip="Resultado"/>
          </xdr:cNvPr>
          <xdr:cNvGrpSpPr/>
        </xdr:nvGrpSpPr>
        <xdr:grpSpPr>
          <a:xfrm>
            <a:off x="5467349" y="476250"/>
            <a:ext cx="628651" cy="485774"/>
            <a:chOff x="5467349" y="476250"/>
            <a:chExt cx="628651" cy="485774"/>
          </a:xfrm>
        </xdr:grpSpPr>
        <xdr:pic>
          <xdr:nvPicPr>
            <xdr:cNvPr id="40" name="Imagem 39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1650" y="476250"/>
              <a:ext cx="381000" cy="416718"/>
            </a:xfrm>
            <a:prstGeom prst="rect">
              <a:avLst/>
            </a:prstGeom>
          </xdr:spPr>
        </xdr:pic>
        <xdr:sp macro="" textlink="">
          <xdr:nvSpPr>
            <xdr:cNvPr id="41" name="CaixaDeTexto 40">
              <a:hlinkClick xmlns:r="http://schemas.openxmlformats.org/officeDocument/2006/relationships" r:id="rId9" tooltip="Resultado"/>
            </xdr:cNvPr>
            <xdr:cNvSpPr txBox="1"/>
          </xdr:nvSpPr>
          <xdr:spPr>
            <a:xfrm>
              <a:off x="5467349" y="742950"/>
              <a:ext cx="628651" cy="219074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800" b="1">
                  <a:latin typeface="Arial Narrow" pitchFamily="34" charset="0"/>
                </a:rPr>
                <a:t>Resultado</a:t>
              </a:r>
            </a:p>
          </xdr:txBody>
        </xdr:sp>
      </xdr:grpSp>
    </xdr:grpSp>
    <xdr:clientData/>
  </xdr:twoCellAnchor>
  <xdr:twoCellAnchor editAs="oneCell">
    <xdr:from>
      <xdr:col>1</xdr:col>
      <xdr:colOff>9525</xdr:colOff>
      <xdr:row>5</xdr:row>
      <xdr:rowOff>9525</xdr:rowOff>
    </xdr:from>
    <xdr:to>
      <xdr:col>11</xdr:col>
      <xdr:colOff>38100</xdr:colOff>
      <xdr:row>8</xdr:row>
      <xdr:rowOff>148104</xdr:rowOff>
    </xdr:to>
    <xdr:pic>
      <xdr:nvPicPr>
        <xdr:cNvPr id="42" name="Imagem 41" descr="http://localhost/badesul0112/phpimages/logogit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285750"/>
          <a:ext cx="1838325" cy="576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5</xdr:row>
      <xdr:rowOff>104775</xdr:rowOff>
    </xdr:from>
    <xdr:to>
      <xdr:col>3</xdr:col>
      <xdr:colOff>2152650</xdr:colOff>
      <xdr:row>10</xdr:row>
      <xdr:rowOff>57150</xdr:rowOff>
    </xdr:to>
    <xdr:sp macro="" textlink="">
      <xdr:nvSpPr>
        <xdr:cNvPr id="2" name="Retângulo 1"/>
        <xdr:cNvSpPr/>
      </xdr:nvSpPr>
      <xdr:spPr>
        <a:xfrm>
          <a:off x="3429000" y="381000"/>
          <a:ext cx="1905000" cy="638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1647825</xdr:colOff>
      <xdr:row>5</xdr:row>
      <xdr:rowOff>38100</xdr:rowOff>
    </xdr:from>
    <xdr:to>
      <xdr:col>2</xdr:col>
      <xdr:colOff>2019300</xdr:colOff>
      <xdr:row>7</xdr:row>
      <xdr:rowOff>152400</xdr:rowOff>
    </xdr:to>
    <xdr:sp macro="" textlink="">
      <xdr:nvSpPr>
        <xdr:cNvPr id="4" name="Seta para a esquerda 3">
          <a:hlinkClick xmlns:r="http://schemas.openxmlformats.org/officeDocument/2006/relationships" r:id="rId1" tooltip="Voltar para &quot;FSOL&quot;"/>
        </xdr:cNvPr>
        <xdr:cNvSpPr/>
      </xdr:nvSpPr>
      <xdr:spPr bwMode="auto">
        <a:xfrm>
          <a:off x="2486025" y="314325"/>
          <a:ext cx="371475" cy="314325"/>
        </a:xfrm>
        <a:prstGeom prst="leftArrow">
          <a:avLst/>
        </a:prstGeom>
        <a:solidFill>
          <a:schemeClr val="bg1">
            <a:lumMod val="85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1876424</xdr:colOff>
      <xdr:row>7</xdr:row>
      <xdr:rowOff>95250</xdr:rowOff>
    </xdr:from>
    <xdr:to>
      <xdr:col>2</xdr:col>
      <xdr:colOff>2247899</xdr:colOff>
      <xdr:row>8</xdr:row>
      <xdr:rowOff>142875</xdr:rowOff>
    </xdr:to>
    <xdr:sp macro="" textlink="">
      <xdr:nvSpPr>
        <xdr:cNvPr id="5" name="Seta para a esquerda 4">
          <a:hlinkClick xmlns:r="http://schemas.openxmlformats.org/officeDocument/2006/relationships" r:id="rId2" tooltip="Avançar para &quot;Funções de Transação&quot;"/>
        </xdr:cNvPr>
        <xdr:cNvSpPr/>
      </xdr:nvSpPr>
      <xdr:spPr bwMode="auto">
        <a:xfrm flipH="1">
          <a:off x="2714624" y="571500"/>
          <a:ext cx="371475" cy="285750"/>
        </a:xfrm>
        <a:prstGeom prst="leftArrow">
          <a:avLst/>
        </a:prstGeom>
        <a:solidFill>
          <a:schemeClr val="accent3">
            <a:lumMod val="20000"/>
            <a:lumOff val="80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38100</xdr:rowOff>
        </xdr:from>
        <xdr:to>
          <xdr:col>8</xdr:col>
          <xdr:colOff>0</xdr:colOff>
          <xdr:row>7</xdr:row>
          <xdr:rowOff>200025</xdr:rowOff>
        </xdr:to>
        <xdr:sp macro="" textlink="">
          <xdr:nvSpPr>
            <xdr:cNvPr id="88065" name="Drop Down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9</xdr:row>
          <xdr:rowOff>66675</xdr:rowOff>
        </xdr:from>
        <xdr:to>
          <xdr:col>9</xdr:col>
          <xdr:colOff>485775</xdr:colOff>
          <xdr:row>10</xdr:row>
          <xdr:rowOff>142875</xdr:rowOff>
        </xdr:to>
        <xdr:sp macro="" textlink="">
          <xdr:nvSpPr>
            <xdr:cNvPr id="88066" name="Drop Down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438150</xdr:colOff>
      <xdr:row>7</xdr:row>
      <xdr:rowOff>66675</xdr:rowOff>
    </xdr:from>
    <xdr:to>
      <xdr:col>3</xdr:col>
      <xdr:colOff>1943100</xdr:colOff>
      <xdr:row>9</xdr:row>
      <xdr:rowOff>0</xdr:rowOff>
    </xdr:to>
    <xdr:grpSp>
      <xdr:nvGrpSpPr>
        <xdr:cNvPr id="8" name="Grupo 7"/>
        <xdr:cNvGrpSpPr/>
      </xdr:nvGrpSpPr>
      <xdr:grpSpPr>
        <a:xfrm>
          <a:off x="3619500" y="542925"/>
          <a:ext cx="1504950" cy="333375"/>
          <a:chOff x="8991600" y="581025"/>
          <a:chExt cx="1504950" cy="333375"/>
        </a:xfrm>
      </xdr:grpSpPr>
      <xdr:grpSp>
        <xdr:nvGrpSpPr>
          <xdr:cNvPr id="9" name="Grupo 8"/>
          <xdr:cNvGrpSpPr/>
        </xdr:nvGrpSpPr>
        <xdr:grpSpPr>
          <a:xfrm>
            <a:off x="8991600" y="581025"/>
            <a:ext cx="342899" cy="333375"/>
            <a:chOff x="9420225" y="228600"/>
            <a:chExt cx="342899" cy="304800"/>
          </a:xfrm>
        </xdr:grpSpPr>
        <xdr:pic>
          <xdr:nvPicPr>
            <xdr:cNvPr id="19" name="Imagem 18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48800" y="228600"/>
              <a:ext cx="279365" cy="279365"/>
            </a:xfrm>
            <a:prstGeom prst="rect">
              <a:avLst/>
            </a:prstGeom>
          </xdr:spPr>
        </xdr:pic>
        <xdr:sp macro="" textlink="">
          <xdr:nvSpPr>
            <xdr:cNvPr id="20" name="CaixaDeTexto 19">
              <a:hlinkClick xmlns:r="http://schemas.openxmlformats.org/officeDocument/2006/relationships" r:id="rId1" tooltip="Formulário de Solicitação (FSOL)"/>
            </xdr:cNvPr>
            <xdr:cNvSpPr txBox="1"/>
          </xdr:nvSpPr>
          <xdr:spPr>
            <a:xfrm>
              <a:off x="9420225" y="361950"/>
              <a:ext cx="342899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SOL</a:t>
              </a:r>
            </a:p>
          </xdr:txBody>
        </xdr:sp>
      </xdr:grpSp>
      <xdr:grpSp>
        <xdr:nvGrpSpPr>
          <xdr:cNvPr id="10" name="Grupo 9">
            <a:hlinkClick xmlns:r="http://schemas.openxmlformats.org/officeDocument/2006/relationships" r:id="rId4" tooltip="Funções de Dados"/>
          </xdr:cNvPr>
          <xdr:cNvGrpSpPr/>
        </xdr:nvGrpSpPr>
        <xdr:grpSpPr>
          <a:xfrm>
            <a:off x="9410700" y="590550"/>
            <a:ext cx="295276" cy="323850"/>
            <a:chOff x="9772650" y="238125"/>
            <a:chExt cx="295276" cy="295275"/>
          </a:xfrm>
        </xdr:grpSpPr>
        <xdr:pic>
          <xdr:nvPicPr>
            <xdr:cNvPr id="17" name="Imagem 16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20275" y="238125"/>
              <a:ext cx="219075" cy="266700"/>
            </a:xfrm>
            <a:prstGeom prst="rect">
              <a:avLst/>
            </a:prstGeom>
          </xdr:spPr>
        </xdr:pic>
        <xdr:sp macro="" textlink="">
          <xdr:nvSpPr>
            <xdr:cNvPr id="18" name="CaixaDeTexto 17"/>
            <xdr:cNvSpPr txBox="1"/>
          </xdr:nvSpPr>
          <xdr:spPr>
            <a:xfrm>
              <a:off x="9772650" y="361950"/>
              <a:ext cx="295276" cy="171450"/>
            </a:xfrm>
            <a:prstGeom prst="rect">
              <a:avLst/>
            </a:prstGeom>
            <a:ln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FD</a:t>
              </a:r>
            </a:p>
          </xdr:txBody>
        </xdr:sp>
      </xdr:grpSp>
      <xdr:grpSp>
        <xdr:nvGrpSpPr>
          <xdr:cNvPr id="11" name="Grupo 10"/>
          <xdr:cNvGrpSpPr/>
        </xdr:nvGrpSpPr>
        <xdr:grpSpPr>
          <a:xfrm>
            <a:off x="9782175" y="590550"/>
            <a:ext cx="295276" cy="323850"/>
            <a:chOff x="10191750" y="238125"/>
            <a:chExt cx="295276" cy="295275"/>
          </a:xfrm>
        </xdr:grpSpPr>
        <xdr:pic>
          <xdr:nvPicPr>
            <xdr:cNvPr id="15" name="Imagem 14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0800" y="238125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16" name="CaixaDeTexto 15">
              <a:hlinkClick xmlns:r="http://schemas.openxmlformats.org/officeDocument/2006/relationships" r:id="rId2" tooltip="Funções de Transação"/>
            </xdr:cNvPr>
            <xdr:cNvSpPr txBox="1"/>
          </xdr:nvSpPr>
          <xdr:spPr>
            <a:xfrm>
              <a:off x="10191750" y="361950"/>
              <a:ext cx="295276" cy="171450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FT</a:t>
              </a:r>
            </a:p>
          </xdr:txBody>
        </xdr:sp>
      </xdr:grpSp>
      <xdr:grpSp>
        <xdr:nvGrpSpPr>
          <xdr:cNvPr id="12" name="Grupo 11"/>
          <xdr:cNvGrpSpPr/>
        </xdr:nvGrpSpPr>
        <xdr:grpSpPr>
          <a:xfrm>
            <a:off x="10153650" y="595014"/>
            <a:ext cx="342900" cy="319384"/>
            <a:chOff x="10591800" y="242589"/>
            <a:chExt cx="342900" cy="290809"/>
          </a:xfrm>
        </xdr:grpSpPr>
        <xdr:pic>
          <xdr:nvPicPr>
            <xdr:cNvPr id="13" name="Imagem 12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39425" y="242589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14" name="CaixaDeTexto 13">
              <a:hlinkClick xmlns:r="http://schemas.openxmlformats.org/officeDocument/2006/relationships" r:id="rId8" tooltip="Documentar"/>
            </xdr:cNvPr>
            <xdr:cNvSpPr txBox="1"/>
          </xdr:nvSpPr>
          <xdr:spPr>
            <a:xfrm>
              <a:off x="10591800" y="361949"/>
              <a:ext cx="342900" cy="1714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DOC</a:t>
              </a:r>
            </a:p>
          </xdr:txBody>
        </xdr:sp>
      </xdr:grpSp>
    </xdr:grpSp>
    <xdr:clientData/>
  </xdr:twoCellAnchor>
  <xdr:oneCellAnchor>
    <xdr:from>
      <xdr:col>1</xdr:col>
      <xdr:colOff>0</xdr:colOff>
      <xdr:row>14</xdr:row>
      <xdr:rowOff>57150</xdr:rowOff>
    </xdr:from>
    <xdr:ext cx="763449" cy="255659"/>
    <xdr:sp macro="" textlink="">
      <xdr:nvSpPr>
        <xdr:cNvPr id="21" name="CaixaDeTexto 20"/>
        <xdr:cNvSpPr txBox="1"/>
      </xdr:nvSpPr>
      <xdr:spPr>
        <a:xfrm>
          <a:off x="180975" y="1257300"/>
          <a:ext cx="763449" cy="25565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800" b="1">
              <a:solidFill>
                <a:schemeClr val="bg2">
                  <a:lumMod val="25000"/>
                </a:schemeClr>
              </a:solidFill>
            </a:rPr>
            <a:t>Aplicação</a:t>
          </a:r>
        </a:p>
      </xdr:txBody>
    </xdr:sp>
    <xdr:clientData/>
  </xdr:oneCellAnchor>
  <xdr:oneCellAnchor>
    <xdr:from>
      <xdr:col>1</xdr:col>
      <xdr:colOff>0</xdr:colOff>
      <xdr:row>14</xdr:row>
      <xdr:rowOff>19050</xdr:rowOff>
    </xdr:from>
    <xdr:ext cx="763449" cy="47625"/>
    <xdr:sp macro="" textlink="">
      <xdr:nvSpPr>
        <xdr:cNvPr id="34" name="CaixaDeTexto 33"/>
        <xdr:cNvSpPr txBox="1"/>
      </xdr:nvSpPr>
      <xdr:spPr>
        <a:xfrm>
          <a:off x="180975" y="1219200"/>
          <a:ext cx="763449" cy="47625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pt-BR" sz="800">
            <a:solidFill>
              <a:schemeClr val="bg2">
                <a:lumMod val="90000"/>
              </a:schemeClr>
            </a:solidFill>
          </a:endParaRPr>
        </a:p>
      </xdr:txBody>
    </xdr:sp>
    <xdr:clientData/>
  </xdr:oneCellAnchor>
  <xdr:oneCellAnchor>
    <xdr:from>
      <xdr:col>4</xdr:col>
      <xdr:colOff>0</xdr:colOff>
      <xdr:row>5</xdr:row>
      <xdr:rowOff>95250</xdr:rowOff>
    </xdr:from>
    <xdr:ext cx="184731" cy="217560"/>
    <xdr:sp macro="" textlink="">
      <xdr:nvSpPr>
        <xdr:cNvPr id="35" name="CaixaDeTexto 34"/>
        <xdr:cNvSpPr txBox="1"/>
      </xdr:nvSpPr>
      <xdr:spPr>
        <a:xfrm>
          <a:off x="7124700" y="371475"/>
          <a:ext cx="18473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800" i="1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1017</xdr:row>
          <xdr:rowOff>19050</xdr:rowOff>
        </xdr:from>
        <xdr:to>
          <xdr:col>3</xdr:col>
          <xdr:colOff>1000125</xdr:colOff>
          <xdr:row>1047</xdr:row>
          <xdr:rowOff>133350</xdr:rowOff>
        </xdr:to>
        <xdr:sp macro="" textlink="">
          <xdr:nvSpPr>
            <xdr:cNvPr id="88080" name="Resumo_FD_Evolutiva" hidden="1">
              <a:extLst>
                <a:ext uri="{63B3BB69-23CF-44E3-9099-C40C66FF867C}">
                  <a14:compatExt spid="_x0000_s88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Exibir Resumo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2228850</xdr:colOff>
      <xdr:row>5</xdr:row>
      <xdr:rowOff>104775</xdr:rowOff>
    </xdr:from>
    <xdr:to>
      <xdr:col>3</xdr:col>
      <xdr:colOff>2971800</xdr:colOff>
      <xdr:row>10</xdr:row>
      <xdr:rowOff>57151</xdr:rowOff>
    </xdr:to>
    <xdr:grpSp>
      <xdr:nvGrpSpPr>
        <xdr:cNvPr id="38" name="Grupo 37"/>
        <xdr:cNvGrpSpPr/>
      </xdr:nvGrpSpPr>
      <xdr:grpSpPr>
        <a:xfrm>
          <a:off x="5410200" y="381000"/>
          <a:ext cx="742950" cy="638176"/>
          <a:chOff x="5410200" y="381000"/>
          <a:chExt cx="742950" cy="638176"/>
        </a:xfrm>
      </xdr:grpSpPr>
      <xdr:sp macro="" textlink="">
        <xdr:nvSpPr>
          <xdr:cNvPr id="39" name="Retângulo 38"/>
          <xdr:cNvSpPr/>
        </xdr:nvSpPr>
        <xdr:spPr>
          <a:xfrm>
            <a:off x="5410200" y="381000"/>
            <a:ext cx="742950" cy="638176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0" name="Grupo 39">
            <a:hlinkClick xmlns:r="http://schemas.openxmlformats.org/officeDocument/2006/relationships" r:id="rId9" tooltip="Resultado"/>
          </xdr:cNvPr>
          <xdr:cNvGrpSpPr/>
        </xdr:nvGrpSpPr>
        <xdr:grpSpPr>
          <a:xfrm>
            <a:off x="5467349" y="476250"/>
            <a:ext cx="628651" cy="485774"/>
            <a:chOff x="5467349" y="476250"/>
            <a:chExt cx="628651" cy="485774"/>
          </a:xfrm>
        </xdr:grpSpPr>
        <xdr:pic>
          <xdr:nvPicPr>
            <xdr:cNvPr id="41" name="Imagem 40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1650" y="476250"/>
              <a:ext cx="381000" cy="416718"/>
            </a:xfrm>
            <a:prstGeom prst="rect">
              <a:avLst/>
            </a:prstGeom>
          </xdr:spPr>
        </xdr:pic>
        <xdr:sp macro="" textlink="">
          <xdr:nvSpPr>
            <xdr:cNvPr id="42" name="CaixaDeTexto 41">
              <a:hlinkClick xmlns:r="http://schemas.openxmlformats.org/officeDocument/2006/relationships" r:id="rId9" tooltip="Resultado"/>
            </xdr:cNvPr>
            <xdr:cNvSpPr txBox="1"/>
          </xdr:nvSpPr>
          <xdr:spPr>
            <a:xfrm>
              <a:off x="5467349" y="742950"/>
              <a:ext cx="628651" cy="219074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800" b="1">
                  <a:latin typeface="Arial Narrow" pitchFamily="34" charset="0"/>
                </a:rPr>
                <a:t>Resultado</a:t>
              </a:r>
            </a:p>
          </xdr:txBody>
        </xdr:sp>
      </xdr:grpSp>
    </xdr:grpSp>
    <xdr:clientData/>
  </xdr:twoCellAnchor>
  <xdr:twoCellAnchor editAs="oneCell">
    <xdr:from>
      <xdr:col>1</xdr:col>
      <xdr:colOff>9525</xdr:colOff>
      <xdr:row>5</xdr:row>
      <xdr:rowOff>9525</xdr:rowOff>
    </xdr:from>
    <xdr:to>
      <xdr:col>2</xdr:col>
      <xdr:colOff>1190625</xdr:colOff>
      <xdr:row>8</xdr:row>
      <xdr:rowOff>148104</xdr:rowOff>
    </xdr:to>
    <xdr:pic>
      <xdr:nvPicPr>
        <xdr:cNvPr id="30" name="Imagem 29" descr="http://localhost/badesul0112/phpimages/logogit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285750"/>
          <a:ext cx="1838325" cy="576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5</xdr:row>
      <xdr:rowOff>104775</xdr:rowOff>
    </xdr:from>
    <xdr:to>
      <xdr:col>3</xdr:col>
      <xdr:colOff>2152650</xdr:colOff>
      <xdr:row>10</xdr:row>
      <xdr:rowOff>57150</xdr:rowOff>
    </xdr:to>
    <xdr:sp macro="" textlink="">
      <xdr:nvSpPr>
        <xdr:cNvPr id="6" name="Retângulo 5"/>
        <xdr:cNvSpPr/>
      </xdr:nvSpPr>
      <xdr:spPr>
        <a:xfrm>
          <a:off x="3429000" y="381000"/>
          <a:ext cx="1905000" cy="638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1647825</xdr:colOff>
      <xdr:row>5</xdr:row>
      <xdr:rowOff>38100</xdr:rowOff>
    </xdr:from>
    <xdr:to>
      <xdr:col>2</xdr:col>
      <xdr:colOff>2019300</xdr:colOff>
      <xdr:row>7</xdr:row>
      <xdr:rowOff>152400</xdr:rowOff>
    </xdr:to>
    <xdr:sp macro="" textlink="">
      <xdr:nvSpPr>
        <xdr:cNvPr id="3" name="Seta para a esquerda 2">
          <a:hlinkClick xmlns:r="http://schemas.openxmlformats.org/officeDocument/2006/relationships" r:id="rId1" tooltip="Voltar para &quot;Funções de Dados&quot;"/>
        </xdr:cNvPr>
        <xdr:cNvSpPr/>
      </xdr:nvSpPr>
      <xdr:spPr bwMode="auto">
        <a:xfrm>
          <a:off x="2486025" y="314325"/>
          <a:ext cx="371475" cy="314325"/>
        </a:xfrm>
        <a:prstGeom prst="leftArrow">
          <a:avLst/>
        </a:prstGeom>
        <a:solidFill>
          <a:schemeClr val="bg1">
            <a:lumMod val="85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1876424</xdr:colOff>
      <xdr:row>7</xdr:row>
      <xdr:rowOff>95250</xdr:rowOff>
    </xdr:from>
    <xdr:to>
      <xdr:col>2</xdr:col>
      <xdr:colOff>2247899</xdr:colOff>
      <xdr:row>8</xdr:row>
      <xdr:rowOff>142875</xdr:rowOff>
    </xdr:to>
    <xdr:sp macro="" textlink="">
      <xdr:nvSpPr>
        <xdr:cNvPr id="4" name="Seta para a esquerda 3">
          <a:hlinkClick xmlns:r="http://schemas.openxmlformats.org/officeDocument/2006/relationships" r:id="rId2" tooltip="Avançar para o &quot;Documentar Processo&quot;"/>
        </xdr:cNvPr>
        <xdr:cNvSpPr/>
      </xdr:nvSpPr>
      <xdr:spPr bwMode="auto">
        <a:xfrm flipH="1">
          <a:off x="2714624" y="571500"/>
          <a:ext cx="371475" cy="285750"/>
        </a:xfrm>
        <a:prstGeom prst="leftArrow">
          <a:avLst/>
        </a:prstGeom>
        <a:solidFill>
          <a:schemeClr val="accent3">
            <a:lumMod val="20000"/>
            <a:lumOff val="80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38100</xdr:rowOff>
        </xdr:from>
        <xdr:to>
          <xdr:col>8</xdr:col>
          <xdr:colOff>0</xdr:colOff>
          <xdr:row>7</xdr:row>
          <xdr:rowOff>200025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9</xdr:row>
          <xdr:rowOff>66675</xdr:rowOff>
        </xdr:from>
        <xdr:to>
          <xdr:col>9</xdr:col>
          <xdr:colOff>485775</xdr:colOff>
          <xdr:row>10</xdr:row>
          <xdr:rowOff>142875</xdr:rowOff>
        </xdr:to>
        <xdr:sp macro="" textlink="">
          <xdr:nvSpPr>
            <xdr:cNvPr id="15362" name="Drop Dow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438150</xdr:colOff>
      <xdr:row>7</xdr:row>
      <xdr:rowOff>66675</xdr:rowOff>
    </xdr:from>
    <xdr:to>
      <xdr:col>3</xdr:col>
      <xdr:colOff>1943100</xdr:colOff>
      <xdr:row>9</xdr:row>
      <xdr:rowOff>0</xdr:rowOff>
    </xdr:to>
    <xdr:grpSp>
      <xdr:nvGrpSpPr>
        <xdr:cNvPr id="5" name="Grupo 4"/>
        <xdr:cNvGrpSpPr/>
      </xdr:nvGrpSpPr>
      <xdr:grpSpPr>
        <a:xfrm>
          <a:off x="3619500" y="542925"/>
          <a:ext cx="1504950" cy="333375"/>
          <a:chOff x="8991600" y="581025"/>
          <a:chExt cx="1504950" cy="333375"/>
        </a:xfrm>
      </xdr:grpSpPr>
      <xdr:grpSp>
        <xdr:nvGrpSpPr>
          <xdr:cNvPr id="7" name="Grupo 6"/>
          <xdr:cNvGrpSpPr/>
        </xdr:nvGrpSpPr>
        <xdr:grpSpPr>
          <a:xfrm>
            <a:off x="8991600" y="581025"/>
            <a:ext cx="342899" cy="333375"/>
            <a:chOff x="9420225" y="228600"/>
            <a:chExt cx="342899" cy="304800"/>
          </a:xfrm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48800" y="228600"/>
              <a:ext cx="279365" cy="279365"/>
            </a:xfrm>
            <a:prstGeom prst="rect">
              <a:avLst/>
            </a:prstGeom>
          </xdr:spPr>
        </xdr:pic>
        <xdr:sp macro="" textlink="">
          <xdr:nvSpPr>
            <xdr:cNvPr id="9" name="CaixaDeTexto 8">
              <a:hlinkClick xmlns:r="http://schemas.openxmlformats.org/officeDocument/2006/relationships" r:id="rId4" tooltip="Formulário de Solicitação (FSOL)"/>
            </xdr:cNvPr>
            <xdr:cNvSpPr txBox="1"/>
          </xdr:nvSpPr>
          <xdr:spPr>
            <a:xfrm>
              <a:off x="9420225" y="361950"/>
              <a:ext cx="342899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SOL</a:t>
              </a:r>
            </a:p>
          </xdr:txBody>
        </xdr:sp>
      </xdr:grpSp>
      <xdr:grpSp>
        <xdr:nvGrpSpPr>
          <xdr:cNvPr id="10" name="Grupo 9">
            <a:hlinkClick xmlns:r="http://schemas.openxmlformats.org/officeDocument/2006/relationships" r:id="rId5" tooltip="Funções de Dados"/>
          </xdr:cNvPr>
          <xdr:cNvGrpSpPr/>
        </xdr:nvGrpSpPr>
        <xdr:grpSpPr>
          <a:xfrm>
            <a:off x="9410700" y="590550"/>
            <a:ext cx="295276" cy="323850"/>
            <a:chOff x="9772650" y="238125"/>
            <a:chExt cx="295276" cy="295275"/>
          </a:xfrm>
        </xdr:grpSpPr>
        <xdr:pic>
          <xdr:nvPicPr>
            <xdr:cNvPr id="11" name="Imagem 10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20275" y="238125"/>
              <a:ext cx="219075" cy="266700"/>
            </a:xfrm>
            <a:prstGeom prst="rect">
              <a:avLst/>
            </a:prstGeom>
          </xdr:spPr>
        </xdr:pic>
        <xdr:sp macro="" textlink="">
          <xdr:nvSpPr>
            <xdr:cNvPr id="12" name="CaixaDeTexto 11">
              <a:hlinkClick xmlns:r="http://schemas.openxmlformats.org/officeDocument/2006/relationships" r:id="rId1" tooltip="Funções de Dados"/>
            </xdr:cNvPr>
            <xdr:cNvSpPr txBox="1"/>
          </xdr:nvSpPr>
          <xdr:spPr>
            <a:xfrm>
              <a:off x="9772650" y="361950"/>
              <a:ext cx="295276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FD</a:t>
              </a:r>
            </a:p>
          </xdr:txBody>
        </xdr:sp>
      </xdr:grpSp>
      <xdr:grpSp>
        <xdr:nvGrpSpPr>
          <xdr:cNvPr id="13" name="Grupo 12"/>
          <xdr:cNvGrpSpPr/>
        </xdr:nvGrpSpPr>
        <xdr:grpSpPr>
          <a:xfrm>
            <a:off x="9782175" y="590550"/>
            <a:ext cx="295276" cy="323850"/>
            <a:chOff x="10191750" y="238125"/>
            <a:chExt cx="295276" cy="295275"/>
          </a:xfrm>
        </xdr:grpSpPr>
        <xdr:pic>
          <xdr:nvPicPr>
            <xdr:cNvPr id="14" name="Imagem 13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0800" y="238125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15" name="CaixaDeTexto 14"/>
            <xdr:cNvSpPr txBox="1"/>
          </xdr:nvSpPr>
          <xdr:spPr>
            <a:xfrm>
              <a:off x="10191750" y="361950"/>
              <a:ext cx="295276" cy="171450"/>
            </a:xfrm>
            <a:prstGeom prst="rect">
              <a:avLst/>
            </a:prstGeom>
            <a:ln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FT</a:t>
              </a:r>
            </a:p>
          </xdr:txBody>
        </xdr:sp>
      </xdr:grpSp>
      <xdr:grpSp>
        <xdr:nvGrpSpPr>
          <xdr:cNvPr id="19" name="Grupo 18"/>
          <xdr:cNvGrpSpPr/>
        </xdr:nvGrpSpPr>
        <xdr:grpSpPr>
          <a:xfrm>
            <a:off x="10153650" y="595014"/>
            <a:ext cx="342900" cy="319384"/>
            <a:chOff x="10591800" y="242589"/>
            <a:chExt cx="342900" cy="290809"/>
          </a:xfrm>
        </xdr:grpSpPr>
        <xdr:pic>
          <xdr:nvPicPr>
            <xdr:cNvPr id="20" name="Imagem 19"/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39425" y="242589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21" name="CaixaDeTexto 20">
              <a:hlinkClick xmlns:r="http://schemas.openxmlformats.org/officeDocument/2006/relationships" r:id="rId2" tooltip="Laudo"/>
            </xdr:cNvPr>
            <xdr:cNvSpPr txBox="1"/>
          </xdr:nvSpPr>
          <xdr:spPr>
            <a:xfrm>
              <a:off x="10591800" y="361949"/>
              <a:ext cx="342900" cy="1714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DOC</a:t>
              </a:r>
            </a:p>
          </xdr:txBody>
        </xdr:sp>
      </xdr:grpSp>
    </xdr:grpSp>
    <xdr:clientData/>
  </xdr:twoCellAnchor>
  <xdr:oneCellAnchor>
    <xdr:from>
      <xdr:col>1</xdr:col>
      <xdr:colOff>0</xdr:colOff>
      <xdr:row>14</xdr:row>
      <xdr:rowOff>57150</xdr:rowOff>
    </xdr:from>
    <xdr:ext cx="763449" cy="255659"/>
    <xdr:sp macro="" textlink="">
      <xdr:nvSpPr>
        <xdr:cNvPr id="35" name="CaixaDeTexto 34"/>
        <xdr:cNvSpPr txBox="1"/>
      </xdr:nvSpPr>
      <xdr:spPr>
        <a:xfrm>
          <a:off x="180975" y="1571625"/>
          <a:ext cx="763449" cy="25565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800" b="1">
              <a:solidFill>
                <a:schemeClr val="bg2">
                  <a:lumMod val="25000"/>
                </a:schemeClr>
              </a:solidFill>
            </a:rPr>
            <a:t>Aplicação</a:t>
          </a:r>
        </a:p>
      </xdr:txBody>
    </xdr:sp>
    <xdr:clientData/>
  </xdr:oneCellAnchor>
  <xdr:oneCellAnchor>
    <xdr:from>
      <xdr:col>1</xdr:col>
      <xdr:colOff>0</xdr:colOff>
      <xdr:row>14</xdr:row>
      <xdr:rowOff>19050</xdr:rowOff>
    </xdr:from>
    <xdr:ext cx="763449" cy="47625"/>
    <xdr:sp macro="" textlink="">
      <xdr:nvSpPr>
        <xdr:cNvPr id="48" name="CaixaDeTexto 47"/>
        <xdr:cNvSpPr txBox="1"/>
      </xdr:nvSpPr>
      <xdr:spPr>
        <a:xfrm>
          <a:off x="180975" y="1533525"/>
          <a:ext cx="763449" cy="47625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pt-BR" sz="800">
            <a:solidFill>
              <a:schemeClr val="bg2">
                <a:lumMod val="90000"/>
              </a:schemeClr>
            </a:solidFill>
          </a:endParaRPr>
        </a:p>
      </xdr:txBody>
    </xdr:sp>
    <xdr:clientData/>
  </xdr:oneCellAnchor>
  <xdr:oneCellAnchor>
    <xdr:from>
      <xdr:col>4</xdr:col>
      <xdr:colOff>0</xdr:colOff>
      <xdr:row>5</xdr:row>
      <xdr:rowOff>95250</xdr:rowOff>
    </xdr:from>
    <xdr:ext cx="184731" cy="217560"/>
    <xdr:sp macro="" textlink="">
      <xdr:nvSpPr>
        <xdr:cNvPr id="54" name="CaixaDeTexto 53"/>
        <xdr:cNvSpPr txBox="1"/>
      </xdr:nvSpPr>
      <xdr:spPr>
        <a:xfrm>
          <a:off x="7124700" y="371475"/>
          <a:ext cx="18473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800" i="1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1017</xdr:row>
          <xdr:rowOff>19050</xdr:rowOff>
        </xdr:from>
        <xdr:to>
          <xdr:col>3</xdr:col>
          <xdr:colOff>1000125</xdr:colOff>
          <xdr:row>1047</xdr:row>
          <xdr:rowOff>133350</xdr:rowOff>
        </xdr:to>
        <xdr:sp macro="" textlink="">
          <xdr:nvSpPr>
            <xdr:cNvPr id="15378" name="Resumo_FD_Evolutiva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Exibir Resumo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2228850</xdr:colOff>
      <xdr:row>5</xdr:row>
      <xdr:rowOff>104775</xdr:rowOff>
    </xdr:from>
    <xdr:to>
      <xdr:col>3</xdr:col>
      <xdr:colOff>2971800</xdr:colOff>
      <xdr:row>10</xdr:row>
      <xdr:rowOff>57151</xdr:rowOff>
    </xdr:to>
    <xdr:grpSp>
      <xdr:nvGrpSpPr>
        <xdr:cNvPr id="50" name="Grupo 49"/>
        <xdr:cNvGrpSpPr/>
      </xdr:nvGrpSpPr>
      <xdr:grpSpPr>
        <a:xfrm>
          <a:off x="5410200" y="381000"/>
          <a:ext cx="742950" cy="638176"/>
          <a:chOff x="5410200" y="381000"/>
          <a:chExt cx="742950" cy="638176"/>
        </a:xfrm>
      </xdr:grpSpPr>
      <xdr:sp macro="" textlink="">
        <xdr:nvSpPr>
          <xdr:cNvPr id="51" name="Retângulo 50"/>
          <xdr:cNvSpPr/>
        </xdr:nvSpPr>
        <xdr:spPr>
          <a:xfrm>
            <a:off x="5410200" y="381000"/>
            <a:ext cx="742950" cy="638176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2" name="Grupo 51">
            <a:hlinkClick xmlns:r="http://schemas.openxmlformats.org/officeDocument/2006/relationships" r:id="rId9" tooltip="Resultado"/>
          </xdr:cNvPr>
          <xdr:cNvGrpSpPr/>
        </xdr:nvGrpSpPr>
        <xdr:grpSpPr>
          <a:xfrm>
            <a:off x="5467349" y="476250"/>
            <a:ext cx="628651" cy="485774"/>
            <a:chOff x="5467349" y="476250"/>
            <a:chExt cx="628651" cy="485774"/>
          </a:xfrm>
        </xdr:grpSpPr>
        <xdr:pic>
          <xdr:nvPicPr>
            <xdr:cNvPr id="53" name="Imagem 52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1650" y="476250"/>
              <a:ext cx="381000" cy="416718"/>
            </a:xfrm>
            <a:prstGeom prst="rect">
              <a:avLst/>
            </a:prstGeom>
          </xdr:spPr>
        </xdr:pic>
        <xdr:sp macro="" textlink="">
          <xdr:nvSpPr>
            <xdr:cNvPr id="55" name="CaixaDeTexto 54">
              <a:hlinkClick xmlns:r="http://schemas.openxmlformats.org/officeDocument/2006/relationships" r:id="rId9" tooltip="Resultado"/>
            </xdr:cNvPr>
            <xdr:cNvSpPr txBox="1"/>
          </xdr:nvSpPr>
          <xdr:spPr>
            <a:xfrm>
              <a:off x="5467349" y="742950"/>
              <a:ext cx="628651" cy="219074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800" b="1">
                  <a:latin typeface="Arial Narrow" pitchFamily="34" charset="0"/>
                </a:rPr>
                <a:t>Resultado</a:t>
              </a:r>
            </a:p>
          </xdr:txBody>
        </xdr:sp>
      </xdr:grpSp>
    </xdr:grpSp>
    <xdr:clientData/>
  </xdr:twoCellAnchor>
  <xdr:twoCellAnchor editAs="oneCell">
    <xdr:from>
      <xdr:col>1</xdr:col>
      <xdr:colOff>9525</xdr:colOff>
      <xdr:row>5</xdr:row>
      <xdr:rowOff>9525</xdr:rowOff>
    </xdr:from>
    <xdr:to>
      <xdr:col>2</xdr:col>
      <xdr:colOff>1190625</xdr:colOff>
      <xdr:row>8</xdr:row>
      <xdr:rowOff>148104</xdr:rowOff>
    </xdr:to>
    <xdr:pic>
      <xdr:nvPicPr>
        <xdr:cNvPr id="30" name="Imagem 29" descr="http://localhost/badesul0112/phpimages/logogit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285750"/>
          <a:ext cx="1838325" cy="576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235</xdr:row>
          <xdr:rowOff>0</xdr:rowOff>
        </xdr:from>
        <xdr:to>
          <xdr:col>1</xdr:col>
          <xdr:colOff>0</xdr:colOff>
          <xdr:row>241</xdr:row>
          <xdr:rowOff>38100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234</xdr:row>
          <xdr:rowOff>66675</xdr:rowOff>
        </xdr:from>
        <xdr:to>
          <xdr:col>1</xdr:col>
          <xdr:colOff>0</xdr:colOff>
          <xdr:row>240</xdr:row>
          <xdr:rowOff>66675</xdr:rowOff>
        </xdr:to>
        <xdr:sp macro="" textlink="">
          <xdr:nvSpPr>
            <xdr:cNvPr id="34818" name="Drop Dow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19</xdr:col>
      <xdr:colOff>114300</xdr:colOff>
      <xdr:row>5</xdr:row>
      <xdr:rowOff>104775</xdr:rowOff>
    </xdr:from>
    <xdr:to>
      <xdr:col>30</xdr:col>
      <xdr:colOff>28575</xdr:colOff>
      <xdr:row>10</xdr:row>
      <xdr:rowOff>57150</xdr:rowOff>
    </xdr:to>
    <xdr:sp macro="" textlink="">
      <xdr:nvSpPr>
        <xdr:cNvPr id="42" name="Retângulo 41"/>
        <xdr:cNvSpPr/>
      </xdr:nvSpPr>
      <xdr:spPr>
        <a:xfrm>
          <a:off x="3429000" y="381000"/>
          <a:ext cx="1905000" cy="638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133350</xdr:colOff>
      <xdr:row>5</xdr:row>
      <xdr:rowOff>38100</xdr:rowOff>
    </xdr:from>
    <xdr:to>
      <xdr:col>15</xdr:col>
      <xdr:colOff>142875</xdr:colOff>
      <xdr:row>7</xdr:row>
      <xdr:rowOff>152400</xdr:rowOff>
    </xdr:to>
    <xdr:sp macro="" textlink="">
      <xdr:nvSpPr>
        <xdr:cNvPr id="43" name="Seta para a esquerda 42">
          <a:hlinkClick xmlns:r="http://schemas.openxmlformats.org/officeDocument/2006/relationships" r:id="rId1" tooltip="Voltar para &quot;Funções de Dados&quot;"/>
        </xdr:cNvPr>
        <xdr:cNvSpPr/>
      </xdr:nvSpPr>
      <xdr:spPr bwMode="auto">
        <a:xfrm>
          <a:off x="2486025" y="314325"/>
          <a:ext cx="371475" cy="314325"/>
        </a:xfrm>
        <a:prstGeom prst="leftArrow">
          <a:avLst/>
        </a:prstGeom>
        <a:solidFill>
          <a:schemeClr val="bg1">
            <a:lumMod val="85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123825</xdr:colOff>
      <xdr:row>7</xdr:row>
      <xdr:rowOff>66675</xdr:rowOff>
    </xdr:from>
    <xdr:to>
      <xdr:col>29</xdr:col>
      <xdr:colOff>0</xdr:colOff>
      <xdr:row>9</xdr:row>
      <xdr:rowOff>0</xdr:rowOff>
    </xdr:to>
    <xdr:grpSp>
      <xdr:nvGrpSpPr>
        <xdr:cNvPr id="45" name="Grupo 44"/>
        <xdr:cNvGrpSpPr/>
      </xdr:nvGrpSpPr>
      <xdr:grpSpPr>
        <a:xfrm>
          <a:off x="3619500" y="542925"/>
          <a:ext cx="1504950" cy="333375"/>
          <a:chOff x="8991600" y="581025"/>
          <a:chExt cx="1504950" cy="333375"/>
        </a:xfrm>
      </xdr:grpSpPr>
      <xdr:grpSp>
        <xdr:nvGrpSpPr>
          <xdr:cNvPr id="46" name="Grupo 45"/>
          <xdr:cNvGrpSpPr/>
        </xdr:nvGrpSpPr>
        <xdr:grpSpPr>
          <a:xfrm>
            <a:off x="8991600" y="581025"/>
            <a:ext cx="342899" cy="333375"/>
            <a:chOff x="9420225" y="228600"/>
            <a:chExt cx="342899" cy="304800"/>
          </a:xfrm>
        </xdr:grpSpPr>
        <xdr:pic>
          <xdr:nvPicPr>
            <xdr:cNvPr id="56" name="Imagem 5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48800" y="228600"/>
              <a:ext cx="279365" cy="279365"/>
            </a:xfrm>
            <a:prstGeom prst="rect">
              <a:avLst/>
            </a:prstGeom>
          </xdr:spPr>
        </xdr:pic>
        <xdr:sp macro="" textlink="">
          <xdr:nvSpPr>
            <xdr:cNvPr id="57" name="CaixaDeTexto 56">
              <a:hlinkClick xmlns:r="http://schemas.openxmlformats.org/officeDocument/2006/relationships" r:id="rId3" tooltip="Formulário de Solicitação (FSOL)"/>
            </xdr:cNvPr>
            <xdr:cNvSpPr txBox="1"/>
          </xdr:nvSpPr>
          <xdr:spPr>
            <a:xfrm>
              <a:off x="9420225" y="361950"/>
              <a:ext cx="342899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SOL</a:t>
              </a:r>
            </a:p>
          </xdr:txBody>
        </xdr:sp>
      </xdr:grpSp>
      <xdr:grpSp>
        <xdr:nvGrpSpPr>
          <xdr:cNvPr id="47" name="Grupo 46">
            <a:hlinkClick xmlns:r="http://schemas.openxmlformats.org/officeDocument/2006/relationships" r:id="rId4" tooltip="Funções de Dados"/>
          </xdr:cNvPr>
          <xdr:cNvGrpSpPr/>
        </xdr:nvGrpSpPr>
        <xdr:grpSpPr>
          <a:xfrm>
            <a:off x="9410700" y="590550"/>
            <a:ext cx="295276" cy="323850"/>
            <a:chOff x="9772650" y="238125"/>
            <a:chExt cx="295276" cy="295275"/>
          </a:xfrm>
        </xdr:grpSpPr>
        <xdr:pic>
          <xdr:nvPicPr>
            <xdr:cNvPr id="54" name="Imagem 53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20275" y="238125"/>
              <a:ext cx="219075" cy="266700"/>
            </a:xfrm>
            <a:prstGeom prst="rect">
              <a:avLst/>
            </a:prstGeom>
          </xdr:spPr>
        </xdr:pic>
        <xdr:sp macro="" textlink="">
          <xdr:nvSpPr>
            <xdr:cNvPr id="55" name="CaixaDeTexto 54">
              <a:hlinkClick xmlns:r="http://schemas.openxmlformats.org/officeDocument/2006/relationships" r:id="rId6" tooltip="Funções de Dados"/>
            </xdr:cNvPr>
            <xdr:cNvSpPr txBox="1"/>
          </xdr:nvSpPr>
          <xdr:spPr>
            <a:xfrm>
              <a:off x="9772650" y="361950"/>
              <a:ext cx="295276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FD</a:t>
              </a:r>
            </a:p>
          </xdr:txBody>
        </xdr:sp>
      </xdr:grpSp>
      <xdr:grpSp>
        <xdr:nvGrpSpPr>
          <xdr:cNvPr id="48" name="Grupo 47"/>
          <xdr:cNvGrpSpPr/>
        </xdr:nvGrpSpPr>
        <xdr:grpSpPr>
          <a:xfrm>
            <a:off x="9782175" y="590550"/>
            <a:ext cx="295276" cy="323850"/>
            <a:chOff x="10191750" y="238125"/>
            <a:chExt cx="295276" cy="295275"/>
          </a:xfrm>
        </xdr:grpSpPr>
        <xdr:pic>
          <xdr:nvPicPr>
            <xdr:cNvPr id="52" name="Imagem 51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0800" y="238125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53" name="CaixaDeTexto 52">
              <a:hlinkClick xmlns:r="http://schemas.openxmlformats.org/officeDocument/2006/relationships" r:id="rId1" tooltip="Funções de Transação"/>
            </xdr:cNvPr>
            <xdr:cNvSpPr txBox="1"/>
          </xdr:nvSpPr>
          <xdr:spPr>
            <a:xfrm>
              <a:off x="10191750" y="361950"/>
              <a:ext cx="295276" cy="171450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FT</a:t>
              </a:r>
            </a:p>
          </xdr:txBody>
        </xdr:sp>
      </xdr:grpSp>
      <xdr:grpSp>
        <xdr:nvGrpSpPr>
          <xdr:cNvPr id="49" name="Grupo 48"/>
          <xdr:cNvGrpSpPr/>
        </xdr:nvGrpSpPr>
        <xdr:grpSpPr>
          <a:xfrm>
            <a:off x="10153650" y="595014"/>
            <a:ext cx="342900" cy="319384"/>
            <a:chOff x="10591800" y="242589"/>
            <a:chExt cx="342900" cy="290809"/>
          </a:xfrm>
        </xdr:grpSpPr>
        <xdr:pic>
          <xdr:nvPicPr>
            <xdr:cNvPr id="50" name="Imagem 49"/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39425" y="242589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51" name="CaixaDeTexto 50"/>
            <xdr:cNvSpPr txBox="1"/>
          </xdr:nvSpPr>
          <xdr:spPr>
            <a:xfrm>
              <a:off x="10591800" y="361949"/>
              <a:ext cx="342900" cy="171449"/>
            </a:xfrm>
            <a:prstGeom prst="rect">
              <a:avLst/>
            </a:prstGeom>
            <a:ln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DOC</a:t>
              </a:r>
            </a:p>
          </xdr:txBody>
        </xdr:sp>
      </xdr:grpSp>
    </xdr:grpSp>
    <xdr:clientData/>
  </xdr:twoCellAnchor>
  <xdr:twoCellAnchor>
    <xdr:from>
      <xdr:col>30</xdr:col>
      <xdr:colOff>104775</xdr:colOff>
      <xdr:row>5</xdr:row>
      <xdr:rowOff>104775</xdr:rowOff>
    </xdr:from>
    <xdr:to>
      <xdr:col>34</xdr:col>
      <xdr:colOff>123825</xdr:colOff>
      <xdr:row>10</xdr:row>
      <xdr:rowOff>57151</xdr:rowOff>
    </xdr:to>
    <xdr:grpSp>
      <xdr:nvGrpSpPr>
        <xdr:cNvPr id="4" name="Grupo 3"/>
        <xdr:cNvGrpSpPr/>
      </xdr:nvGrpSpPr>
      <xdr:grpSpPr>
        <a:xfrm>
          <a:off x="5410200" y="381000"/>
          <a:ext cx="742950" cy="638176"/>
          <a:chOff x="5410200" y="381000"/>
          <a:chExt cx="742950" cy="638176"/>
        </a:xfrm>
      </xdr:grpSpPr>
      <xdr:sp macro="" textlink="">
        <xdr:nvSpPr>
          <xdr:cNvPr id="40" name="Retângulo 39"/>
          <xdr:cNvSpPr/>
        </xdr:nvSpPr>
        <xdr:spPr>
          <a:xfrm>
            <a:off x="5410200" y="381000"/>
            <a:ext cx="742950" cy="638176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" name="Grupo 2">
            <a:hlinkClick xmlns:r="http://schemas.openxmlformats.org/officeDocument/2006/relationships" r:id="rId9" tooltip="Resultado"/>
          </xdr:cNvPr>
          <xdr:cNvGrpSpPr/>
        </xdr:nvGrpSpPr>
        <xdr:grpSpPr>
          <a:xfrm>
            <a:off x="5467349" y="476250"/>
            <a:ext cx="628651" cy="485774"/>
            <a:chOff x="5467349" y="476250"/>
            <a:chExt cx="628651" cy="485774"/>
          </a:xfrm>
        </xdr:grpSpPr>
        <xdr:pic>
          <xdr:nvPicPr>
            <xdr:cNvPr id="67" name="Imagem 66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1650" y="476250"/>
              <a:ext cx="381000" cy="416718"/>
            </a:xfrm>
            <a:prstGeom prst="rect">
              <a:avLst/>
            </a:prstGeom>
          </xdr:spPr>
        </xdr:pic>
        <xdr:sp macro="" textlink="">
          <xdr:nvSpPr>
            <xdr:cNvPr id="69" name="CaixaDeTexto 68">
              <a:hlinkClick xmlns:r="http://schemas.openxmlformats.org/officeDocument/2006/relationships" r:id="rId9" tooltip="Resultado"/>
            </xdr:cNvPr>
            <xdr:cNvSpPr txBox="1"/>
          </xdr:nvSpPr>
          <xdr:spPr>
            <a:xfrm>
              <a:off x="5467349" y="742950"/>
              <a:ext cx="628651" cy="219074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800" b="1">
                  <a:latin typeface="Arial Narrow" pitchFamily="34" charset="0"/>
                </a:rPr>
                <a:t>Resultado</a:t>
              </a:r>
            </a:p>
          </xdr:txBody>
        </xdr:sp>
      </xdr:grpSp>
    </xdr:grpSp>
    <xdr:clientData/>
  </xdr:twoCellAnchor>
  <xdr:twoCellAnchor>
    <xdr:from>
      <xdr:col>15</xdr:col>
      <xdr:colOff>0</xdr:colOff>
      <xdr:row>7</xdr:row>
      <xdr:rowOff>95250</xdr:rowOff>
    </xdr:from>
    <xdr:to>
      <xdr:col>17</xdr:col>
      <xdr:colOff>9525</xdr:colOff>
      <xdr:row>8</xdr:row>
      <xdr:rowOff>142875</xdr:rowOff>
    </xdr:to>
    <xdr:sp macro="" textlink="">
      <xdr:nvSpPr>
        <xdr:cNvPr id="70" name="Seta para a esquerda 69">
          <a:hlinkClick xmlns:r="http://schemas.openxmlformats.org/officeDocument/2006/relationships" r:id="rId9" tooltip="Avançar para &quot;Resultado&quot;"/>
        </xdr:cNvPr>
        <xdr:cNvSpPr/>
      </xdr:nvSpPr>
      <xdr:spPr bwMode="auto">
        <a:xfrm flipH="1">
          <a:off x="2714625" y="571500"/>
          <a:ext cx="371475" cy="285750"/>
        </a:xfrm>
        <a:prstGeom prst="leftArrow">
          <a:avLst/>
        </a:prstGeom>
        <a:solidFill>
          <a:schemeClr val="accent3">
            <a:lumMod val="20000"/>
            <a:lumOff val="80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11</xdr:col>
      <xdr:colOff>28575</xdr:colOff>
      <xdr:row>8</xdr:row>
      <xdr:rowOff>138579</xdr:rowOff>
    </xdr:to>
    <xdr:pic>
      <xdr:nvPicPr>
        <xdr:cNvPr id="27" name="Imagem 26" descr="http://localhost/badesul0112/phpimages/logogit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76225"/>
          <a:ext cx="1838325" cy="576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5</xdr:row>
      <xdr:rowOff>104775</xdr:rowOff>
    </xdr:from>
    <xdr:to>
      <xdr:col>30</xdr:col>
      <xdr:colOff>28575</xdr:colOff>
      <xdr:row>10</xdr:row>
      <xdr:rowOff>57150</xdr:rowOff>
    </xdr:to>
    <xdr:sp macro="" textlink="">
      <xdr:nvSpPr>
        <xdr:cNvPr id="3" name="Retângulo 2"/>
        <xdr:cNvSpPr/>
      </xdr:nvSpPr>
      <xdr:spPr>
        <a:xfrm>
          <a:off x="3429000" y="381000"/>
          <a:ext cx="1905000" cy="638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133350</xdr:colOff>
      <xdr:row>5</xdr:row>
      <xdr:rowOff>38100</xdr:rowOff>
    </xdr:from>
    <xdr:to>
      <xdr:col>15</xdr:col>
      <xdr:colOff>142875</xdr:colOff>
      <xdr:row>7</xdr:row>
      <xdr:rowOff>152400</xdr:rowOff>
    </xdr:to>
    <xdr:sp macro="" textlink="">
      <xdr:nvSpPr>
        <xdr:cNvPr id="4" name="Seta para a esquerda 3">
          <a:hlinkClick xmlns:r="http://schemas.openxmlformats.org/officeDocument/2006/relationships" r:id="rId1" tooltip="Voltar para &quot;Documentar Processo&quot;"/>
        </xdr:cNvPr>
        <xdr:cNvSpPr/>
      </xdr:nvSpPr>
      <xdr:spPr bwMode="auto">
        <a:xfrm>
          <a:off x="2486025" y="314325"/>
          <a:ext cx="371475" cy="314325"/>
        </a:xfrm>
        <a:prstGeom prst="leftArrow">
          <a:avLst/>
        </a:prstGeom>
        <a:solidFill>
          <a:schemeClr val="bg1">
            <a:lumMod val="85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123825</xdr:colOff>
      <xdr:row>7</xdr:row>
      <xdr:rowOff>66675</xdr:rowOff>
    </xdr:from>
    <xdr:to>
      <xdr:col>29</xdr:col>
      <xdr:colOff>0</xdr:colOff>
      <xdr:row>9</xdr:row>
      <xdr:rowOff>0</xdr:rowOff>
    </xdr:to>
    <xdr:grpSp>
      <xdr:nvGrpSpPr>
        <xdr:cNvPr id="5" name="Grupo 4"/>
        <xdr:cNvGrpSpPr/>
      </xdr:nvGrpSpPr>
      <xdr:grpSpPr>
        <a:xfrm>
          <a:off x="3619500" y="542925"/>
          <a:ext cx="1504950" cy="333375"/>
          <a:chOff x="8991600" y="581025"/>
          <a:chExt cx="1504950" cy="333375"/>
        </a:xfrm>
      </xdr:grpSpPr>
      <xdr:grpSp>
        <xdr:nvGrpSpPr>
          <xdr:cNvPr id="6" name="Grupo 5"/>
          <xdr:cNvGrpSpPr/>
        </xdr:nvGrpSpPr>
        <xdr:grpSpPr>
          <a:xfrm>
            <a:off x="8991600" y="581025"/>
            <a:ext cx="342899" cy="333375"/>
            <a:chOff x="9420225" y="228600"/>
            <a:chExt cx="342899" cy="304800"/>
          </a:xfrm>
        </xdr:grpSpPr>
        <xdr:pic>
          <xdr:nvPicPr>
            <xdr:cNvPr id="16" name="Imagem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48800" y="228600"/>
              <a:ext cx="279365" cy="279365"/>
            </a:xfrm>
            <a:prstGeom prst="rect">
              <a:avLst/>
            </a:prstGeom>
          </xdr:spPr>
        </xdr:pic>
        <xdr:sp macro="" textlink="">
          <xdr:nvSpPr>
            <xdr:cNvPr id="17" name="CaixaDeTexto 16">
              <a:hlinkClick xmlns:r="http://schemas.openxmlformats.org/officeDocument/2006/relationships" r:id="rId3" tooltip="Formulário de Solicitação (FSOL)"/>
            </xdr:cNvPr>
            <xdr:cNvSpPr txBox="1"/>
          </xdr:nvSpPr>
          <xdr:spPr>
            <a:xfrm>
              <a:off x="9420225" y="361950"/>
              <a:ext cx="342899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SOL</a:t>
              </a:r>
            </a:p>
          </xdr:txBody>
        </xdr:sp>
      </xdr:grpSp>
      <xdr:grpSp>
        <xdr:nvGrpSpPr>
          <xdr:cNvPr id="7" name="Grupo 6">
            <a:hlinkClick xmlns:r="http://schemas.openxmlformats.org/officeDocument/2006/relationships" r:id="rId4" tooltip="Funções de Dados"/>
          </xdr:cNvPr>
          <xdr:cNvGrpSpPr/>
        </xdr:nvGrpSpPr>
        <xdr:grpSpPr>
          <a:xfrm>
            <a:off x="9410700" y="590550"/>
            <a:ext cx="295276" cy="323850"/>
            <a:chOff x="9772650" y="238125"/>
            <a:chExt cx="295276" cy="295275"/>
          </a:xfrm>
        </xdr:grpSpPr>
        <xdr:pic>
          <xdr:nvPicPr>
            <xdr:cNvPr id="14" name="Imagem 13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20275" y="238125"/>
              <a:ext cx="219075" cy="266700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6" tooltip="Funções de Dados"/>
            </xdr:cNvPr>
            <xdr:cNvSpPr txBox="1"/>
          </xdr:nvSpPr>
          <xdr:spPr>
            <a:xfrm>
              <a:off x="9772650" y="361950"/>
              <a:ext cx="295276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FD</a:t>
              </a:r>
            </a:p>
          </xdr:txBody>
        </xdr:sp>
      </xdr:grpSp>
      <xdr:grpSp>
        <xdr:nvGrpSpPr>
          <xdr:cNvPr id="8" name="Grupo 7"/>
          <xdr:cNvGrpSpPr/>
        </xdr:nvGrpSpPr>
        <xdr:grpSpPr>
          <a:xfrm>
            <a:off x="9782175" y="590550"/>
            <a:ext cx="295276" cy="323850"/>
            <a:chOff x="10191750" y="238125"/>
            <a:chExt cx="295276" cy="295275"/>
          </a:xfrm>
        </xdr:grpSpPr>
        <xdr:pic>
          <xdr:nvPicPr>
            <xdr:cNvPr id="12" name="Imagem 11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0800" y="238125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13" name="CaixaDeTexto 12">
              <a:hlinkClick xmlns:r="http://schemas.openxmlformats.org/officeDocument/2006/relationships" r:id="rId8" tooltip="Funções de Transação"/>
            </xdr:cNvPr>
            <xdr:cNvSpPr txBox="1"/>
          </xdr:nvSpPr>
          <xdr:spPr>
            <a:xfrm>
              <a:off x="10191750" y="361950"/>
              <a:ext cx="295276" cy="171450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FT</a:t>
              </a:r>
            </a:p>
          </xdr:txBody>
        </xdr:sp>
      </xdr:grpSp>
      <xdr:grpSp>
        <xdr:nvGrpSpPr>
          <xdr:cNvPr id="9" name="Grupo 8"/>
          <xdr:cNvGrpSpPr/>
        </xdr:nvGrpSpPr>
        <xdr:grpSpPr>
          <a:xfrm>
            <a:off x="10153650" y="595014"/>
            <a:ext cx="342900" cy="319384"/>
            <a:chOff x="10591800" y="242589"/>
            <a:chExt cx="342900" cy="290809"/>
          </a:xfrm>
        </xdr:grpSpPr>
        <xdr:pic>
          <xdr:nvPicPr>
            <xdr:cNvPr id="10" name="Imagem 9"/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39425" y="242589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hlinkClick xmlns:r="http://schemas.openxmlformats.org/officeDocument/2006/relationships" r:id="rId1" tooltip="Documentar Processo"/>
            </xdr:cNvPr>
            <xdr:cNvSpPr txBox="1"/>
          </xdr:nvSpPr>
          <xdr:spPr>
            <a:xfrm>
              <a:off x="10591800" y="361949"/>
              <a:ext cx="342900" cy="171449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50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DOC</a:t>
              </a:r>
            </a:p>
          </xdr:txBody>
        </xdr:sp>
      </xdr:grpSp>
    </xdr:grpSp>
    <xdr:clientData/>
  </xdr:twoCellAnchor>
  <xdr:twoCellAnchor>
    <xdr:from>
      <xdr:col>30</xdr:col>
      <xdr:colOff>104775</xdr:colOff>
      <xdr:row>5</xdr:row>
      <xdr:rowOff>104775</xdr:rowOff>
    </xdr:from>
    <xdr:to>
      <xdr:col>34</xdr:col>
      <xdr:colOff>123825</xdr:colOff>
      <xdr:row>10</xdr:row>
      <xdr:rowOff>57151</xdr:rowOff>
    </xdr:to>
    <xdr:sp macro="" textlink="">
      <xdr:nvSpPr>
        <xdr:cNvPr id="18" name="Retângulo 17"/>
        <xdr:cNvSpPr/>
      </xdr:nvSpPr>
      <xdr:spPr>
        <a:xfrm>
          <a:off x="5410200" y="381000"/>
          <a:ext cx="742950" cy="6381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95250</xdr:colOff>
      <xdr:row>6</xdr:row>
      <xdr:rowOff>0</xdr:rowOff>
    </xdr:from>
    <xdr:to>
      <xdr:col>33</xdr:col>
      <xdr:colOff>114300</xdr:colOff>
      <xdr:row>9</xdr:row>
      <xdr:rowOff>16668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476250"/>
          <a:ext cx="381000" cy="416718"/>
        </a:xfrm>
        <a:prstGeom prst="rect">
          <a:avLst/>
        </a:prstGeom>
      </xdr:spPr>
    </xdr:pic>
    <xdr:clientData/>
  </xdr:twoCellAnchor>
  <xdr:twoCellAnchor>
    <xdr:from>
      <xdr:col>30</xdr:col>
      <xdr:colOff>161924</xdr:colOff>
      <xdr:row>8</xdr:row>
      <xdr:rowOff>28575</xdr:rowOff>
    </xdr:from>
    <xdr:to>
      <xdr:col>34</xdr:col>
      <xdr:colOff>66675</xdr:colOff>
      <xdr:row>9</xdr:row>
      <xdr:rowOff>85724</xdr:rowOff>
    </xdr:to>
    <xdr:sp macro="" textlink="">
      <xdr:nvSpPr>
        <xdr:cNvPr id="20" name="CaixaDeTexto 19"/>
        <xdr:cNvSpPr txBox="1"/>
      </xdr:nvSpPr>
      <xdr:spPr>
        <a:xfrm>
          <a:off x="5467349" y="742950"/>
          <a:ext cx="628651" cy="219074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800" b="1">
              <a:latin typeface="Arial Narrow" pitchFamily="34" charset="0"/>
            </a:rPr>
            <a:t>Resultado</a:t>
          </a:r>
        </a:p>
      </xdr:txBody>
    </xdr:sp>
    <xdr:clientData/>
  </xdr:twoCellAnchor>
  <xdr:oneCellAnchor>
    <xdr:from>
      <xdr:col>13</xdr:col>
      <xdr:colOff>142875</xdr:colOff>
      <xdr:row>27</xdr:row>
      <xdr:rowOff>9525</xdr:rowOff>
    </xdr:from>
    <xdr:ext cx="142875" cy="142875"/>
    <xdr:pic>
      <xdr:nvPicPr>
        <xdr:cNvPr id="21" name="Imagem 20" descr="C:\Program Files (x86)\Microsoft Office\MEDIA\OFFICE14\Bullets\BD14565_.gif">
          <a:hlinkClick xmlns:r="http://schemas.openxmlformats.org/officeDocument/2006/relationships" r:id="rId6" tooltip="Ir para &quot;Funções de Dados&quot;, em &quot;Melhoria&quot;.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5550" y="3448050"/>
          <a:ext cx="1428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85725</xdr:colOff>
      <xdr:row>30</xdr:row>
      <xdr:rowOff>9525</xdr:rowOff>
    </xdr:from>
    <xdr:ext cx="142875" cy="142875"/>
    <xdr:pic>
      <xdr:nvPicPr>
        <xdr:cNvPr id="22" name="Imagem 21" descr="C:\Program Files (x86)\Microsoft Office\MEDIA\OFFICE14\Bullets\BD14565_.gif">
          <a:hlinkClick xmlns:r="http://schemas.openxmlformats.org/officeDocument/2006/relationships" r:id="rId8" tooltip="Ir para &quot;Funções de Transação&quot;, em &quot;Melhoria&quot;.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12230100"/>
          <a:ext cx="1428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4</xdr:row>
      <xdr:rowOff>0</xdr:rowOff>
    </xdr:from>
    <xdr:to>
      <xdr:col>11</xdr:col>
      <xdr:colOff>28575</xdr:colOff>
      <xdr:row>8</xdr:row>
      <xdr:rowOff>138579</xdr:rowOff>
    </xdr:to>
    <xdr:pic>
      <xdr:nvPicPr>
        <xdr:cNvPr id="23" name="Imagem 22" descr="http://localhost/badesul0112/phpimages/logogit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76225"/>
          <a:ext cx="1838325" cy="576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o%20Planilha%20de%20Contagem%20APF%20Badesul_v00.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SOL"/>
      <sheetName val="Funções de Dados"/>
      <sheetName val="Funções de Transação"/>
      <sheetName val="Itens Não Mensuráveis"/>
      <sheetName val="LAUDO"/>
      <sheetName val="ORIENTADOR"/>
      <sheetName val="COMUNICA-REGISTRO"/>
      <sheetName val="COMUNICA-ContDet"/>
      <sheetName val="COMUNICA-ContDet-INM"/>
      <sheetName val="COMUNICA-ContEst"/>
      <sheetName val="COMUNICA-ContInd"/>
      <sheetName val="COMUNICA-FD"/>
      <sheetName val="COMUNICA-FT"/>
      <sheetName val="REGISTRA-AUDITORIA"/>
      <sheetName val="Dimensionamento"/>
      <sheetName val="FIXO"/>
      <sheetName val="Historico"/>
      <sheetName val="Modelo Planilha de Contagem APF"/>
    </sheetNames>
    <sheetDataSet>
      <sheetData sheetId="0">
        <row r="20">
          <cell r="J20">
            <v>234</v>
          </cell>
        </row>
      </sheetData>
      <sheetData sheetId="1"/>
      <sheetData sheetId="2"/>
      <sheetData sheetId="3"/>
      <sheetData sheetId="4"/>
      <sheetData sheetId="5"/>
      <sheetData sheetId="6">
        <row r="4">
          <cell r="AB4" t="str">
            <v>CTL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>
        <row r="208">
          <cell r="F208">
            <v>69.2</v>
          </cell>
        </row>
      </sheetData>
      <sheetData sheetId="15">
        <row r="59">
          <cell r="C59" t="str">
            <v>Em andamento</v>
          </cell>
        </row>
      </sheetData>
      <sheetData sheetId="16"/>
      <sheetData sheetId="1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A17"/>
  <sheetViews>
    <sheetView workbookViewId="0"/>
  </sheetViews>
  <sheetFormatPr defaultRowHeight="15" x14ac:dyDescent="0.25"/>
  <cols>
    <col min="1" max="1" width="59.7109375" customWidth="1"/>
  </cols>
  <sheetData>
    <row r="1" spans="1:1" x14ac:dyDescent="0.25">
      <c r="A1" s="1" t="s">
        <v>436</v>
      </c>
    </row>
    <row r="2" spans="1:1" x14ac:dyDescent="0.25">
      <c r="A2" t="s">
        <v>437</v>
      </c>
    </row>
    <row r="3" spans="1:1" x14ac:dyDescent="0.25">
      <c r="A3" t="s">
        <v>438</v>
      </c>
    </row>
    <row r="4" spans="1:1" x14ac:dyDescent="0.25">
      <c r="A4" t="s">
        <v>439</v>
      </c>
    </row>
    <row r="5" spans="1:1" x14ac:dyDescent="0.25">
      <c r="A5" t="s">
        <v>446</v>
      </c>
    </row>
    <row r="6" spans="1:1" x14ac:dyDescent="0.25">
      <c r="A6" t="s">
        <v>430</v>
      </c>
    </row>
    <row r="7" spans="1:1" x14ac:dyDescent="0.25">
      <c r="A7" t="s">
        <v>434</v>
      </c>
    </row>
    <row r="8" spans="1:1" x14ac:dyDescent="0.25">
      <c r="A8" t="s">
        <v>429</v>
      </c>
    </row>
    <row r="9" spans="1:1" x14ac:dyDescent="0.25">
      <c r="A9" t="s">
        <v>440</v>
      </c>
    </row>
    <row r="10" spans="1:1" x14ac:dyDescent="0.25">
      <c r="A10" t="s">
        <v>441</v>
      </c>
    </row>
    <row r="11" spans="1:1" x14ac:dyDescent="0.25">
      <c r="A11" t="s">
        <v>406</v>
      </c>
    </row>
    <row r="12" spans="1:1" x14ac:dyDescent="0.25">
      <c r="A12" t="s">
        <v>408</v>
      </c>
    </row>
    <row r="13" spans="1:1" x14ac:dyDescent="0.25">
      <c r="A13" t="s">
        <v>442</v>
      </c>
    </row>
    <row r="14" spans="1:1" x14ac:dyDescent="0.25">
      <c r="A14" t="s">
        <v>443</v>
      </c>
    </row>
    <row r="15" spans="1:1" x14ac:dyDescent="0.25">
      <c r="A15" t="s">
        <v>407</v>
      </c>
    </row>
    <row r="16" spans="1:1" x14ac:dyDescent="0.25">
      <c r="A16" t="s">
        <v>444</v>
      </c>
    </row>
    <row r="17" spans="1:1" x14ac:dyDescent="0.25">
      <c r="A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theme="0" tint="-0.34998626667073579"/>
  </sheetPr>
  <dimension ref="A1:E22"/>
  <sheetViews>
    <sheetView workbookViewId="0">
      <selection activeCell="C16" sqref="C16"/>
    </sheetView>
  </sheetViews>
  <sheetFormatPr defaultRowHeight="15" x14ac:dyDescent="0.25"/>
  <cols>
    <col min="1" max="2" width="23.140625" bestFit="1" customWidth="1"/>
    <col min="3" max="3" width="25.85546875" customWidth="1"/>
    <col min="4" max="4" width="32.28515625" bestFit="1" customWidth="1"/>
    <col min="5" max="5" width="24.28515625" bestFit="1" customWidth="1"/>
  </cols>
  <sheetData>
    <row r="1" spans="1:5" s="168" customFormat="1" ht="26.25" x14ac:dyDescent="0.4">
      <c r="A1" s="170" t="s">
        <v>465</v>
      </c>
      <c r="B1" s="170" t="s">
        <v>466</v>
      </c>
      <c r="C1" s="170" t="s">
        <v>467</v>
      </c>
      <c r="D1" s="170" t="s">
        <v>468</v>
      </c>
    </row>
    <row r="2" spans="1:5" x14ac:dyDescent="0.25">
      <c r="A2" s="1" t="s">
        <v>416</v>
      </c>
      <c r="B2" s="1" t="s">
        <v>416</v>
      </c>
      <c r="C2" s="1" t="s">
        <v>469</v>
      </c>
      <c r="D2" s="1" t="s">
        <v>416</v>
      </c>
      <c r="E2" s="1"/>
    </row>
    <row r="3" spans="1:5" x14ac:dyDescent="0.25">
      <c r="A3" t="s">
        <v>233</v>
      </c>
      <c r="B3" t="s">
        <v>431</v>
      </c>
      <c r="C3" t="s">
        <v>233</v>
      </c>
      <c r="D3" t="s">
        <v>238</v>
      </c>
    </row>
    <row r="4" spans="1:5" x14ac:dyDescent="0.25">
      <c r="A4" t="s">
        <v>431</v>
      </c>
      <c r="B4" t="s">
        <v>432</v>
      </c>
      <c r="C4" t="s">
        <v>222</v>
      </c>
    </row>
    <row r="5" spans="1:5" x14ac:dyDescent="0.25">
      <c r="A5" t="s">
        <v>432</v>
      </c>
      <c r="B5" t="s">
        <v>457</v>
      </c>
      <c r="C5" t="s">
        <v>409</v>
      </c>
    </row>
    <row r="6" spans="1:5" x14ac:dyDescent="0.25">
      <c r="A6" t="s">
        <v>457</v>
      </c>
    </row>
    <row r="7" spans="1:5" x14ac:dyDescent="0.25">
      <c r="A7" t="s">
        <v>234</v>
      </c>
    </row>
    <row r="8" spans="1:5" x14ac:dyDescent="0.25">
      <c r="A8" t="s">
        <v>409</v>
      </c>
    </row>
    <row r="15" spans="1:5" x14ac:dyDescent="0.25">
      <c r="A15" s="1" t="s">
        <v>427</v>
      </c>
      <c r="B15" s="1" t="s">
        <v>427</v>
      </c>
      <c r="C15" s="1" t="s">
        <v>427</v>
      </c>
      <c r="D15" s="1" t="s">
        <v>427</v>
      </c>
    </row>
    <row r="16" spans="1:5" x14ac:dyDescent="0.25">
      <c r="A16" t="s">
        <v>152</v>
      </c>
      <c r="B16" t="s">
        <v>152</v>
      </c>
      <c r="C16" t="s">
        <v>152</v>
      </c>
      <c r="D16" t="s">
        <v>152</v>
      </c>
    </row>
    <row r="17" spans="1:4" x14ac:dyDescent="0.25">
      <c r="A17" t="s">
        <v>153</v>
      </c>
      <c r="B17" t="s">
        <v>153</v>
      </c>
      <c r="C17" t="s">
        <v>153</v>
      </c>
      <c r="D17" t="s">
        <v>153</v>
      </c>
    </row>
    <row r="18" spans="1:4" x14ac:dyDescent="0.25">
      <c r="A18" t="s">
        <v>428</v>
      </c>
      <c r="B18" t="s">
        <v>428</v>
      </c>
      <c r="C18" t="s">
        <v>428</v>
      </c>
      <c r="D18" t="s">
        <v>428</v>
      </c>
    </row>
    <row r="19" spans="1:4" x14ac:dyDescent="0.25">
      <c r="A19" t="s">
        <v>447</v>
      </c>
      <c r="B19" t="s">
        <v>447</v>
      </c>
      <c r="C19" t="s">
        <v>447</v>
      </c>
      <c r="D19" t="s">
        <v>447</v>
      </c>
    </row>
    <row r="22" spans="1:4" x14ac:dyDescent="0.25">
      <c r="C22" t="s">
        <v>460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theme="0" tint="-0.34998626667073579"/>
  </sheetPr>
  <dimension ref="A1:M7"/>
  <sheetViews>
    <sheetView workbookViewId="0">
      <selection activeCell="B3" sqref="B3"/>
    </sheetView>
  </sheetViews>
  <sheetFormatPr defaultColWidth="22.5703125" defaultRowHeight="15" x14ac:dyDescent="0.25"/>
  <cols>
    <col min="1" max="2" width="23.140625" bestFit="1" customWidth="1"/>
    <col min="3" max="3" width="25.28515625" bestFit="1" customWidth="1"/>
    <col min="4" max="4" width="26.28515625" bestFit="1" customWidth="1"/>
    <col min="5" max="5" width="24" bestFit="1" customWidth="1"/>
    <col min="6" max="6" width="24.28515625" bestFit="1" customWidth="1"/>
    <col min="7" max="7" width="23.28515625" bestFit="1" customWidth="1"/>
    <col min="8" max="8" width="30.5703125" bestFit="1" customWidth="1"/>
    <col min="9" max="9" width="27.140625" bestFit="1" customWidth="1"/>
    <col min="10" max="10" width="31.7109375" bestFit="1" customWidth="1"/>
    <col min="11" max="11" width="23.85546875" bestFit="1" customWidth="1"/>
    <col min="12" max="12" width="20.85546875" bestFit="1" customWidth="1"/>
    <col min="13" max="13" width="29.85546875" bestFit="1" customWidth="1"/>
  </cols>
  <sheetData>
    <row r="1" spans="1:13" s="168" customFormat="1" ht="26.25" x14ac:dyDescent="0.4">
      <c r="A1" s="170" t="s">
        <v>527</v>
      </c>
      <c r="B1" s="170" t="s">
        <v>528</v>
      </c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</row>
    <row r="2" spans="1:13" x14ac:dyDescent="0.25">
      <c r="A2" s="1" t="s">
        <v>427</v>
      </c>
      <c r="B2" s="1" t="s">
        <v>427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5">
      <c r="A3" t="s">
        <v>105</v>
      </c>
      <c r="B3" t="s">
        <v>105</v>
      </c>
    </row>
    <row r="4" spans="1:13" x14ac:dyDescent="0.25">
      <c r="A4" t="s">
        <v>154</v>
      </c>
      <c r="B4" t="s">
        <v>154</v>
      </c>
    </row>
    <row r="5" spans="1:13" x14ac:dyDescent="0.25">
      <c r="A5" t="s">
        <v>155</v>
      </c>
      <c r="B5" t="s">
        <v>155</v>
      </c>
    </row>
    <row r="6" spans="1:13" x14ac:dyDescent="0.25">
      <c r="A6" t="s">
        <v>428</v>
      </c>
      <c r="B6" t="s">
        <v>428</v>
      </c>
    </row>
    <row r="7" spans="1:13" x14ac:dyDescent="0.25">
      <c r="A7" t="s">
        <v>447</v>
      </c>
      <c r="B7" t="s">
        <v>447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6" tint="0.79998168889431442"/>
  </sheetPr>
  <dimension ref="A1:BC64"/>
  <sheetViews>
    <sheetView showGridLines="0" showRowColHeaders="0" topLeftCell="A29" zoomScaleNormal="100" workbookViewId="0">
      <selection activeCell="AK31" sqref="AK31"/>
    </sheetView>
  </sheetViews>
  <sheetFormatPr defaultColWidth="2.7109375" defaultRowHeight="12.75" x14ac:dyDescent="0.2"/>
  <cols>
    <col min="1" max="3" width="2.7109375" style="79"/>
    <col min="4" max="4" width="2.7109375" style="79" customWidth="1"/>
    <col min="5" max="12" width="2.7109375" style="79"/>
    <col min="13" max="13" width="2.7109375" style="79" customWidth="1"/>
    <col min="14" max="14" width="2.7109375" style="79"/>
    <col min="15" max="15" width="0.85546875" style="79" customWidth="1"/>
    <col min="16" max="40" width="2.7109375" style="79"/>
    <col min="41" max="41" width="2.7109375" style="79" customWidth="1"/>
    <col min="42" max="43" width="2.7109375" style="79"/>
    <col min="44" max="44" width="0" style="79" hidden="1" customWidth="1"/>
    <col min="45" max="45" width="4.28515625" style="79" hidden="1" customWidth="1"/>
    <col min="46" max="46" width="28.85546875" style="79" hidden="1" customWidth="1"/>
    <col min="47" max="47" width="6" style="79" hidden="1" customWidth="1"/>
    <col min="48" max="48" width="0" style="79" hidden="1" customWidth="1"/>
    <col min="49" max="16384" width="2.7109375" style="79"/>
  </cols>
  <sheetData>
    <row r="1" spans="1:41" s="68" customFormat="1" ht="15" customHeight="1" x14ac:dyDescent="0.2">
      <c r="A1" s="86"/>
      <c r="B1" s="245" t="s">
        <v>529</v>
      </c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AK1" s="244" t="s">
        <v>373</v>
      </c>
      <c r="AL1" s="244"/>
      <c r="AM1" s="244"/>
      <c r="AN1" s="244"/>
      <c r="AO1" s="244"/>
    </row>
    <row r="2" spans="1:41" s="82" customFormat="1" ht="3" customHeight="1" x14ac:dyDescent="0.2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</row>
    <row r="3" spans="1:41" s="83" customFormat="1" ht="1.5" customHeight="1" x14ac:dyDescent="0.3">
      <c r="A3" s="256"/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  <c r="AF3" s="256"/>
      <c r="AG3" s="256"/>
      <c r="AH3" s="256"/>
      <c r="AI3" s="256"/>
      <c r="AJ3" s="256"/>
      <c r="AK3" s="256"/>
      <c r="AL3" s="256"/>
      <c r="AM3" s="256"/>
      <c r="AN3" s="256"/>
      <c r="AO3" s="256"/>
    </row>
    <row r="4" spans="1:41" s="82" customFormat="1" ht="5.0999999999999996" customHeight="1" x14ac:dyDescent="0.2">
      <c r="A4" s="79"/>
      <c r="B4" s="79"/>
      <c r="C4" s="79"/>
      <c r="D4" s="79"/>
      <c r="E4" s="79"/>
      <c r="F4" s="79"/>
      <c r="G4" s="79"/>
      <c r="H4" s="79"/>
      <c r="I4" s="80"/>
      <c r="J4" s="80"/>
      <c r="K4" s="80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</row>
    <row r="5" spans="1:41" s="75" customFormat="1" ht="14.25" hidden="1" customHeight="1" x14ac:dyDescent="0.3">
      <c r="A5" s="79"/>
      <c r="B5" s="79"/>
      <c r="C5" s="79"/>
      <c r="D5" s="79"/>
      <c r="E5" s="79"/>
      <c r="F5" s="79"/>
      <c r="G5" s="79"/>
      <c r="H5" s="79"/>
      <c r="I5" s="128"/>
      <c r="J5" s="128"/>
      <c r="K5" s="128"/>
      <c r="L5" s="131"/>
      <c r="AH5" s="257" t="s">
        <v>425</v>
      </c>
      <c r="AI5" s="258"/>
      <c r="AJ5" s="258"/>
      <c r="AK5" s="258"/>
      <c r="AL5" s="258"/>
      <c r="AM5" s="259"/>
    </row>
    <row r="6" spans="1:41" s="81" customFormat="1" ht="15.75" customHeight="1" x14ac:dyDescent="0.35">
      <c r="A6" s="142"/>
      <c r="B6" s="142"/>
      <c r="C6" s="142"/>
      <c r="D6" s="270"/>
      <c r="E6" s="270"/>
      <c r="F6" s="270"/>
      <c r="G6" s="270"/>
      <c r="H6" s="142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</row>
    <row r="7" spans="1:41" s="72" customFormat="1" ht="18.75" hidden="1" customHeight="1" x14ac:dyDescent="0.3">
      <c r="A7" s="142"/>
      <c r="B7" s="142"/>
      <c r="C7" s="142"/>
      <c r="D7" s="142"/>
      <c r="E7" s="142"/>
      <c r="F7" s="142"/>
      <c r="G7" s="142"/>
      <c r="H7" s="142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</row>
    <row r="8" spans="1:41" s="78" customFormat="1" ht="18.75" customHeight="1" x14ac:dyDescent="0.35">
      <c r="A8" s="142"/>
      <c r="B8" s="142"/>
      <c r="C8" s="142"/>
      <c r="D8" s="271"/>
      <c r="E8" s="271"/>
      <c r="F8" s="271"/>
      <c r="G8" s="271"/>
      <c r="H8" s="142"/>
      <c r="I8" s="143"/>
      <c r="J8" s="144"/>
      <c r="K8" s="143"/>
      <c r="L8" s="143"/>
      <c r="M8" s="143"/>
      <c r="N8" s="143"/>
      <c r="O8" s="143"/>
      <c r="P8" s="143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</row>
    <row r="9" spans="1:41" s="72" customFormat="1" ht="12.75" customHeight="1" x14ac:dyDescent="0.3">
      <c r="A9" s="73"/>
      <c r="B9" s="73"/>
      <c r="C9" s="73"/>
      <c r="D9" s="73"/>
      <c r="E9" s="73"/>
      <c r="F9" s="73"/>
      <c r="G9" s="73"/>
      <c r="H9" s="73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</row>
    <row r="10" spans="1:41" s="72" customFormat="1" ht="6.75" customHeight="1" x14ac:dyDescent="0.3">
      <c r="A10" s="133"/>
      <c r="B10" s="133"/>
      <c r="C10" s="133"/>
      <c r="D10" s="133"/>
      <c r="E10" s="133"/>
      <c r="F10" s="133"/>
      <c r="G10" s="133"/>
      <c r="H10" s="133"/>
      <c r="I10" s="134"/>
      <c r="J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</row>
    <row r="11" spans="1:41" s="72" customFormat="1" ht="12.75" customHeight="1" x14ac:dyDescent="0.3">
      <c r="A11" s="133"/>
      <c r="B11" s="185" t="s">
        <v>526</v>
      </c>
      <c r="C11" s="136"/>
      <c r="D11" s="137"/>
      <c r="E11" s="137"/>
      <c r="F11" s="138"/>
      <c r="G11" s="136"/>
      <c r="H11" s="138"/>
      <c r="I11" s="139"/>
      <c r="J11" s="139"/>
      <c r="K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</row>
    <row r="12" spans="1:41" s="72" customFormat="1" ht="12.75" hidden="1" customHeight="1" x14ac:dyDescent="0.3">
      <c r="A12" s="133"/>
      <c r="B12" s="136"/>
      <c r="C12" s="136"/>
      <c r="D12" s="137"/>
      <c r="E12" s="137"/>
      <c r="F12" s="138"/>
      <c r="G12" s="136"/>
      <c r="H12" s="138"/>
      <c r="I12" s="148"/>
      <c r="J12" s="148"/>
      <c r="K12" s="148"/>
    </row>
    <row r="13" spans="1:41" s="72" customFormat="1" ht="3" customHeight="1" x14ac:dyDescent="0.3">
      <c r="A13" s="133"/>
      <c r="B13" s="133"/>
      <c r="C13" s="133"/>
      <c r="D13" s="133"/>
      <c r="E13" s="133"/>
      <c r="F13" s="133"/>
      <c r="G13" s="133"/>
      <c r="H13" s="133"/>
      <c r="I13" s="134"/>
      <c r="J13" s="134"/>
      <c r="K13" s="134"/>
    </row>
    <row r="14" spans="1:41" s="72" customFormat="1" ht="3" customHeight="1" x14ac:dyDescent="0.3">
      <c r="A14" s="186"/>
      <c r="B14" s="186"/>
      <c r="C14" s="186"/>
      <c r="D14" s="186"/>
      <c r="E14" s="186"/>
      <c r="F14" s="186"/>
      <c r="G14" s="186"/>
      <c r="H14" s="186"/>
      <c r="I14" s="187"/>
      <c r="J14" s="187"/>
      <c r="K14" s="187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7"/>
    </row>
    <row r="15" spans="1:41" ht="3" customHeight="1" x14ac:dyDescent="0.2"/>
    <row r="16" spans="1:41" ht="1.5" customHeight="1" x14ac:dyDescent="0.2">
      <c r="AO16" s="70"/>
    </row>
    <row r="17" spans="1:55" x14ac:dyDescent="0.2">
      <c r="A17" s="73"/>
      <c r="B17" s="272"/>
      <c r="C17" s="272"/>
      <c r="D17" s="272"/>
      <c r="E17" s="272"/>
      <c r="F17" s="272"/>
      <c r="G17" s="272"/>
      <c r="H17" s="272"/>
      <c r="I17" s="272"/>
      <c r="J17" s="283"/>
      <c r="K17" s="283"/>
      <c r="L17" s="283"/>
      <c r="M17" s="283"/>
      <c r="N17" s="283"/>
      <c r="O17" s="283"/>
      <c r="P17" s="283"/>
      <c r="Q17" s="283"/>
      <c r="R17" s="283"/>
      <c r="S17" s="283"/>
      <c r="T17" s="283"/>
      <c r="U17" s="283"/>
      <c r="V17" s="283"/>
      <c r="W17" s="283"/>
      <c r="X17" s="284"/>
      <c r="Y17" s="284"/>
      <c r="Z17" s="283"/>
      <c r="AA17" s="283"/>
      <c r="AB17" s="283"/>
      <c r="AC17" s="283"/>
      <c r="AD17" s="283"/>
      <c r="AE17" s="283"/>
      <c r="AF17" s="98"/>
      <c r="AG17" s="73"/>
      <c r="AH17" s="73"/>
      <c r="AI17" s="73"/>
      <c r="AJ17" s="73"/>
      <c r="AK17" s="73"/>
      <c r="AL17" s="73"/>
      <c r="AM17" s="73"/>
      <c r="AN17" s="73"/>
      <c r="AO17" s="73"/>
    </row>
    <row r="18" spans="1:55" s="101" customFormat="1" ht="12.75" hidden="1" customHeight="1" x14ac:dyDescent="0.2">
      <c r="A18" s="99"/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</row>
    <row r="19" spans="1:55" s="101" customFormat="1" ht="12.75" hidden="1" customHeight="1" x14ac:dyDescent="0.2">
      <c r="A19" s="99"/>
      <c r="B19" s="130"/>
      <c r="C19" s="100"/>
      <c r="D19" s="273" t="s">
        <v>435</v>
      </c>
      <c r="E19" s="273"/>
      <c r="F19" s="273"/>
      <c r="G19" s="273"/>
      <c r="H19" s="273"/>
      <c r="I19" s="273"/>
      <c r="J19" s="273"/>
      <c r="K19" s="100"/>
      <c r="L19" s="100"/>
      <c r="M19" s="273" t="s">
        <v>451</v>
      </c>
      <c r="N19" s="273"/>
      <c r="O19" s="273"/>
      <c r="P19" s="273"/>
      <c r="Q19" s="273"/>
      <c r="R19" s="273"/>
      <c r="S19" s="273"/>
      <c r="T19" s="100"/>
      <c r="U19" s="100"/>
      <c r="V19" s="100"/>
      <c r="W19" s="100"/>
      <c r="X19" s="100"/>
      <c r="Y19" s="100"/>
      <c r="Z19" s="273" t="s">
        <v>450</v>
      </c>
      <c r="AA19" s="273"/>
      <c r="AB19" s="273"/>
      <c r="AC19" s="273"/>
      <c r="AD19" s="273"/>
      <c r="AE19" s="273"/>
      <c r="AF19" s="273"/>
      <c r="AG19" s="100"/>
      <c r="AH19" s="100"/>
      <c r="AI19" s="100"/>
      <c r="AJ19" s="100"/>
      <c r="AK19" s="100"/>
      <c r="AL19" s="100"/>
      <c r="AM19" s="100"/>
      <c r="AN19" s="100"/>
      <c r="AO19" s="100"/>
    </row>
    <row r="20" spans="1:55" s="101" customFormat="1" ht="6" hidden="1" customHeight="1" thickBot="1" x14ac:dyDescent="0.25">
      <c r="A20" s="99"/>
      <c r="B20" s="130"/>
      <c r="C20" s="100"/>
      <c r="D20" s="273"/>
      <c r="E20" s="273"/>
      <c r="F20" s="273"/>
      <c r="G20" s="273"/>
      <c r="H20" s="273"/>
      <c r="I20" s="273"/>
      <c r="J20" s="273"/>
      <c r="K20" s="100"/>
      <c r="L20" s="100"/>
      <c r="M20" s="273"/>
      <c r="N20" s="273"/>
      <c r="O20" s="273"/>
      <c r="P20" s="273"/>
      <c r="Q20" s="273"/>
      <c r="R20" s="273"/>
      <c r="S20" s="273"/>
      <c r="T20" s="100"/>
      <c r="U20" s="100"/>
      <c r="V20" s="100"/>
      <c r="W20" s="100"/>
      <c r="X20" s="100"/>
      <c r="Y20" s="100"/>
      <c r="Z20" s="273"/>
      <c r="AA20" s="273"/>
      <c r="AB20" s="273"/>
      <c r="AC20" s="273"/>
      <c r="AD20" s="273"/>
      <c r="AE20" s="273"/>
      <c r="AF20" s="273"/>
      <c r="AG20" s="100"/>
      <c r="AH20" s="100"/>
      <c r="AI20" s="100"/>
      <c r="AJ20" s="100"/>
      <c r="AK20" s="100"/>
      <c r="AL20" s="100"/>
      <c r="AM20" s="100"/>
      <c r="AN20" s="100"/>
      <c r="AO20" s="100"/>
    </row>
    <row r="21" spans="1:55" s="101" customFormat="1" ht="12.75" hidden="1" customHeight="1" thickBot="1" x14ac:dyDescent="0.25">
      <c r="A21" s="99"/>
      <c r="B21" s="130"/>
      <c r="C21" s="100"/>
      <c r="D21" s="280"/>
      <c r="E21" s="281"/>
      <c r="F21" s="281"/>
      <c r="G21" s="281"/>
      <c r="H21" s="281"/>
      <c r="I21" s="281"/>
      <c r="J21" s="282"/>
      <c r="K21" s="278" t="s">
        <v>453</v>
      </c>
      <c r="L21" s="279"/>
      <c r="M21" s="275" t="s">
        <v>452</v>
      </c>
      <c r="N21" s="276"/>
      <c r="O21" s="276"/>
      <c r="P21" s="276"/>
      <c r="Q21" s="276"/>
      <c r="R21" s="276"/>
      <c r="S21" s="276"/>
      <c r="T21" s="277"/>
      <c r="U21" s="100"/>
      <c r="V21" s="100"/>
      <c r="W21" s="100"/>
      <c r="X21" s="100"/>
      <c r="Y21" s="100"/>
      <c r="Z21" s="274" t="s">
        <v>456</v>
      </c>
      <c r="AA21" s="274"/>
      <c r="AB21" s="274"/>
      <c r="AC21" s="274"/>
      <c r="AD21" s="274"/>
      <c r="AE21" s="274"/>
      <c r="AF21" s="274"/>
      <c r="AG21" s="274"/>
      <c r="AH21" s="274"/>
      <c r="AI21" s="274"/>
      <c r="AJ21" s="274"/>
      <c r="AK21" s="274"/>
      <c r="AL21" s="274"/>
      <c r="AM21" s="274"/>
      <c r="AN21" s="274"/>
      <c r="AO21" s="100"/>
    </row>
    <row r="22" spans="1:55" s="101" customFormat="1" ht="12.75" hidden="1" customHeight="1" x14ac:dyDescent="0.2">
      <c r="A22" s="99"/>
      <c r="B22" s="13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69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</row>
    <row r="23" spans="1:55" s="105" customFormat="1" ht="20.100000000000001" customHeight="1" x14ac:dyDescent="0.2">
      <c r="A23" s="252" t="s">
        <v>374</v>
      </c>
      <c r="B23" s="252"/>
      <c r="C23" s="252"/>
      <c r="D23" s="252"/>
      <c r="E23" s="252"/>
      <c r="F23" s="252"/>
      <c r="G23" s="252"/>
      <c r="H23" s="252"/>
      <c r="I23" s="252"/>
      <c r="J23" s="252"/>
      <c r="K23" s="252"/>
      <c r="L23" s="252"/>
      <c r="M23" s="252"/>
      <c r="N23" s="252"/>
      <c r="O23" s="102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4"/>
      <c r="AO23" s="104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</row>
    <row r="24" spans="1:55" x14ac:dyDescent="0.2">
      <c r="A24" s="73"/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73"/>
      <c r="AV24" s="107"/>
    </row>
    <row r="25" spans="1:55" x14ac:dyDescent="0.2">
      <c r="A25" s="73"/>
      <c r="B25" s="106"/>
      <c r="C25" s="235" t="s">
        <v>531</v>
      </c>
      <c r="D25" s="235"/>
      <c r="E25" s="235"/>
      <c r="F25" s="285"/>
      <c r="G25" s="285"/>
      <c r="H25" s="285"/>
      <c r="I25" s="285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35"/>
      <c r="X25" s="235" t="s">
        <v>491</v>
      </c>
      <c r="Y25" s="235"/>
      <c r="Z25" s="235"/>
      <c r="AA25" s="235"/>
      <c r="AB25" s="235"/>
      <c r="AC25" s="235"/>
      <c r="AD25" s="246"/>
      <c r="AE25" s="246"/>
      <c r="AF25" s="246"/>
      <c r="AG25" s="246"/>
      <c r="AH25" s="246"/>
      <c r="AI25" s="246"/>
      <c r="AJ25" s="246"/>
      <c r="AK25" s="246"/>
      <c r="AL25" s="246"/>
      <c r="AM25" s="246"/>
      <c r="AN25" s="106"/>
      <c r="AO25" s="73"/>
    </row>
    <row r="26" spans="1:55" x14ac:dyDescent="0.2">
      <c r="A26" s="73"/>
      <c r="B26" s="106"/>
      <c r="C26" s="236"/>
      <c r="D26" s="236"/>
      <c r="E26" s="236"/>
      <c r="F26" s="236"/>
      <c r="G26" s="237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9"/>
      <c r="T26" s="236"/>
      <c r="U26" s="236"/>
      <c r="V26" s="236"/>
      <c r="W26" s="236"/>
      <c r="X26" s="236"/>
      <c r="Y26" s="236"/>
      <c r="Z26" s="236"/>
      <c r="AA26" s="236"/>
      <c r="AB26" s="237"/>
      <c r="AC26" s="238"/>
      <c r="AD26" s="238"/>
      <c r="AE26" s="238"/>
      <c r="AF26" s="238"/>
      <c r="AG26" s="238"/>
      <c r="AH26" s="238"/>
      <c r="AI26" s="238"/>
      <c r="AJ26" s="240"/>
      <c r="AK26" s="240"/>
      <c r="AL26" s="240"/>
      <c r="AM26" s="240"/>
      <c r="AN26" s="106"/>
      <c r="AO26" s="73"/>
    </row>
    <row r="27" spans="1:55" x14ac:dyDescent="0.2">
      <c r="A27" s="73"/>
      <c r="B27" s="106"/>
      <c r="C27" s="253" t="s">
        <v>490</v>
      </c>
      <c r="D27" s="253"/>
      <c r="E27" s="253"/>
      <c r="F27" s="254"/>
      <c r="G27" s="236"/>
      <c r="H27" s="246"/>
      <c r="I27" s="246"/>
      <c r="J27" s="246"/>
      <c r="K27" s="246"/>
      <c r="L27" s="246"/>
      <c r="M27" s="246"/>
      <c r="N27" s="246"/>
      <c r="O27" s="246"/>
      <c r="P27" s="246"/>
      <c r="Q27" s="246"/>
      <c r="R27" s="246"/>
      <c r="S27" s="236"/>
      <c r="T27" s="236"/>
      <c r="U27" s="253" t="s">
        <v>492</v>
      </c>
      <c r="V27" s="253"/>
      <c r="W27" s="253"/>
      <c r="X27" s="253"/>
      <c r="Y27" s="253"/>
      <c r="Z27" s="253"/>
      <c r="AA27" s="254"/>
      <c r="AB27" s="236"/>
      <c r="AC27" s="246"/>
      <c r="AD27" s="246"/>
      <c r="AE27" s="246"/>
      <c r="AF27" s="246"/>
      <c r="AG27" s="246"/>
      <c r="AH27" s="246"/>
      <c r="AI27" s="246"/>
      <c r="AJ27" s="246"/>
      <c r="AK27" s="246"/>
      <c r="AL27" s="246"/>
      <c r="AM27" s="246"/>
      <c r="AN27" s="106"/>
      <c r="AO27" s="73"/>
    </row>
    <row r="28" spans="1:55" x14ac:dyDescent="0.2">
      <c r="A28" s="73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73"/>
    </row>
    <row r="29" spans="1:55" x14ac:dyDescent="0.2">
      <c r="A29" s="73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73"/>
    </row>
    <row r="30" spans="1:55" ht="20.100000000000001" customHeight="1" x14ac:dyDescent="0.2">
      <c r="A30" s="252" t="s">
        <v>379</v>
      </c>
      <c r="B30" s="252" t="s">
        <v>380</v>
      </c>
      <c r="C30" s="252"/>
      <c r="D30" s="252"/>
      <c r="E30" s="252"/>
      <c r="F30" s="252"/>
      <c r="G30" s="252"/>
      <c r="H30" s="252"/>
      <c r="I30" s="252"/>
      <c r="J30" s="252"/>
      <c r="K30" s="252"/>
      <c r="L30" s="252"/>
      <c r="M30" s="252"/>
      <c r="N30" s="252"/>
      <c r="O30" s="102"/>
      <c r="P30" s="108"/>
      <c r="Q30" s="108"/>
      <c r="R30" s="103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9"/>
      <c r="AO30" s="104"/>
    </row>
    <row r="31" spans="1:55" x14ac:dyDescent="0.2">
      <c r="A31" s="110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73"/>
    </row>
    <row r="32" spans="1:55" x14ac:dyDescent="0.2">
      <c r="A32" s="110"/>
      <c r="B32" s="106"/>
      <c r="C32" s="124" t="s">
        <v>493</v>
      </c>
      <c r="D32" s="124"/>
      <c r="E32" s="124"/>
      <c r="F32" s="124"/>
      <c r="G32" s="124"/>
      <c r="H32" s="124"/>
      <c r="I32" s="123"/>
      <c r="J32" s="246" t="s">
        <v>532</v>
      </c>
      <c r="K32" s="246"/>
      <c r="L32" s="246"/>
      <c r="M32" s="246"/>
      <c r="N32" s="246"/>
      <c r="O32" s="246"/>
      <c r="P32" s="246"/>
      <c r="Q32" s="246"/>
      <c r="R32" s="246"/>
      <c r="S32" s="246"/>
      <c r="T32" s="106"/>
      <c r="U32" s="251" t="s">
        <v>494</v>
      </c>
      <c r="V32" s="251"/>
      <c r="W32" s="251"/>
      <c r="X32" s="251"/>
      <c r="Y32" s="251"/>
      <c r="Z32" s="251"/>
      <c r="AA32" s="251"/>
      <c r="AB32" s="251"/>
      <c r="AC32" s="251"/>
      <c r="AD32" s="251"/>
      <c r="AE32" s="269"/>
      <c r="AF32" s="269"/>
      <c r="AG32" s="269"/>
      <c r="AH32" s="269"/>
      <c r="AI32" s="269"/>
      <c r="AJ32" s="269"/>
      <c r="AK32" s="269"/>
      <c r="AL32" s="269"/>
      <c r="AM32" s="269"/>
      <c r="AN32" s="125"/>
      <c r="AO32" s="73"/>
    </row>
    <row r="33" spans="1:55" x14ac:dyDescent="0.2">
      <c r="A33" s="110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73"/>
    </row>
    <row r="34" spans="1:55" x14ac:dyDescent="0.2">
      <c r="A34" s="110"/>
      <c r="B34" s="106"/>
      <c r="C34" s="124" t="s">
        <v>495</v>
      </c>
      <c r="D34" s="124"/>
      <c r="E34" s="124"/>
      <c r="F34" s="124"/>
      <c r="G34" s="124"/>
      <c r="H34" s="124"/>
      <c r="I34" s="124"/>
      <c r="J34" s="124"/>
      <c r="K34" s="248"/>
      <c r="L34" s="248"/>
      <c r="M34" s="246" t="s">
        <v>732</v>
      </c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106"/>
      <c r="AO34" s="73"/>
    </row>
    <row r="35" spans="1:55" x14ac:dyDescent="0.2">
      <c r="A35" s="110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06"/>
      <c r="AO35" s="73"/>
    </row>
    <row r="36" spans="1:55" x14ac:dyDescent="0.2">
      <c r="A36" s="110"/>
      <c r="B36" s="106"/>
      <c r="C36" s="250" t="s">
        <v>496</v>
      </c>
      <c r="D36" s="250"/>
      <c r="E36" s="250"/>
      <c r="F36" s="250"/>
      <c r="G36" s="250"/>
      <c r="H36" s="250"/>
      <c r="I36" s="251"/>
      <c r="J36" s="106"/>
      <c r="K36" s="249">
        <v>3</v>
      </c>
      <c r="L36" s="249"/>
      <c r="M36" s="247" t="s">
        <v>530</v>
      </c>
      <c r="N36" s="247"/>
      <c r="O36" s="247"/>
      <c r="P36" s="247"/>
      <c r="Q36" s="247"/>
      <c r="R36" s="247"/>
      <c r="S36" s="247"/>
      <c r="T36" s="247"/>
      <c r="U36" s="247"/>
      <c r="V36" s="247"/>
      <c r="W36" s="247"/>
      <c r="X36" s="247"/>
      <c r="Y36" s="247"/>
      <c r="Z36" s="247"/>
      <c r="AA36" s="247"/>
      <c r="AB36" s="247"/>
      <c r="AC36" s="247"/>
      <c r="AD36" s="247"/>
      <c r="AE36" s="247"/>
      <c r="AF36" s="247"/>
      <c r="AG36" s="247"/>
      <c r="AH36" s="247"/>
      <c r="AI36" s="247"/>
      <c r="AJ36" s="247"/>
      <c r="AK36" s="247"/>
      <c r="AL36" s="247"/>
      <c r="AM36" s="247"/>
      <c r="AN36" s="106"/>
      <c r="AO36" s="73"/>
    </row>
    <row r="37" spans="1:55" x14ac:dyDescent="0.2">
      <c r="A37" s="110"/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06"/>
      <c r="AO37" s="73"/>
    </row>
    <row r="38" spans="1:55" x14ac:dyDescent="0.2">
      <c r="A38" s="110"/>
      <c r="B38" s="106"/>
      <c r="C38" s="250" t="s">
        <v>497</v>
      </c>
      <c r="D38" s="250"/>
      <c r="E38" s="250"/>
      <c r="F38" s="250"/>
      <c r="G38" s="250"/>
      <c r="H38" s="250"/>
      <c r="I38" s="251"/>
      <c r="J38" s="106"/>
      <c r="K38" s="249">
        <v>3</v>
      </c>
      <c r="L38" s="249"/>
      <c r="M38" s="247" t="s">
        <v>349</v>
      </c>
      <c r="N38" s="247"/>
      <c r="O38" s="247"/>
      <c r="P38" s="247"/>
      <c r="Q38" s="247"/>
      <c r="R38" s="247"/>
      <c r="S38" s="247"/>
      <c r="T38" s="247"/>
      <c r="U38" s="247"/>
      <c r="V38" s="247"/>
      <c r="W38" s="247"/>
      <c r="X38" s="247"/>
      <c r="Y38" s="247"/>
      <c r="Z38" s="247"/>
      <c r="AA38" s="247"/>
      <c r="AB38" s="247"/>
      <c r="AC38" s="247"/>
      <c r="AD38" s="247"/>
      <c r="AE38" s="247"/>
      <c r="AF38" s="247"/>
      <c r="AG38" s="247"/>
      <c r="AH38" s="247"/>
      <c r="AI38" s="247"/>
      <c r="AJ38" s="247"/>
      <c r="AK38" s="247"/>
      <c r="AL38" s="247"/>
      <c r="AM38" s="247"/>
      <c r="AN38" s="106"/>
      <c r="AO38" s="73"/>
    </row>
    <row r="39" spans="1:55" x14ac:dyDescent="0.2">
      <c r="A39" s="110"/>
      <c r="B39" s="106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06"/>
      <c r="AO39" s="73"/>
    </row>
    <row r="40" spans="1:55" x14ac:dyDescent="0.2">
      <c r="A40" s="110"/>
      <c r="B40" s="106"/>
      <c r="C40" s="124" t="s">
        <v>498</v>
      </c>
      <c r="D40" s="124"/>
      <c r="E40" s="124"/>
      <c r="F40" s="124"/>
      <c r="G40" s="124"/>
      <c r="H40" s="124"/>
      <c r="I40" s="124"/>
      <c r="J40" s="124"/>
      <c r="K40" s="248"/>
      <c r="L40" s="248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246"/>
      <c r="AD40" s="246"/>
      <c r="AE40" s="246"/>
      <c r="AF40" s="246"/>
      <c r="AG40" s="246"/>
      <c r="AH40" s="246"/>
      <c r="AI40" s="246"/>
      <c r="AJ40" s="246"/>
      <c r="AK40" s="246"/>
      <c r="AL40" s="246"/>
      <c r="AM40" s="246"/>
      <c r="AN40" s="106"/>
      <c r="AO40" s="73"/>
    </row>
    <row r="41" spans="1:55" x14ac:dyDescent="0.2">
      <c r="A41" s="110"/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73"/>
    </row>
    <row r="42" spans="1:55" ht="57" customHeight="1" x14ac:dyDescent="0.2">
      <c r="A42" s="110"/>
      <c r="B42" s="106"/>
      <c r="C42" s="266" t="s">
        <v>499</v>
      </c>
      <c r="D42" s="266"/>
      <c r="E42" s="266"/>
      <c r="F42" s="266"/>
      <c r="G42" s="266"/>
      <c r="H42" s="266"/>
      <c r="I42" s="266"/>
      <c r="J42" s="266"/>
      <c r="K42" s="266"/>
      <c r="L42" s="267"/>
      <c r="M42" s="268"/>
      <c r="N42" s="268"/>
      <c r="O42" s="268"/>
      <c r="P42" s="268"/>
      <c r="Q42" s="268"/>
      <c r="R42" s="268"/>
      <c r="S42" s="268"/>
      <c r="T42" s="268"/>
      <c r="U42" s="268"/>
      <c r="V42" s="268"/>
      <c r="W42" s="268"/>
      <c r="X42" s="268"/>
      <c r="Y42" s="268"/>
      <c r="Z42" s="268"/>
      <c r="AA42" s="268"/>
      <c r="AB42" s="268"/>
      <c r="AC42" s="268"/>
      <c r="AD42" s="268"/>
      <c r="AE42" s="268"/>
      <c r="AF42" s="268"/>
      <c r="AG42" s="268"/>
      <c r="AH42" s="268"/>
      <c r="AI42" s="268"/>
      <c r="AJ42" s="268"/>
      <c r="AK42" s="268"/>
      <c r="AL42" s="268"/>
      <c r="AM42" s="268"/>
      <c r="AN42" s="106"/>
      <c r="AO42" s="73"/>
    </row>
    <row r="43" spans="1:55" x14ac:dyDescent="0.2">
      <c r="A43" s="110"/>
      <c r="B43" s="106"/>
      <c r="C43" s="106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73"/>
    </row>
    <row r="44" spans="1:55" ht="20.100000000000001" customHeight="1" x14ac:dyDescent="0.2">
      <c r="A44" s="252" t="s">
        <v>383</v>
      </c>
      <c r="B44" s="252" t="s">
        <v>380</v>
      </c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102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9"/>
      <c r="AO44" s="104"/>
    </row>
    <row r="45" spans="1:55" x14ac:dyDescent="0.2">
      <c r="A45" s="73"/>
      <c r="B45" s="106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73"/>
    </row>
    <row r="46" spans="1:55" x14ac:dyDescent="0.2">
      <c r="A46" s="73"/>
      <c r="B46" s="106"/>
      <c r="C46" s="250" t="s">
        <v>500</v>
      </c>
      <c r="D46" s="250"/>
      <c r="E46" s="250"/>
      <c r="F46" s="250"/>
      <c r="G46" s="250"/>
      <c r="H46" s="250"/>
      <c r="I46" s="250"/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  <c r="U46" s="250"/>
      <c r="V46" s="250"/>
      <c r="W46" s="250"/>
      <c r="X46" s="250"/>
      <c r="Y46" s="250"/>
      <c r="Z46" s="250"/>
      <c r="AA46" s="250"/>
      <c r="AB46" s="250"/>
      <c r="AC46" s="250"/>
      <c r="AD46" s="250"/>
      <c r="AE46" s="250"/>
      <c r="AF46" s="250"/>
      <c r="AG46" s="250"/>
      <c r="AH46" s="250"/>
      <c r="AI46" s="250"/>
      <c r="AJ46" s="250"/>
      <c r="AK46" s="250"/>
      <c r="AL46" s="250"/>
      <c r="AM46" s="250"/>
      <c r="AN46" s="106"/>
      <c r="AO46" s="73"/>
    </row>
    <row r="47" spans="1:55" x14ac:dyDescent="0.2">
      <c r="A47" s="73"/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73"/>
    </row>
    <row r="48" spans="1:55" s="105" customFormat="1" x14ac:dyDescent="0.2">
      <c r="A48" s="73"/>
      <c r="B48" s="106"/>
      <c r="C48" s="262" t="s">
        <v>384</v>
      </c>
      <c r="D48" s="263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4"/>
      <c r="T48" s="264"/>
      <c r="U48" s="264"/>
      <c r="V48" s="264"/>
      <c r="W48" s="264"/>
      <c r="X48" s="264"/>
      <c r="Y48" s="264"/>
      <c r="Z48" s="264"/>
      <c r="AA48" s="264"/>
      <c r="AB48" s="264"/>
      <c r="AC48" s="264"/>
      <c r="AD48" s="264"/>
      <c r="AE48" s="264"/>
      <c r="AF48" s="264"/>
      <c r="AG48" s="264"/>
      <c r="AH48" s="264"/>
      <c r="AI48" s="264"/>
      <c r="AJ48" s="264"/>
      <c r="AK48" s="264"/>
      <c r="AL48" s="264"/>
      <c r="AM48" s="265"/>
      <c r="AN48" s="106"/>
      <c r="AO48" s="73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</row>
    <row r="49" spans="1:41" ht="12.75" customHeight="1" x14ac:dyDescent="0.2">
      <c r="A49" s="73"/>
      <c r="B49" s="106"/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U49" s="261"/>
      <c r="V49" s="261"/>
      <c r="W49" s="261"/>
      <c r="X49" s="261"/>
      <c r="Y49" s="261"/>
      <c r="Z49" s="261"/>
      <c r="AA49" s="261"/>
      <c r="AB49" s="261"/>
      <c r="AC49" s="261"/>
      <c r="AD49" s="261"/>
      <c r="AE49" s="261"/>
      <c r="AF49" s="261"/>
      <c r="AG49" s="261"/>
      <c r="AH49" s="261"/>
      <c r="AI49" s="261"/>
      <c r="AJ49" s="261"/>
      <c r="AK49" s="261"/>
      <c r="AL49" s="261"/>
      <c r="AM49" s="261"/>
      <c r="AN49" s="106"/>
      <c r="AO49" s="73"/>
    </row>
    <row r="50" spans="1:41" x14ac:dyDescent="0.2">
      <c r="A50" s="73"/>
      <c r="B50" s="106"/>
      <c r="C50" s="260"/>
      <c r="D50" s="260"/>
      <c r="E50" s="260"/>
      <c r="F50" s="260"/>
      <c r="G50" s="260"/>
      <c r="H50" s="260"/>
      <c r="I50" s="260"/>
      <c r="J50" s="260"/>
      <c r="K50" s="260"/>
      <c r="L50" s="260"/>
      <c r="M50" s="260"/>
      <c r="N50" s="260"/>
      <c r="O50" s="260"/>
      <c r="P50" s="260"/>
      <c r="Q50" s="260"/>
      <c r="R50" s="260"/>
      <c r="S50" s="260"/>
      <c r="T50" s="260"/>
      <c r="U50" s="260"/>
      <c r="V50" s="260"/>
      <c r="W50" s="260"/>
      <c r="X50" s="260"/>
      <c r="Y50" s="260"/>
      <c r="Z50" s="260"/>
      <c r="AA50" s="260"/>
      <c r="AB50" s="260"/>
      <c r="AC50" s="260"/>
      <c r="AD50" s="260"/>
      <c r="AE50" s="260"/>
      <c r="AF50" s="260"/>
      <c r="AG50" s="260"/>
      <c r="AH50" s="260"/>
      <c r="AI50" s="260"/>
      <c r="AJ50" s="260"/>
      <c r="AK50" s="260"/>
      <c r="AL50" s="260"/>
      <c r="AM50" s="260"/>
      <c r="AN50" s="106"/>
      <c r="AO50" s="73"/>
    </row>
    <row r="51" spans="1:41" x14ac:dyDescent="0.2">
      <c r="A51" s="73"/>
      <c r="B51" s="106"/>
      <c r="C51" s="260"/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60"/>
      <c r="O51" s="260"/>
      <c r="P51" s="260"/>
      <c r="Q51" s="260"/>
      <c r="R51" s="260"/>
      <c r="S51" s="260"/>
      <c r="T51" s="260"/>
      <c r="U51" s="260"/>
      <c r="V51" s="260"/>
      <c r="W51" s="260"/>
      <c r="X51" s="260"/>
      <c r="Y51" s="260"/>
      <c r="Z51" s="260"/>
      <c r="AA51" s="260"/>
      <c r="AB51" s="260"/>
      <c r="AC51" s="260"/>
      <c r="AD51" s="260"/>
      <c r="AE51" s="260"/>
      <c r="AF51" s="260"/>
      <c r="AG51" s="260"/>
      <c r="AH51" s="260"/>
      <c r="AI51" s="260"/>
      <c r="AJ51" s="260"/>
      <c r="AK51" s="260"/>
      <c r="AL51" s="260"/>
      <c r="AM51" s="260"/>
      <c r="AN51" s="106"/>
      <c r="AO51" s="73"/>
    </row>
    <row r="52" spans="1:41" x14ac:dyDescent="0.2">
      <c r="A52" s="73"/>
      <c r="B52" s="106"/>
      <c r="C52" s="260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0"/>
      <c r="W52" s="260"/>
      <c r="X52" s="260"/>
      <c r="Y52" s="260"/>
      <c r="Z52" s="260"/>
      <c r="AA52" s="260"/>
      <c r="AB52" s="260"/>
      <c r="AC52" s="260"/>
      <c r="AD52" s="260"/>
      <c r="AE52" s="260"/>
      <c r="AF52" s="260"/>
      <c r="AG52" s="260"/>
      <c r="AH52" s="260"/>
      <c r="AI52" s="260"/>
      <c r="AJ52" s="260"/>
      <c r="AK52" s="260"/>
      <c r="AL52" s="260"/>
      <c r="AM52" s="260"/>
      <c r="AN52" s="106"/>
      <c r="AO52" s="73"/>
    </row>
    <row r="53" spans="1:41" x14ac:dyDescent="0.2">
      <c r="A53" s="73"/>
      <c r="B53" s="106"/>
      <c r="C53" s="260"/>
      <c r="D53" s="260"/>
      <c r="E53" s="260"/>
      <c r="F53" s="260"/>
      <c r="G53" s="260"/>
      <c r="H53" s="260"/>
      <c r="I53" s="260"/>
      <c r="J53" s="260"/>
      <c r="K53" s="260"/>
      <c r="L53" s="260"/>
      <c r="M53" s="260"/>
      <c r="N53" s="260"/>
      <c r="O53" s="260"/>
      <c r="P53" s="260"/>
      <c r="Q53" s="260"/>
      <c r="R53" s="260"/>
      <c r="S53" s="260"/>
      <c r="T53" s="260"/>
      <c r="U53" s="260"/>
      <c r="V53" s="260"/>
      <c r="W53" s="260"/>
      <c r="X53" s="260"/>
      <c r="Y53" s="260"/>
      <c r="Z53" s="260"/>
      <c r="AA53" s="260"/>
      <c r="AB53" s="260"/>
      <c r="AC53" s="260"/>
      <c r="AD53" s="260"/>
      <c r="AE53" s="260"/>
      <c r="AF53" s="260"/>
      <c r="AG53" s="260"/>
      <c r="AH53" s="260"/>
      <c r="AI53" s="260"/>
      <c r="AJ53" s="260"/>
      <c r="AK53" s="260"/>
      <c r="AL53" s="260"/>
      <c r="AM53" s="260"/>
      <c r="AN53" s="106"/>
      <c r="AO53" s="73"/>
    </row>
    <row r="54" spans="1:41" x14ac:dyDescent="0.2">
      <c r="A54" s="73"/>
      <c r="B54" s="106"/>
      <c r="C54" s="260"/>
      <c r="D54" s="260"/>
      <c r="E54" s="260"/>
      <c r="F54" s="260"/>
      <c r="G54" s="260"/>
      <c r="H54" s="260"/>
      <c r="I54" s="260"/>
      <c r="J54" s="260"/>
      <c r="K54" s="260"/>
      <c r="L54" s="260"/>
      <c r="M54" s="260"/>
      <c r="N54" s="260"/>
      <c r="O54" s="260"/>
      <c r="P54" s="260"/>
      <c r="Q54" s="260"/>
      <c r="R54" s="260"/>
      <c r="S54" s="260"/>
      <c r="T54" s="260"/>
      <c r="U54" s="260"/>
      <c r="V54" s="260"/>
      <c r="W54" s="260"/>
      <c r="X54" s="260"/>
      <c r="Y54" s="260"/>
      <c r="Z54" s="260"/>
      <c r="AA54" s="260"/>
      <c r="AB54" s="260"/>
      <c r="AC54" s="260"/>
      <c r="AD54" s="260"/>
      <c r="AE54" s="260"/>
      <c r="AF54" s="260"/>
      <c r="AG54" s="260"/>
      <c r="AH54" s="260"/>
      <c r="AI54" s="260"/>
      <c r="AJ54" s="260"/>
      <c r="AK54" s="260"/>
      <c r="AL54" s="260"/>
      <c r="AM54" s="260"/>
      <c r="AN54" s="106"/>
      <c r="AO54" s="73"/>
    </row>
    <row r="55" spans="1:41" x14ac:dyDescent="0.2">
      <c r="A55" s="73"/>
      <c r="B55" s="106"/>
      <c r="C55" s="260"/>
      <c r="D55" s="260"/>
      <c r="E55" s="260"/>
      <c r="F55" s="260"/>
      <c r="G55" s="260"/>
      <c r="H55" s="260"/>
      <c r="I55" s="260"/>
      <c r="J55" s="260"/>
      <c r="K55" s="260"/>
      <c r="L55" s="260"/>
      <c r="M55" s="260"/>
      <c r="N55" s="260"/>
      <c r="O55" s="260"/>
      <c r="P55" s="260"/>
      <c r="Q55" s="260"/>
      <c r="R55" s="260"/>
      <c r="S55" s="260"/>
      <c r="T55" s="260"/>
      <c r="U55" s="260"/>
      <c r="V55" s="260"/>
      <c r="W55" s="260"/>
      <c r="X55" s="260"/>
      <c r="Y55" s="260"/>
      <c r="Z55" s="260"/>
      <c r="AA55" s="260"/>
      <c r="AB55" s="260"/>
      <c r="AC55" s="260"/>
      <c r="AD55" s="260"/>
      <c r="AE55" s="260"/>
      <c r="AF55" s="260"/>
      <c r="AG55" s="260"/>
      <c r="AH55" s="260"/>
      <c r="AI55" s="260"/>
      <c r="AJ55" s="260"/>
      <c r="AK55" s="260"/>
      <c r="AL55" s="260"/>
      <c r="AM55" s="260"/>
      <c r="AN55" s="106"/>
      <c r="AO55" s="73"/>
    </row>
    <row r="56" spans="1:41" x14ac:dyDescent="0.2">
      <c r="A56" s="73"/>
      <c r="B56" s="106"/>
      <c r="C56" s="260"/>
      <c r="D56" s="260"/>
      <c r="E56" s="260"/>
      <c r="F56" s="260"/>
      <c r="G56" s="260"/>
      <c r="H56" s="260"/>
      <c r="I56" s="260"/>
      <c r="J56" s="260"/>
      <c r="K56" s="260"/>
      <c r="L56" s="260"/>
      <c r="M56" s="260"/>
      <c r="N56" s="260"/>
      <c r="O56" s="260"/>
      <c r="P56" s="260"/>
      <c r="Q56" s="260"/>
      <c r="R56" s="260"/>
      <c r="S56" s="260"/>
      <c r="T56" s="260"/>
      <c r="U56" s="260"/>
      <c r="V56" s="260"/>
      <c r="W56" s="260"/>
      <c r="X56" s="260"/>
      <c r="Y56" s="260"/>
      <c r="Z56" s="260"/>
      <c r="AA56" s="260"/>
      <c r="AB56" s="260"/>
      <c r="AC56" s="260"/>
      <c r="AD56" s="260"/>
      <c r="AE56" s="260"/>
      <c r="AF56" s="260"/>
      <c r="AG56" s="260"/>
      <c r="AH56" s="260"/>
      <c r="AI56" s="260"/>
      <c r="AJ56" s="260"/>
      <c r="AK56" s="260"/>
      <c r="AL56" s="260"/>
      <c r="AM56" s="260"/>
      <c r="AN56" s="106"/>
      <c r="AO56" s="73"/>
    </row>
    <row r="57" spans="1:41" x14ac:dyDescent="0.2">
      <c r="A57" s="73"/>
      <c r="B57" s="106"/>
      <c r="C57" s="260"/>
      <c r="D57" s="260"/>
      <c r="E57" s="260"/>
      <c r="F57" s="260"/>
      <c r="G57" s="260"/>
      <c r="H57" s="260"/>
      <c r="I57" s="260"/>
      <c r="J57" s="260"/>
      <c r="K57" s="260"/>
      <c r="L57" s="260"/>
      <c r="M57" s="260"/>
      <c r="N57" s="260"/>
      <c r="O57" s="260"/>
      <c r="P57" s="260"/>
      <c r="Q57" s="260"/>
      <c r="R57" s="260"/>
      <c r="S57" s="260"/>
      <c r="T57" s="260"/>
      <c r="U57" s="260"/>
      <c r="V57" s="260"/>
      <c r="W57" s="260"/>
      <c r="X57" s="260"/>
      <c r="Y57" s="260"/>
      <c r="Z57" s="260"/>
      <c r="AA57" s="260"/>
      <c r="AB57" s="260"/>
      <c r="AC57" s="260"/>
      <c r="AD57" s="260"/>
      <c r="AE57" s="260"/>
      <c r="AF57" s="260"/>
      <c r="AG57" s="260"/>
      <c r="AH57" s="260"/>
      <c r="AI57" s="260"/>
      <c r="AJ57" s="260"/>
      <c r="AK57" s="260"/>
      <c r="AL57" s="260"/>
      <c r="AM57" s="260"/>
      <c r="AN57" s="106"/>
      <c r="AO57" s="73"/>
    </row>
    <row r="58" spans="1:41" x14ac:dyDescent="0.2">
      <c r="A58" s="73"/>
      <c r="B58" s="106"/>
      <c r="C58" s="260"/>
      <c r="D58" s="260"/>
      <c r="E58" s="260"/>
      <c r="F58" s="260"/>
      <c r="G58" s="260"/>
      <c r="H58" s="260"/>
      <c r="I58" s="260"/>
      <c r="J58" s="260"/>
      <c r="K58" s="260"/>
      <c r="L58" s="260"/>
      <c r="M58" s="260"/>
      <c r="N58" s="260"/>
      <c r="O58" s="260"/>
      <c r="P58" s="260"/>
      <c r="Q58" s="260"/>
      <c r="R58" s="260"/>
      <c r="S58" s="260"/>
      <c r="T58" s="260"/>
      <c r="U58" s="260"/>
      <c r="V58" s="260"/>
      <c r="W58" s="260"/>
      <c r="X58" s="260"/>
      <c r="Y58" s="260"/>
      <c r="Z58" s="260"/>
      <c r="AA58" s="260"/>
      <c r="AB58" s="260"/>
      <c r="AC58" s="260"/>
      <c r="AD58" s="260"/>
      <c r="AE58" s="260"/>
      <c r="AF58" s="260"/>
      <c r="AG58" s="260"/>
      <c r="AH58" s="260"/>
      <c r="AI58" s="260"/>
      <c r="AJ58" s="260"/>
      <c r="AK58" s="260"/>
      <c r="AL58" s="260"/>
      <c r="AM58" s="260"/>
      <c r="AN58" s="106"/>
      <c r="AO58" s="73"/>
    </row>
    <row r="59" spans="1:41" x14ac:dyDescent="0.2">
      <c r="A59" s="73"/>
      <c r="B59" s="106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73"/>
    </row>
    <row r="60" spans="1:41" x14ac:dyDescent="0.2">
      <c r="A60" s="73"/>
      <c r="B60" s="106"/>
      <c r="C60" s="250" t="s">
        <v>501</v>
      </c>
      <c r="D60" s="250"/>
      <c r="E60" s="250"/>
      <c r="F60" s="250"/>
      <c r="G60" s="250"/>
      <c r="H60" s="250"/>
      <c r="I60" s="250"/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  <c r="U60" s="250"/>
      <c r="V60" s="250"/>
      <c r="W60" s="250"/>
      <c r="X60" s="250"/>
      <c r="Y60" s="250"/>
      <c r="Z60" s="250"/>
      <c r="AA60" s="250"/>
      <c r="AB60" s="250"/>
      <c r="AC60" s="250"/>
      <c r="AD60" s="250"/>
      <c r="AE60" s="250"/>
      <c r="AF60" s="250"/>
      <c r="AG60" s="250"/>
      <c r="AH60" s="250"/>
      <c r="AI60" s="250"/>
      <c r="AJ60" s="250"/>
      <c r="AK60" s="250"/>
      <c r="AL60" s="250"/>
      <c r="AM60" s="250"/>
      <c r="AN60" s="106"/>
      <c r="AO60" s="73"/>
    </row>
    <row r="61" spans="1:41" x14ac:dyDescent="0.2">
      <c r="A61" s="73"/>
      <c r="B61" s="106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6"/>
      <c r="AL61" s="106"/>
      <c r="AM61" s="106"/>
      <c r="AN61" s="106"/>
      <c r="AO61" s="73"/>
    </row>
    <row r="62" spans="1:41" ht="48.75" customHeight="1" x14ac:dyDescent="0.2">
      <c r="A62" s="73"/>
      <c r="B62" s="106"/>
      <c r="C62" s="260"/>
      <c r="D62" s="260"/>
      <c r="E62" s="260"/>
      <c r="F62" s="260"/>
      <c r="G62" s="260"/>
      <c r="H62" s="260"/>
      <c r="I62" s="260"/>
      <c r="J62" s="260"/>
      <c r="K62" s="260"/>
      <c r="L62" s="260"/>
      <c r="M62" s="260"/>
      <c r="N62" s="260"/>
      <c r="O62" s="260"/>
      <c r="P62" s="260"/>
      <c r="Q62" s="260"/>
      <c r="R62" s="260"/>
      <c r="S62" s="260"/>
      <c r="T62" s="260"/>
      <c r="U62" s="260"/>
      <c r="V62" s="260"/>
      <c r="W62" s="260"/>
      <c r="X62" s="260"/>
      <c r="Y62" s="260"/>
      <c r="Z62" s="260"/>
      <c r="AA62" s="260"/>
      <c r="AB62" s="260"/>
      <c r="AC62" s="260"/>
      <c r="AD62" s="260"/>
      <c r="AE62" s="260"/>
      <c r="AF62" s="260"/>
      <c r="AG62" s="260"/>
      <c r="AH62" s="260"/>
      <c r="AI62" s="260"/>
      <c r="AJ62" s="260"/>
      <c r="AK62" s="260"/>
      <c r="AL62" s="260"/>
      <c r="AM62" s="260"/>
      <c r="AN62" s="106"/>
      <c r="AO62" s="73"/>
    </row>
    <row r="63" spans="1:41" x14ac:dyDescent="0.2">
      <c r="A63" s="73"/>
      <c r="B63" s="106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73"/>
    </row>
    <row r="64" spans="1:41" x14ac:dyDescent="0.2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</row>
  </sheetData>
  <mergeCells count="52">
    <mergeCell ref="M19:S20"/>
    <mergeCell ref="D21:J21"/>
    <mergeCell ref="AC17:AE17"/>
    <mergeCell ref="J17:P17"/>
    <mergeCell ref="AD25:AM25"/>
    <mergeCell ref="Q17:W17"/>
    <mergeCell ref="X17:Y17"/>
    <mergeCell ref="Z17:AB17"/>
    <mergeCell ref="F25:I25"/>
    <mergeCell ref="J25:V25"/>
    <mergeCell ref="C38:I38"/>
    <mergeCell ref="M38:AM38"/>
    <mergeCell ref="K38:L38"/>
    <mergeCell ref="U32:AD32"/>
    <mergeCell ref="AE32:AM32"/>
    <mergeCell ref="K40:L40"/>
    <mergeCell ref="C60:AM60"/>
    <mergeCell ref="C62:AM62"/>
    <mergeCell ref="C49:AM58"/>
    <mergeCell ref="C46:AM46"/>
    <mergeCell ref="C48:R48"/>
    <mergeCell ref="S48:Y48"/>
    <mergeCell ref="Z48:AM48"/>
    <mergeCell ref="M40:AM40"/>
    <mergeCell ref="C42:L42"/>
    <mergeCell ref="M42:AM42"/>
    <mergeCell ref="A44:N44"/>
    <mergeCell ref="M36:AM36"/>
    <mergeCell ref="K34:L34"/>
    <mergeCell ref="K36:L36"/>
    <mergeCell ref="C36:I36"/>
    <mergeCell ref="A23:N23"/>
    <mergeCell ref="C27:F27"/>
    <mergeCell ref="U27:AA27"/>
    <mergeCell ref="A30:N30"/>
    <mergeCell ref="AC27:AM27"/>
    <mergeCell ref="AK1:AO1"/>
    <mergeCell ref="B1:T1"/>
    <mergeCell ref="J32:S32"/>
    <mergeCell ref="H27:R27"/>
    <mergeCell ref="M34:AM34"/>
    <mergeCell ref="A2:AO2"/>
    <mergeCell ref="A3:AO3"/>
    <mergeCell ref="AH5:AM5"/>
    <mergeCell ref="D6:G6"/>
    <mergeCell ref="D8:G8"/>
    <mergeCell ref="B17:I17"/>
    <mergeCell ref="Z19:AF20"/>
    <mergeCell ref="Z21:AN21"/>
    <mergeCell ref="M21:T21"/>
    <mergeCell ref="K21:L21"/>
    <mergeCell ref="D19:J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>
    <tabColor theme="6" tint="0.79998168889431442"/>
  </sheetPr>
  <dimension ref="A1:R1080"/>
  <sheetViews>
    <sheetView showGridLines="0" showRowColHeaders="0" tabSelected="1" zoomScaleNormal="75" zoomScaleSheetLayoutView="75" workbookViewId="0">
      <selection activeCell="D35" sqref="D35"/>
    </sheetView>
  </sheetViews>
  <sheetFormatPr defaultRowHeight="15" x14ac:dyDescent="0.3"/>
  <cols>
    <col min="1" max="1" width="2.7109375" style="93" customWidth="1"/>
    <col min="2" max="2" width="9.85546875" style="93" customWidth="1"/>
    <col min="3" max="3" width="35.140625" style="93" customWidth="1"/>
    <col min="4" max="4" width="50.7109375" style="93" customWidth="1"/>
    <col min="5" max="5" width="12.28515625" style="93" customWidth="1"/>
    <col min="6" max="7" width="4.7109375" style="93" customWidth="1"/>
    <col min="8" max="8" width="8.7109375" style="94" customWidth="1"/>
    <col min="9" max="9" width="8.7109375" style="93" customWidth="1"/>
    <col min="10" max="10" width="46.42578125" style="93" customWidth="1"/>
    <col min="11" max="11" width="31.42578125" style="93" customWidth="1"/>
    <col min="12" max="12" width="0" style="93" hidden="1" customWidth="1"/>
    <col min="13" max="16384" width="9.140625" style="93"/>
  </cols>
  <sheetData>
    <row r="1" spans="1:18" s="68" customFormat="1" ht="12.75" x14ac:dyDescent="0.2">
      <c r="A1" s="86"/>
      <c r="B1" s="126" t="str">
        <f>FSOL!B1</f>
        <v>APF (IFPUG) - Aplicação</v>
      </c>
      <c r="C1" s="86"/>
      <c r="D1" s="155"/>
      <c r="E1" s="155"/>
      <c r="F1" s="86"/>
      <c r="G1" s="173"/>
      <c r="H1" s="232"/>
      <c r="I1" s="174"/>
      <c r="J1" s="193" t="s">
        <v>373</v>
      </c>
    </row>
    <row r="2" spans="1:18" s="82" customFormat="1" ht="3" customHeight="1" x14ac:dyDescent="0.2">
      <c r="A2" s="84"/>
      <c r="B2" s="84"/>
      <c r="C2" s="84"/>
      <c r="D2" s="84"/>
      <c r="E2" s="84"/>
      <c r="F2" s="84"/>
      <c r="G2" s="84"/>
      <c r="H2" s="85"/>
      <c r="I2" s="84"/>
      <c r="J2" s="84"/>
    </row>
    <row r="3" spans="1:18" s="83" customFormat="1" ht="1.5" customHeight="1" x14ac:dyDescent="0.3">
      <c r="A3" s="146"/>
      <c r="B3" s="146"/>
      <c r="C3" s="146"/>
      <c r="D3" s="146"/>
      <c r="E3" s="146"/>
      <c r="F3" s="146"/>
      <c r="G3" s="146"/>
      <c r="H3" s="191"/>
      <c r="I3" s="146"/>
      <c r="J3" s="146"/>
    </row>
    <row r="4" spans="1:18" s="82" customFormat="1" ht="5.0999999999999996" customHeight="1" x14ac:dyDescent="0.2">
      <c r="A4" s="79"/>
      <c r="B4" s="79"/>
      <c r="C4" s="79"/>
      <c r="D4" s="79"/>
      <c r="E4" s="79"/>
      <c r="F4" s="79"/>
      <c r="G4" s="79"/>
      <c r="H4" s="80"/>
      <c r="I4" s="79"/>
      <c r="J4" s="79"/>
    </row>
    <row r="5" spans="1:18" s="75" customFormat="1" ht="14.25" hidden="1" customHeight="1" thickBot="1" x14ac:dyDescent="0.35">
      <c r="A5" s="79"/>
      <c r="B5" s="79"/>
      <c r="C5" s="79"/>
      <c r="D5" s="79"/>
      <c r="E5" s="79"/>
      <c r="F5" s="79"/>
      <c r="G5" s="79"/>
      <c r="H5" s="128"/>
      <c r="I5" s="131"/>
    </row>
    <row r="6" spans="1:18" s="81" customFormat="1" ht="15.75" customHeight="1" x14ac:dyDescent="0.35">
      <c r="A6" s="142"/>
      <c r="B6" s="142"/>
      <c r="C6" s="142"/>
      <c r="D6" s="270"/>
      <c r="E6" s="270"/>
      <c r="F6" s="270"/>
      <c r="G6" s="142"/>
      <c r="H6" s="290"/>
      <c r="I6" s="144"/>
      <c r="J6" s="290"/>
    </row>
    <row r="7" spans="1:18" s="72" customFormat="1" ht="18.75" hidden="1" customHeight="1" x14ac:dyDescent="0.3">
      <c r="A7" s="142"/>
      <c r="B7" s="142"/>
      <c r="C7" s="142"/>
      <c r="D7" s="142"/>
      <c r="E7" s="142"/>
      <c r="F7" s="142"/>
      <c r="G7" s="142"/>
      <c r="H7" s="290"/>
      <c r="I7" s="144"/>
      <c r="J7" s="290"/>
    </row>
    <row r="8" spans="1:18" s="78" customFormat="1" ht="18.75" customHeight="1" x14ac:dyDescent="0.35">
      <c r="A8" s="142"/>
      <c r="B8" s="142"/>
      <c r="C8" s="142"/>
      <c r="D8" s="175"/>
      <c r="E8" s="175"/>
      <c r="F8" s="175"/>
      <c r="G8" s="142"/>
      <c r="H8" s="290"/>
      <c r="I8" s="145"/>
      <c r="J8" s="290"/>
    </row>
    <row r="9" spans="1:18" s="72" customFormat="1" ht="12.75" customHeight="1" x14ac:dyDescent="0.3">
      <c r="A9" s="73"/>
      <c r="B9" s="73"/>
      <c r="C9" s="73"/>
      <c r="D9" s="73"/>
      <c r="E9" s="73"/>
      <c r="F9" s="73"/>
      <c r="G9" s="73"/>
      <c r="H9" s="129"/>
      <c r="I9" s="132"/>
      <c r="J9" s="129"/>
    </row>
    <row r="10" spans="1:18" s="72" customFormat="1" ht="6.75" customHeight="1" x14ac:dyDescent="0.3">
      <c r="A10" s="133"/>
      <c r="B10" s="180"/>
      <c r="C10" s="180"/>
      <c r="D10" s="133"/>
      <c r="E10" s="133"/>
      <c r="F10" s="133"/>
      <c r="G10" s="133"/>
      <c r="H10" s="134"/>
      <c r="I10" s="135"/>
      <c r="J10" s="134"/>
    </row>
    <row r="11" spans="1:18" s="72" customFormat="1" ht="12.75" customHeight="1" x14ac:dyDescent="0.3">
      <c r="A11" s="133"/>
      <c r="B11" s="183" t="str">
        <f>CONCATENATE("FUNÇÕES DE DADOS (",I1018," de ",RESULTADO!I20," PF)")</f>
        <v>FUNÇÕES DE DADOS (161 de 847 PF)</v>
      </c>
      <c r="C11" s="136"/>
      <c r="D11" s="137"/>
      <c r="E11" s="138"/>
      <c r="F11" s="291" t="s">
        <v>388</v>
      </c>
      <c r="G11" s="291"/>
      <c r="H11" s="291"/>
      <c r="K11" s="89"/>
      <c r="L11" s="90"/>
      <c r="M11" s="90"/>
      <c r="N11" s="90"/>
      <c r="O11" s="90"/>
      <c r="P11" s="90"/>
      <c r="Q11" s="90"/>
      <c r="R11" s="90"/>
    </row>
    <row r="12" spans="1:18" s="72" customFormat="1" ht="12.75" hidden="1" customHeight="1" x14ac:dyDescent="0.3">
      <c r="A12" s="133"/>
      <c r="B12" s="136" t="b">
        <v>0</v>
      </c>
      <c r="C12" s="136"/>
      <c r="D12" s="137"/>
      <c r="E12" s="138"/>
      <c r="F12" s="136"/>
      <c r="G12" s="138"/>
      <c r="H12" s="148"/>
      <c r="I12" s="135"/>
      <c r="K12" s="89"/>
      <c r="L12" s="90"/>
      <c r="M12" s="90"/>
      <c r="N12" s="90"/>
      <c r="O12" s="90"/>
      <c r="P12" s="90"/>
      <c r="Q12" s="90"/>
      <c r="R12" s="90"/>
    </row>
    <row r="13" spans="1:18" s="72" customFormat="1" ht="3" customHeight="1" x14ac:dyDescent="0.3">
      <c r="A13" s="133"/>
      <c r="B13" s="133"/>
      <c r="C13" s="133"/>
      <c r="D13" s="133"/>
      <c r="E13" s="133"/>
      <c r="F13" s="133"/>
      <c r="G13" s="133"/>
      <c r="H13" s="134"/>
      <c r="I13" s="135"/>
      <c r="K13" s="89"/>
      <c r="L13" s="90"/>
      <c r="M13" s="90"/>
      <c r="N13" s="90"/>
      <c r="O13" s="90"/>
      <c r="P13" s="90"/>
      <c r="Q13" s="90"/>
      <c r="R13" s="90"/>
    </row>
    <row r="14" spans="1:18" s="72" customFormat="1" ht="3" customHeight="1" x14ac:dyDescent="0.3">
      <c r="A14" s="177"/>
      <c r="B14" s="177"/>
      <c r="C14" s="177"/>
      <c r="D14" s="177"/>
      <c r="E14" s="76"/>
      <c r="F14" s="76"/>
      <c r="G14" s="76"/>
      <c r="H14" s="77"/>
      <c r="I14" s="76"/>
      <c r="J14" s="76"/>
    </row>
    <row r="15" spans="1:18" s="87" customFormat="1" ht="25.5" customHeight="1" thickBot="1" x14ac:dyDescent="0.35">
      <c r="A15" s="140"/>
      <c r="B15" s="140"/>
      <c r="C15" s="292"/>
      <c r="D15" s="292"/>
      <c r="E15" s="292"/>
      <c r="F15" s="292"/>
      <c r="G15" s="292"/>
      <c r="H15" s="292"/>
      <c r="I15" s="292"/>
      <c r="J15" s="233"/>
      <c r="K15" s="89"/>
      <c r="L15" s="90"/>
      <c r="M15" s="90"/>
      <c r="N15" s="90"/>
      <c r="O15" s="90"/>
      <c r="P15" s="90"/>
      <c r="Q15" s="90"/>
      <c r="R15" s="90"/>
    </row>
    <row r="16" spans="1:18" s="88" customFormat="1" ht="19.5" customHeight="1" thickBot="1" x14ac:dyDescent="0.35">
      <c r="A16" s="141"/>
      <c r="B16" s="149" t="s">
        <v>454</v>
      </c>
      <c r="C16" s="150" t="s">
        <v>533</v>
      </c>
      <c r="D16" s="151" t="s">
        <v>385</v>
      </c>
      <c r="E16" s="152" t="s">
        <v>448</v>
      </c>
      <c r="F16" s="152" t="s">
        <v>389</v>
      </c>
      <c r="G16" s="152" t="s">
        <v>386</v>
      </c>
      <c r="H16" s="153" t="s">
        <v>426</v>
      </c>
      <c r="I16" s="150" t="s">
        <v>227</v>
      </c>
      <c r="J16" s="192" t="s">
        <v>387</v>
      </c>
      <c r="K16" s="234"/>
      <c r="L16" s="90"/>
      <c r="M16" s="90"/>
      <c r="N16" s="90"/>
      <c r="O16" s="90"/>
      <c r="P16" s="90"/>
      <c r="Q16" s="90"/>
      <c r="R16" s="90"/>
    </row>
    <row r="17" spans="1:18" s="89" customFormat="1" ht="15.95" customHeight="1" x14ac:dyDescent="0.3">
      <c r="A17" s="141"/>
      <c r="B17" s="160">
        <v>1</v>
      </c>
      <c r="C17" s="224"/>
      <c r="D17" s="213" t="s">
        <v>565</v>
      </c>
      <c r="E17" s="215" t="s">
        <v>152</v>
      </c>
      <c r="F17" s="214">
        <v>1</v>
      </c>
      <c r="G17" s="214">
        <v>20</v>
      </c>
      <c r="H17" s="74" t="str">
        <f>ObterComplexidadeFuncao(E17,F17,G17)</f>
        <v>Baixa</v>
      </c>
      <c r="I17" s="188">
        <f>ObterContribuicaoFuncao(E17,H17)</f>
        <v>7</v>
      </c>
      <c r="J17" s="221"/>
      <c r="L17" s="90"/>
      <c r="M17" s="90"/>
      <c r="N17" s="90"/>
      <c r="O17" s="90"/>
      <c r="P17" s="90"/>
      <c r="Q17" s="90"/>
      <c r="R17" s="90"/>
    </row>
    <row r="18" spans="1:18" s="90" customFormat="1" ht="15.95" customHeight="1" x14ac:dyDescent="0.3">
      <c r="A18" s="141"/>
      <c r="B18" s="160">
        <v>2</v>
      </c>
      <c r="C18" s="224"/>
      <c r="D18" s="213" t="s">
        <v>589</v>
      </c>
      <c r="E18" s="215" t="s">
        <v>152</v>
      </c>
      <c r="F18" s="214">
        <v>1</v>
      </c>
      <c r="G18" s="214">
        <v>20</v>
      </c>
      <c r="H18" s="74" t="str">
        <f t="shared" ref="H18:H81" si="0">ObterComplexidadeFuncao(E18,F18,G18)</f>
        <v>Baixa</v>
      </c>
      <c r="I18" s="188">
        <f t="shared" ref="I18:I81" si="1">ObterContribuicaoFuncao(E18,H18)</f>
        <v>7</v>
      </c>
      <c r="J18" s="221"/>
      <c r="K18" s="89"/>
    </row>
    <row r="19" spans="1:18" s="90" customFormat="1" ht="15.95" customHeight="1" x14ac:dyDescent="0.3">
      <c r="A19" s="141"/>
      <c r="B19" s="160">
        <v>3</v>
      </c>
      <c r="C19" s="224"/>
      <c r="D19" s="213" t="s">
        <v>583</v>
      </c>
      <c r="E19" s="215" t="s">
        <v>152</v>
      </c>
      <c r="F19" s="214">
        <v>1</v>
      </c>
      <c r="G19" s="214">
        <v>20</v>
      </c>
      <c r="H19" s="74" t="str">
        <f t="shared" si="0"/>
        <v>Baixa</v>
      </c>
      <c r="I19" s="188">
        <f t="shared" si="1"/>
        <v>7</v>
      </c>
      <c r="J19" s="221"/>
      <c r="K19" s="89"/>
    </row>
    <row r="20" spans="1:18" s="90" customFormat="1" ht="15.95" customHeight="1" x14ac:dyDescent="0.3">
      <c r="A20" s="141"/>
      <c r="B20" s="160">
        <v>4</v>
      </c>
      <c r="C20" s="224"/>
      <c r="D20" s="213" t="s">
        <v>672</v>
      </c>
      <c r="E20" s="215" t="s">
        <v>152</v>
      </c>
      <c r="F20" s="214">
        <v>1</v>
      </c>
      <c r="G20" s="214">
        <v>20</v>
      </c>
      <c r="H20" s="74" t="str">
        <f t="shared" si="0"/>
        <v>Baixa</v>
      </c>
      <c r="I20" s="188">
        <f t="shared" si="1"/>
        <v>7</v>
      </c>
      <c r="J20" s="221"/>
      <c r="K20" s="89"/>
    </row>
    <row r="21" spans="1:18" s="90" customFormat="1" ht="15.95" customHeight="1" x14ac:dyDescent="0.3">
      <c r="A21" s="141"/>
      <c r="B21" s="160">
        <v>5</v>
      </c>
      <c r="C21" s="224"/>
      <c r="D21" s="213" t="s">
        <v>593</v>
      </c>
      <c r="E21" s="215" t="s">
        <v>152</v>
      </c>
      <c r="F21" s="214">
        <v>1</v>
      </c>
      <c r="G21" s="214">
        <v>20</v>
      </c>
      <c r="H21" s="74" t="str">
        <f t="shared" si="0"/>
        <v>Baixa</v>
      </c>
      <c r="I21" s="188">
        <f t="shared" si="1"/>
        <v>7</v>
      </c>
      <c r="J21" s="221"/>
      <c r="K21" s="89"/>
    </row>
    <row r="22" spans="1:18" s="90" customFormat="1" ht="15.95" customHeight="1" x14ac:dyDescent="0.3">
      <c r="A22" s="141"/>
      <c r="B22" s="160">
        <v>6</v>
      </c>
      <c r="C22" s="224"/>
      <c r="D22" s="213" t="s">
        <v>620</v>
      </c>
      <c r="E22" s="215" t="s">
        <v>152</v>
      </c>
      <c r="F22" s="214">
        <v>1</v>
      </c>
      <c r="G22" s="214">
        <v>20</v>
      </c>
      <c r="H22" s="74" t="str">
        <f t="shared" si="0"/>
        <v>Baixa</v>
      </c>
      <c r="I22" s="188">
        <f t="shared" si="1"/>
        <v>7</v>
      </c>
      <c r="J22" s="221"/>
      <c r="K22" s="89"/>
    </row>
    <row r="23" spans="1:18" s="90" customFormat="1" ht="15.95" customHeight="1" x14ac:dyDescent="0.3">
      <c r="A23" s="141"/>
      <c r="B23" s="160">
        <v>7</v>
      </c>
      <c r="C23" s="224"/>
      <c r="D23" s="213" t="s">
        <v>633</v>
      </c>
      <c r="E23" s="215" t="s">
        <v>152</v>
      </c>
      <c r="F23" s="214">
        <v>1</v>
      </c>
      <c r="G23" s="214">
        <v>20</v>
      </c>
      <c r="H23" s="74" t="str">
        <f t="shared" si="0"/>
        <v>Baixa</v>
      </c>
      <c r="I23" s="188">
        <f t="shared" si="1"/>
        <v>7</v>
      </c>
      <c r="J23" s="221"/>
      <c r="K23" s="89"/>
    </row>
    <row r="24" spans="1:18" s="90" customFormat="1" ht="15.95" customHeight="1" x14ac:dyDescent="0.3">
      <c r="A24" s="141"/>
      <c r="B24" s="160">
        <v>8</v>
      </c>
      <c r="C24" s="224"/>
      <c r="D24" s="213" t="s">
        <v>648</v>
      </c>
      <c r="E24" s="215" t="s">
        <v>152</v>
      </c>
      <c r="F24" s="214">
        <v>1</v>
      </c>
      <c r="G24" s="214">
        <v>20</v>
      </c>
      <c r="H24" s="74" t="str">
        <f t="shared" si="0"/>
        <v>Baixa</v>
      </c>
      <c r="I24" s="188">
        <f t="shared" si="1"/>
        <v>7</v>
      </c>
      <c r="J24" s="221"/>
      <c r="K24" s="89"/>
    </row>
    <row r="25" spans="1:18" s="90" customFormat="1" ht="15.95" customHeight="1" x14ac:dyDescent="0.3">
      <c r="A25" s="141"/>
      <c r="B25" s="160">
        <v>9</v>
      </c>
      <c r="C25" s="224"/>
      <c r="D25" s="213" t="s">
        <v>671</v>
      </c>
      <c r="E25" s="215" t="s">
        <v>152</v>
      </c>
      <c r="F25" s="214">
        <v>1</v>
      </c>
      <c r="G25" s="214">
        <v>20</v>
      </c>
      <c r="H25" s="74" t="str">
        <f t="shared" si="0"/>
        <v>Baixa</v>
      </c>
      <c r="I25" s="188">
        <f t="shared" si="1"/>
        <v>7</v>
      </c>
      <c r="J25" s="221"/>
      <c r="K25" s="89"/>
    </row>
    <row r="26" spans="1:18" s="90" customFormat="1" ht="15.95" customHeight="1" x14ac:dyDescent="0.3">
      <c r="A26" s="141"/>
      <c r="B26" s="160">
        <v>10</v>
      </c>
      <c r="C26" s="224"/>
      <c r="D26" s="213" t="s">
        <v>678</v>
      </c>
      <c r="E26" s="215" t="s">
        <v>152</v>
      </c>
      <c r="F26" s="214">
        <v>1</v>
      </c>
      <c r="G26" s="214">
        <v>20</v>
      </c>
      <c r="H26" s="74" t="str">
        <f t="shared" si="0"/>
        <v>Baixa</v>
      </c>
      <c r="I26" s="188">
        <f t="shared" si="1"/>
        <v>7</v>
      </c>
      <c r="J26" s="221"/>
      <c r="K26" s="89"/>
    </row>
    <row r="27" spans="1:18" s="90" customFormat="1" ht="15.95" customHeight="1" x14ac:dyDescent="0.3">
      <c r="A27" s="141"/>
      <c r="B27" s="160">
        <v>11</v>
      </c>
      <c r="C27" s="224"/>
      <c r="D27" s="213" t="s">
        <v>684</v>
      </c>
      <c r="E27" s="215" t="s">
        <v>152</v>
      </c>
      <c r="F27" s="214">
        <v>1</v>
      </c>
      <c r="G27" s="214">
        <v>20</v>
      </c>
      <c r="H27" s="74" t="str">
        <f t="shared" si="0"/>
        <v>Baixa</v>
      </c>
      <c r="I27" s="188">
        <f t="shared" si="1"/>
        <v>7</v>
      </c>
      <c r="J27" s="221"/>
    </row>
    <row r="28" spans="1:18" s="90" customFormat="1" ht="14.25" x14ac:dyDescent="0.3">
      <c r="A28" s="141"/>
      <c r="B28" s="160">
        <v>12</v>
      </c>
      <c r="C28" s="224"/>
      <c r="D28" s="213" t="s">
        <v>690</v>
      </c>
      <c r="E28" s="215" t="s">
        <v>152</v>
      </c>
      <c r="F28" s="214">
        <v>1</v>
      </c>
      <c r="G28" s="214">
        <v>20</v>
      </c>
      <c r="H28" s="74" t="str">
        <f t="shared" si="0"/>
        <v>Baixa</v>
      </c>
      <c r="I28" s="188">
        <f t="shared" si="1"/>
        <v>7</v>
      </c>
      <c r="J28" s="221"/>
    </row>
    <row r="29" spans="1:18" s="90" customFormat="1" ht="14.25" x14ac:dyDescent="0.3">
      <c r="A29" s="141"/>
      <c r="B29" s="160">
        <v>13</v>
      </c>
      <c r="C29" s="224"/>
      <c r="D29" s="213" t="s">
        <v>691</v>
      </c>
      <c r="E29" s="215" t="s">
        <v>152</v>
      </c>
      <c r="F29" s="214">
        <v>1</v>
      </c>
      <c r="G29" s="214">
        <v>20</v>
      </c>
      <c r="H29" s="74" t="str">
        <f t="shared" si="0"/>
        <v>Baixa</v>
      </c>
      <c r="I29" s="188">
        <f t="shared" si="1"/>
        <v>7</v>
      </c>
      <c r="J29" s="221"/>
    </row>
    <row r="30" spans="1:18" s="90" customFormat="1" ht="14.25" x14ac:dyDescent="0.3">
      <c r="A30" s="141"/>
      <c r="B30" s="160">
        <v>14</v>
      </c>
      <c r="C30" s="224"/>
      <c r="D30" s="213" t="s">
        <v>692</v>
      </c>
      <c r="E30" s="215" t="s">
        <v>152</v>
      </c>
      <c r="F30" s="214">
        <v>1</v>
      </c>
      <c r="G30" s="214">
        <v>20</v>
      </c>
      <c r="H30" s="74" t="str">
        <f t="shared" si="0"/>
        <v>Baixa</v>
      </c>
      <c r="I30" s="188">
        <f t="shared" si="1"/>
        <v>7</v>
      </c>
      <c r="J30" s="221"/>
    </row>
    <row r="31" spans="1:18" s="90" customFormat="1" ht="14.25" x14ac:dyDescent="0.3">
      <c r="A31" s="141"/>
      <c r="B31" s="160">
        <v>15</v>
      </c>
      <c r="C31" s="224"/>
      <c r="D31" s="213" t="s">
        <v>693</v>
      </c>
      <c r="E31" s="215" t="s">
        <v>152</v>
      </c>
      <c r="F31" s="214">
        <v>1</v>
      </c>
      <c r="G31" s="214">
        <v>20</v>
      </c>
      <c r="H31" s="74" t="str">
        <f t="shared" si="0"/>
        <v>Baixa</v>
      </c>
      <c r="I31" s="188">
        <f t="shared" si="1"/>
        <v>7</v>
      </c>
      <c r="J31" s="221"/>
    </row>
    <row r="32" spans="1:18" s="90" customFormat="1" ht="14.25" x14ac:dyDescent="0.3">
      <c r="A32" s="141"/>
      <c r="B32" s="160">
        <v>16</v>
      </c>
      <c r="C32" s="224"/>
      <c r="D32" s="213" t="s">
        <v>694</v>
      </c>
      <c r="E32" s="215" t="s">
        <v>152</v>
      </c>
      <c r="F32" s="214">
        <v>1</v>
      </c>
      <c r="G32" s="214">
        <v>20</v>
      </c>
      <c r="H32" s="74" t="str">
        <f t="shared" si="0"/>
        <v>Baixa</v>
      </c>
      <c r="I32" s="188">
        <f t="shared" si="1"/>
        <v>7</v>
      </c>
      <c r="J32" s="221"/>
    </row>
    <row r="33" spans="1:10" s="90" customFormat="1" ht="14.25" x14ac:dyDescent="0.3">
      <c r="A33" s="141"/>
      <c r="B33" s="160">
        <v>17</v>
      </c>
      <c r="C33" s="224"/>
      <c r="D33" s="213" t="s">
        <v>695</v>
      </c>
      <c r="E33" s="215" t="s">
        <v>152</v>
      </c>
      <c r="F33" s="214">
        <v>1</v>
      </c>
      <c r="G33" s="214">
        <v>20</v>
      </c>
      <c r="H33" s="74" t="str">
        <f t="shared" si="0"/>
        <v>Baixa</v>
      </c>
      <c r="I33" s="188">
        <f t="shared" si="1"/>
        <v>7</v>
      </c>
      <c r="J33" s="221"/>
    </row>
    <row r="34" spans="1:10" s="90" customFormat="1" ht="14.25" x14ac:dyDescent="0.3">
      <c r="A34" s="141"/>
      <c r="B34" s="160">
        <v>18</v>
      </c>
      <c r="C34" s="224"/>
      <c r="D34" s="213" t="s">
        <v>696</v>
      </c>
      <c r="E34" s="215" t="s">
        <v>152</v>
      </c>
      <c r="F34" s="214">
        <v>1</v>
      </c>
      <c r="G34" s="214">
        <v>20</v>
      </c>
      <c r="H34" s="74" t="str">
        <f t="shared" si="0"/>
        <v>Baixa</v>
      </c>
      <c r="I34" s="188">
        <f t="shared" si="1"/>
        <v>7</v>
      </c>
      <c r="J34" s="221"/>
    </row>
    <row r="35" spans="1:10" s="90" customFormat="1" ht="14.25" x14ac:dyDescent="0.3">
      <c r="A35" s="141"/>
      <c r="B35" s="160">
        <v>19</v>
      </c>
      <c r="C35" s="224"/>
      <c r="D35" s="213" t="s">
        <v>697</v>
      </c>
      <c r="E35" s="215" t="s">
        <v>152</v>
      </c>
      <c r="F35" s="214">
        <v>1</v>
      </c>
      <c r="G35" s="214">
        <v>20</v>
      </c>
      <c r="H35" s="74" t="str">
        <f t="shared" si="0"/>
        <v>Baixa</v>
      </c>
      <c r="I35" s="188">
        <f t="shared" si="1"/>
        <v>7</v>
      </c>
      <c r="J35" s="221"/>
    </row>
    <row r="36" spans="1:10" s="90" customFormat="1" ht="14.25" x14ac:dyDescent="0.3">
      <c r="A36" s="141"/>
      <c r="B36" s="160">
        <v>20</v>
      </c>
      <c r="C36" s="224"/>
      <c r="D36" s="213" t="s">
        <v>698</v>
      </c>
      <c r="E36" s="215" t="s">
        <v>152</v>
      </c>
      <c r="F36" s="214">
        <v>1</v>
      </c>
      <c r="G36" s="214">
        <v>20</v>
      </c>
      <c r="H36" s="74" t="str">
        <f t="shared" si="0"/>
        <v>Baixa</v>
      </c>
      <c r="I36" s="188">
        <f t="shared" si="1"/>
        <v>7</v>
      </c>
      <c r="J36" s="221"/>
    </row>
    <row r="37" spans="1:10" s="90" customFormat="1" ht="14.25" x14ac:dyDescent="0.3">
      <c r="A37" s="141"/>
      <c r="B37" s="160">
        <v>21</v>
      </c>
      <c r="C37" s="224"/>
      <c r="D37" s="213" t="s">
        <v>721</v>
      </c>
      <c r="E37" s="215" t="s">
        <v>152</v>
      </c>
      <c r="F37" s="214">
        <v>1</v>
      </c>
      <c r="G37" s="214">
        <v>20</v>
      </c>
      <c r="H37" s="74" t="str">
        <f t="shared" si="0"/>
        <v>Baixa</v>
      </c>
      <c r="I37" s="188">
        <f t="shared" si="1"/>
        <v>7</v>
      </c>
      <c r="J37" s="221"/>
    </row>
    <row r="38" spans="1:10" s="90" customFormat="1" ht="14.25" x14ac:dyDescent="0.3">
      <c r="A38" s="141"/>
      <c r="B38" s="160">
        <v>22</v>
      </c>
      <c r="C38" s="224"/>
      <c r="D38" s="213" t="s">
        <v>725</v>
      </c>
      <c r="E38" s="215" t="s">
        <v>152</v>
      </c>
      <c r="F38" s="214">
        <v>1</v>
      </c>
      <c r="G38" s="214">
        <v>20</v>
      </c>
      <c r="H38" s="74" t="str">
        <f t="shared" si="0"/>
        <v>Baixa</v>
      </c>
      <c r="I38" s="188">
        <f t="shared" si="1"/>
        <v>7</v>
      </c>
      <c r="J38" s="221"/>
    </row>
    <row r="39" spans="1:10" s="90" customFormat="1" ht="14.25" x14ac:dyDescent="0.3">
      <c r="A39" s="141"/>
      <c r="B39" s="160">
        <v>23</v>
      </c>
      <c r="C39" s="224"/>
      <c r="D39" s="213" t="s">
        <v>753</v>
      </c>
      <c r="E39" s="215" t="s">
        <v>152</v>
      </c>
      <c r="F39" s="214">
        <v>1</v>
      </c>
      <c r="G39" s="214">
        <v>20</v>
      </c>
      <c r="H39" s="74" t="str">
        <f t="shared" si="0"/>
        <v>Baixa</v>
      </c>
      <c r="I39" s="188">
        <f t="shared" si="1"/>
        <v>7</v>
      </c>
      <c r="J39" s="221"/>
    </row>
    <row r="40" spans="1:10" s="90" customFormat="1" ht="14.25" x14ac:dyDescent="0.3">
      <c r="A40" s="141"/>
      <c r="B40" s="160">
        <v>24</v>
      </c>
      <c r="C40" s="224"/>
      <c r="D40" s="213"/>
      <c r="E40" s="215"/>
      <c r="F40" s="214"/>
      <c r="G40" s="214"/>
      <c r="H40" s="74" t="str">
        <f t="shared" si="0"/>
        <v/>
      </c>
      <c r="I40" s="188" t="str">
        <f t="shared" si="1"/>
        <v/>
      </c>
      <c r="J40" s="221"/>
    </row>
    <row r="41" spans="1:10" s="90" customFormat="1" ht="14.25" x14ac:dyDescent="0.3">
      <c r="A41" s="141"/>
      <c r="B41" s="160">
        <v>25</v>
      </c>
      <c r="C41" s="224"/>
      <c r="D41" s="213"/>
      <c r="E41" s="215"/>
      <c r="F41" s="214"/>
      <c r="G41" s="214"/>
      <c r="H41" s="74" t="str">
        <f t="shared" si="0"/>
        <v/>
      </c>
      <c r="I41" s="188" t="str">
        <f t="shared" si="1"/>
        <v/>
      </c>
      <c r="J41" s="221"/>
    </row>
    <row r="42" spans="1:10" s="90" customFormat="1" ht="14.25" x14ac:dyDescent="0.3">
      <c r="A42" s="141"/>
      <c r="B42" s="160">
        <v>26</v>
      </c>
      <c r="C42" s="224"/>
      <c r="D42" s="213"/>
      <c r="E42" s="215"/>
      <c r="F42" s="214"/>
      <c r="G42" s="214"/>
      <c r="H42" s="74" t="str">
        <f t="shared" si="0"/>
        <v/>
      </c>
      <c r="I42" s="188" t="str">
        <f t="shared" si="1"/>
        <v/>
      </c>
      <c r="J42" s="221"/>
    </row>
    <row r="43" spans="1:10" s="90" customFormat="1" ht="14.25" x14ac:dyDescent="0.3">
      <c r="A43" s="141"/>
      <c r="B43" s="160">
        <v>27</v>
      </c>
      <c r="C43" s="224"/>
      <c r="D43" s="213"/>
      <c r="E43" s="215"/>
      <c r="F43" s="214"/>
      <c r="G43" s="214"/>
      <c r="H43" s="74" t="str">
        <f t="shared" si="0"/>
        <v/>
      </c>
      <c r="I43" s="188" t="str">
        <f t="shared" si="1"/>
        <v/>
      </c>
      <c r="J43" s="221"/>
    </row>
    <row r="44" spans="1:10" s="90" customFormat="1" ht="14.25" x14ac:dyDescent="0.3">
      <c r="A44" s="141"/>
      <c r="B44" s="160">
        <v>28</v>
      </c>
      <c r="C44" s="224"/>
      <c r="D44" s="213"/>
      <c r="E44" s="215"/>
      <c r="F44" s="214"/>
      <c r="G44" s="214"/>
      <c r="H44" s="74" t="str">
        <f t="shared" si="0"/>
        <v/>
      </c>
      <c r="I44" s="188" t="str">
        <f t="shared" si="1"/>
        <v/>
      </c>
      <c r="J44" s="221"/>
    </row>
    <row r="45" spans="1:10" s="90" customFormat="1" ht="14.25" x14ac:dyDescent="0.3">
      <c r="A45" s="141"/>
      <c r="B45" s="160">
        <v>29</v>
      </c>
      <c r="C45" s="224"/>
      <c r="D45" s="213"/>
      <c r="E45" s="215"/>
      <c r="F45" s="214"/>
      <c r="G45" s="214"/>
      <c r="H45" s="74" t="str">
        <f t="shared" si="0"/>
        <v/>
      </c>
      <c r="I45" s="188" t="str">
        <f t="shared" si="1"/>
        <v/>
      </c>
      <c r="J45" s="221"/>
    </row>
    <row r="46" spans="1:10" s="90" customFormat="1" thickBot="1" x14ac:dyDescent="0.35">
      <c r="A46" s="141"/>
      <c r="B46" s="160">
        <v>30</v>
      </c>
      <c r="C46" s="224"/>
      <c r="D46" s="213"/>
      <c r="E46" s="215"/>
      <c r="F46" s="214"/>
      <c r="G46" s="214"/>
      <c r="H46" s="74" t="str">
        <f t="shared" si="0"/>
        <v/>
      </c>
      <c r="I46" s="188" t="str">
        <f t="shared" si="1"/>
        <v/>
      </c>
      <c r="J46" s="221"/>
    </row>
    <row r="47" spans="1:10" s="90" customFormat="1" ht="14.25" hidden="1" x14ac:dyDescent="0.3">
      <c r="A47" s="141"/>
      <c r="B47" s="160">
        <v>31</v>
      </c>
      <c r="C47" s="224"/>
      <c r="D47" s="213"/>
      <c r="E47" s="215"/>
      <c r="F47" s="214"/>
      <c r="G47" s="214"/>
      <c r="H47" s="74" t="str">
        <f t="shared" si="0"/>
        <v/>
      </c>
      <c r="I47" s="188" t="str">
        <f t="shared" si="1"/>
        <v/>
      </c>
      <c r="J47" s="221"/>
    </row>
    <row r="48" spans="1:10" s="90" customFormat="1" ht="14.25" hidden="1" x14ac:dyDescent="0.3">
      <c r="A48" s="141"/>
      <c r="B48" s="160">
        <v>32</v>
      </c>
      <c r="C48" s="224"/>
      <c r="D48" s="213"/>
      <c r="E48" s="215"/>
      <c r="F48" s="214"/>
      <c r="G48" s="214"/>
      <c r="H48" s="74" t="str">
        <f t="shared" si="0"/>
        <v/>
      </c>
      <c r="I48" s="188" t="str">
        <f t="shared" si="1"/>
        <v/>
      </c>
      <c r="J48" s="221"/>
    </row>
    <row r="49" spans="1:10" s="90" customFormat="1" ht="14.25" hidden="1" x14ac:dyDescent="0.3">
      <c r="A49" s="141"/>
      <c r="B49" s="160">
        <v>33</v>
      </c>
      <c r="C49" s="224"/>
      <c r="D49" s="213"/>
      <c r="E49" s="215"/>
      <c r="F49" s="214"/>
      <c r="G49" s="214"/>
      <c r="H49" s="74" t="str">
        <f t="shared" si="0"/>
        <v/>
      </c>
      <c r="I49" s="188" t="str">
        <f t="shared" si="1"/>
        <v/>
      </c>
      <c r="J49" s="221"/>
    </row>
    <row r="50" spans="1:10" s="90" customFormat="1" ht="14.25" hidden="1" x14ac:dyDescent="0.3">
      <c r="A50" s="141"/>
      <c r="B50" s="160">
        <v>34</v>
      </c>
      <c r="C50" s="224"/>
      <c r="D50" s="213"/>
      <c r="E50" s="215"/>
      <c r="F50" s="214"/>
      <c r="G50" s="214"/>
      <c r="H50" s="74" t="str">
        <f t="shared" si="0"/>
        <v/>
      </c>
      <c r="I50" s="188" t="str">
        <f t="shared" si="1"/>
        <v/>
      </c>
      <c r="J50" s="221"/>
    </row>
    <row r="51" spans="1:10" s="90" customFormat="1" ht="14.25" hidden="1" x14ac:dyDescent="0.3">
      <c r="A51" s="141"/>
      <c r="B51" s="160">
        <v>35</v>
      </c>
      <c r="C51" s="224"/>
      <c r="D51" s="213"/>
      <c r="E51" s="215"/>
      <c r="F51" s="214"/>
      <c r="G51" s="214"/>
      <c r="H51" s="74" t="str">
        <f t="shared" si="0"/>
        <v/>
      </c>
      <c r="I51" s="188" t="str">
        <f t="shared" si="1"/>
        <v/>
      </c>
      <c r="J51" s="221"/>
    </row>
    <row r="52" spans="1:10" s="90" customFormat="1" ht="14.25" hidden="1" x14ac:dyDescent="0.3">
      <c r="A52" s="141"/>
      <c r="B52" s="160">
        <v>36</v>
      </c>
      <c r="C52" s="224"/>
      <c r="D52" s="213"/>
      <c r="E52" s="215"/>
      <c r="F52" s="214"/>
      <c r="G52" s="214"/>
      <c r="H52" s="74" t="str">
        <f t="shared" si="0"/>
        <v/>
      </c>
      <c r="I52" s="188" t="str">
        <f t="shared" si="1"/>
        <v/>
      </c>
      <c r="J52" s="221"/>
    </row>
    <row r="53" spans="1:10" s="90" customFormat="1" ht="14.25" hidden="1" x14ac:dyDescent="0.3">
      <c r="A53" s="141"/>
      <c r="B53" s="160">
        <v>37</v>
      </c>
      <c r="C53" s="224"/>
      <c r="D53" s="213"/>
      <c r="E53" s="215"/>
      <c r="F53" s="214"/>
      <c r="G53" s="214"/>
      <c r="H53" s="74" t="str">
        <f t="shared" si="0"/>
        <v/>
      </c>
      <c r="I53" s="188" t="str">
        <f t="shared" si="1"/>
        <v/>
      </c>
      <c r="J53" s="221"/>
    </row>
    <row r="54" spans="1:10" s="90" customFormat="1" ht="14.25" hidden="1" x14ac:dyDescent="0.3">
      <c r="A54" s="141"/>
      <c r="B54" s="160">
        <v>38</v>
      </c>
      <c r="C54" s="224"/>
      <c r="D54" s="213"/>
      <c r="E54" s="215"/>
      <c r="F54" s="214"/>
      <c r="G54" s="214"/>
      <c r="H54" s="74" t="str">
        <f t="shared" si="0"/>
        <v/>
      </c>
      <c r="I54" s="188" t="str">
        <f t="shared" si="1"/>
        <v/>
      </c>
      <c r="J54" s="221"/>
    </row>
    <row r="55" spans="1:10" s="90" customFormat="1" ht="14.25" hidden="1" x14ac:dyDescent="0.3">
      <c r="A55" s="141"/>
      <c r="B55" s="160">
        <v>39</v>
      </c>
      <c r="C55" s="224"/>
      <c r="D55" s="213"/>
      <c r="E55" s="215"/>
      <c r="F55" s="214"/>
      <c r="G55" s="214"/>
      <c r="H55" s="74" t="str">
        <f t="shared" si="0"/>
        <v/>
      </c>
      <c r="I55" s="188" t="str">
        <f t="shared" si="1"/>
        <v/>
      </c>
      <c r="J55" s="221"/>
    </row>
    <row r="56" spans="1:10" s="90" customFormat="1" ht="14.25" hidden="1" x14ac:dyDescent="0.3">
      <c r="A56" s="141"/>
      <c r="B56" s="160">
        <v>40</v>
      </c>
      <c r="C56" s="224"/>
      <c r="D56" s="213"/>
      <c r="E56" s="215"/>
      <c r="F56" s="214"/>
      <c r="G56" s="214"/>
      <c r="H56" s="74" t="str">
        <f t="shared" si="0"/>
        <v/>
      </c>
      <c r="I56" s="188" t="str">
        <f t="shared" si="1"/>
        <v/>
      </c>
      <c r="J56" s="221"/>
    </row>
    <row r="57" spans="1:10" s="90" customFormat="1" ht="14.25" hidden="1" x14ac:dyDescent="0.3">
      <c r="A57" s="141"/>
      <c r="B57" s="160">
        <v>41</v>
      </c>
      <c r="C57" s="224"/>
      <c r="D57" s="213"/>
      <c r="E57" s="215"/>
      <c r="F57" s="214"/>
      <c r="G57" s="214"/>
      <c r="H57" s="74" t="str">
        <f t="shared" si="0"/>
        <v/>
      </c>
      <c r="I57" s="188" t="str">
        <f t="shared" si="1"/>
        <v/>
      </c>
      <c r="J57" s="221"/>
    </row>
    <row r="58" spans="1:10" s="90" customFormat="1" ht="14.25" hidden="1" x14ac:dyDescent="0.3">
      <c r="A58" s="141"/>
      <c r="B58" s="160">
        <v>42</v>
      </c>
      <c r="C58" s="224"/>
      <c r="D58" s="213"/>
      <c r="E58" s="215"/>
      <c r="F58" s="214"/>
      <c r="G58" s="214"/>
      <c r="H58" s="74" t="str">
        <f t="shared" si="0"/>
        <v/>
      </c>
      <c r="I58" s="188" t="str">
        <f t="shared" si="1"/>
        <v/>
      </c>
      <c r="J58" s="221"/>
    </row>
    <row r="59" spans="1:10" s="90" customFormat="1" ht="14.25" hidden="1" x14ac:dyDescent="0.3">
      <c r="A59" s="141"/>
      <c r="B59" s="160">
        <v>43</v>
      </c>
      <c r="C59" s="224"/>
      <c r="D59" s="213"/>
      <c r="E59" s="215"/>
      <c r="F59" s="214"/>
      <c r="G59" s="214"/>
      <c r="H59" s="74" t="str">
        <f t="shared" si="0"/>
        <v/>
      </c>
      <c r="I59" s="188" t="str">
        <f t="shared" si="1"/>
        <v/>
      </c>
      <c r="J59" s="221"/>
    </row>
    <row r="60" spans="1:10" s="90" customFormat="1" ht="14.25" hidden="1" x14ac:dyDescent="0.3">
      <c r="A60" s="141"/>
      <c r="B60" s="160">
        <v>44</v>
      </c>
      <c r="C60" s="224"/>
      <c r="D60" s="213"/>
      <c r="E60" s="215"/>
      <c r="F60" s="214"/>
      <c r="G60" s="214"/>
      <c r="H60" s="74" t="str">
        <f t="shared" si="0"/>
        <v/>
      </c>
      <c r="I60" s="188" t="str">
        <f t="shared" si="1"/>
        <v/>
      </c>
      <c r="J60" s="221"/>
    </row>
    <row r="61" spans="1:10" s="90" customFormat="1" ht="14.25" hidden="1" x14ac:dyDescent="0.3">
      <c r="A61" s="141"/>
      <c r="B61" s="160">
        <v>45</v>
      </c>
      <c r="C61" s="224"/>
      <c r="D61" s="213"/>
      <c r="E61" s="215"/>
      <c r="F61" s="214"/>
      <c r="G61" s="214"/>
      <c r="H61" s="74" t="str">
        <f t="shared" si="0"/>
        <v/>
      </c>
      <c r="I61" s="188" t="str">
        <f t="shared" si="1"/>
        <v/>
      </c>
      <c r="J61" s="221"/>
    </row>
    <row r="62" spans="1:10" s="90" customFormat="1" ht="14.25" hidden="1" x14ac:dyDescent="0.3">
      <c r="A62" s="141"/>
      <c r="B62" s="160">
        <v>46</v>
      </c>
      <c r="C62" s="224"/>
      <c r="D62" s="213"/>
      <c r="E62" s="215"/>
      <c r="F62" s="214"/>
      <c r="G62" s="214"/>
      <c r="H62" s="74" t="str">
        <f t="shared" si="0"/>
        <v/>
      </c>
      <c r="I62" s="188" t="str">
        <f t="shared" si="1"/>
        <v/>
      </c>
      <c r="J62" s="221"/>
    </row>
    <row r="63" spans="1:10" s="90" customFormat="1" ht="14.25" hidden="1" x14ac:dyDescent="0.3">
      <c r="A63" s="141"/>
      <c r="B63" s="160">
        <v>47</v>
      </c>
      <c r="C63" s="224"/>
      <c r="D63" s="213"/>
      <c r="E63" s="215"/>
      <c r="F63" s="214"/>
      <c r="G63" s="214"/>
      <c r="H63" s="74" t="str">
        <f t="shared" si="0"/>
        <v/>
      </c>
      <c r="I63" s="188" t="str">
        <f t="shared" si="1"/>
        <v/>
      </c>
      <c r="J63" s="221"/>
    </row>
    <row r="64" spans="1:10" s="90" customFormat="1" ht="14.25" hidden="1" x14ac:dyDescent="0.3">
      <c r="A64" s="141"/>
      <c r="B64" s="160">
        <v>48</v>
      </c>
      <c r="C64" s="224"/>
      <c r="D64" s="213"/>
      <c r="E64" s="215"/>
      <c r="F64" s="214"/>
      <c r="G64" s="214"/>
      <c r="H64" s="74" t="str">
        <f t="shared" si="0"/>
        <v/>
      </c>
      <c r="I64" s="188" t="str">
        <f t="shared" si="1"/>
        <v/>
      </c>
      <c r="J64" s="221"/>
    </row>
    <row r="65" spans="1:10" s="90" customFormat="1" ht="14.25" hidden="1" x14ac:dyDescent="0.3">
      <c r="A65" s="141"/>
      <c r="B65" s="160">
        <v>49</v>
      </c>
      <c r="C65" s="224"/>
      <c r="D65" s="213"/>
      <c r="E65" s="215"/>
      <c r="F65" s="214"/>
      <c r="G65" s="214"/>
      <c r="H65" s="74" t="str">
        <f t="shared" si="0"/>
        <v/>
      </c>
      <c r="I65" s="188" t="str">
        <f t="shared" si="1"/>
        <v/>
      </c>
      <c r="J65" s="221"/>
    </row>
    <row r="66" spans="1:10" s="90" customFormat="1" hidden="1" thickBot="1" x14ac:dyDescent="0.35">
      <c r="A66" s="141"/>
      <c r="B66" s="160">
        <v>50</v>
      </c>
      <c r="C66" s="224"/>
      <c r="D66" s="213"/>
      <c r="E66" s="215"/>
      <c r="F66" s="214"/>
      <c r="G66" s="214"/>
      <c r="H66" s="74" t="str">
        <f t="shared" si="0"/>
        <v/>
      </c>
      <c r="I66" s="188" t="str">
        <f t="shared" si="1"/>
        <v/>
      </c>
      <c r="J66" s="221"/>
    </row>
    <row r="67" spans="1:10" s="90" customFormat="1" ht="14.25" hidden="1" x14ac:dyDescent="0.3">
      <c r="A67" s="141"/>
      <c r="B67" s="160">
        <v>51</v>
      </c>
      <c r="C67" s="224"/>
      <c r="D67" s="213"/>
      <c r="E67" s="215"/>
      <c r="F67" s="214"/>
      <c r="G67" s="214"/>
      <c r="H67" s="74" t="str">
        <f t="shared" si="0"/>
        <v/>
      </c>
      <c r="I67" s="188" t="str">
        <f t="shared" si="1"/>
        <v/>
      </c>
      <c r="J67" s="221"/>
    </row>
    <row r="68" spans="1:10" s="90" customFormat="1" ht="14.25" hidden="1" x14ac:dyDescent="0.3">
      <c r="A68" s="141"/>
      <c r="B68" s="160">
        <v>52</v>
      </c>
      <c r="C68" s="224"/>
      <c r="D68" s="213"/>
      <c r="E68" s="215"/>
      <c r="F68" s="214"/>
      <c r="G68" s="214"/>
      <c r="H68" s="74" t="str">
        <f t="shared" si="0"/>
        <v/>
      </c>
      <c r="I68" s="188" t="str">
        <f t="shared" si="1"/>
        <v/>
      </c>
      <c r="J68" s="221"/>
    </row>
    <row r="69" spans="1:10" s="90" customFormat="1" ht="14.25" hidden="1" x14ac:dyDescent="0.3">
      <c r="A69" s="141"/>
      <c r="B69" s="160">
        <v>53</v>
      </c>
      <c r="C69" s="224"/>
      <c r="D69" s="213"/>
      <c r="E69" s="215"/>
      <c r="F69" s="214"/>
      <c r="G69" s="214"/>
      <c r="H69" s="74" t="str">
        <f t="shared" si="0"/>
        <v/>
      </c>
      <c r="I69" s="188" t="str">
        <f t="shared" si="1"/>
        <v/>
      </c>
      <c r="J69" s="221"/>
    </row>
    <row r="70" spans="1:10" s="90" customFormat="1" ht="14.25" hidden="1" x14ac:dyDescent="0.3">
      <c r="A70" s="141"/>
      <c r="B70" s="160">
        <v>54</v>
      </c>
      <c r="C70" s="224"/>
      <c r="D70" s="213"/>
      <c r="E70" s="215"/>
      <c r="F70" s="214"/>
      <c r="G70" s="214"/>
      <c r="H70" s="74" t="str">
        <f t="shared" si="0"/>
        <v/>
      </c>
      <c r="I70" s="188" t="str">
        <f t="shared" si="1"/>
        <v/>
      </c>
      <c r="J70" s="221"/>
    </row>
    <row r="71" spans="1:10" s="90" customFormat="1" ht="14.25" hidden="1" x14ac:dyDescent="0.3">
      <c r="A71" s="141"/>
      <c r="B71" s="160">
        <v>55</v>
      </c>
      <c r="C71" s="224"/>
      <c r="D71" s="213"/>
      <c r="E71" s="215"/>
      <c r="F71" s="214"/>
      <c r="G71" s="214"/>
      <c r="H71" s="74" t="str">
        <f t="shared" si="0"/>
        <v/>
      </c>
      <c r="I71" s="188" t="str">
        <f t="shared" si="1"/>
        <v/>
      </c>
      <c r="J71" s="221"/>
    </row>
    <row r="72" spans="1:10" s="90" customFormat="1" ht="14.25" hidden="1" x14ac:dyDescent="0.3">
      <c r="A72" s="141"/>
      <c r="B72" s="160">
        <v>56</v>
      </c>
      <c r="C72" s="224"/>
      <c r="D72" s="213"/>
      <c r="E72" s="215"/>
      <c r="F72" s="214"/>
      <c r="G72" s="214"/>
      <c r="H72" s="74" t="str">
        <f t="shared" si="0"/>
        <v/>
      </c>
      <c r="I72" s="188" t="str">
        <f t="shared" si="1"/>
        <v/>
      </c>
      <c r="J72" s="221"/>
    </row>
    <row r="73" spans="1:10" s="90" customFormat="1" ht="14.25" hidden="1" x14ac:dyDescent="0.3">
      <c r="A73" s="141"/>
      <c r="B73" s="160">
        <v>57</v>
      </c>
      <c r="C73" s="224"/>
      <c r="D73" s="216"/>
      <c r="E73" s="215"/>
      <c r="F73" s="217"/>
      <c r="G73" s="218"/>
      <c r="H73" s="74" t="str">
        <f t="shared" si="0"/>
        <v/>
      </c>
      <c r="I73" s="188" t="str">
        <f t="shared" si="1"/>
        <v/>
      </c>
      <c r="J73" s="221"/>
    </row>
    <row r="74" spans="1:10" s="90" customFormat="1" ht="14.25" hidden="1" x14ac:dyDescent="0.3">
      <c r="A74" s="141"/>
      <c r="B74" s="160">
        <v>58</v>
      </c>
      <c r="C74" s="224"/>
      <c r="D74" s="213"/>
      <c r="E74" s="215"/>
      <c r="F74" s="214"/>
      <c r="G74" s="214"/>
      <c r="H74" s="74" t="str">
        <f t="shared" si="0"/>
        <v/>
      </c>
      <c r="I74" s="188" t="str">
        <f t="shared" si="1"/>
        <v/>
      </c>
      <c r="J74" s="221"/>
    </row>
    <row r="75" spans="1:10" s="90" customFormat="1" ht="14.25" hidden="1" x14ac:dyDescent="0.3">
      <c r="A75" s="141"/>
      <c r="B75" s="160">
        <v>59</v>
      </c>
      <c r="C75" s="224"/>
      <c r="D75" s="213"/>
      <c r="E75" s="215"/>
      <c r="F75" s="214"/>
      <c r="G75" s="214"/>
      <c r="H75" s="74" t="str">
        <f t="shared" si="0"/>
        <v/>
      </c>
      <c r="I75" s="188" t="str">
        <f t="shared" si="1"/>
        <v/>
      </c>
      <c r="J75" s="221"/>
    </row>
    <row r="76" spans="1:10" s="90" customFormat="1" ht="14.25" hidden="1" x14ac:dyDescent="0.3">
      <c r="A76" s="141"/>
      <c r="B76" s="160">
        <v>60</v>
      </c>
      <c r="C76" s="224"/>
      <c r="D76" s="216"/>
      <c r="E76" s="215"/>
      <c r="F76" s="217"/>
      <c r="G76" s="218"/>
      <c r="H76" s="74" t="str">
        <f t="shared" si="0"/>
        <v/>
      </c>
      <c r="I76" s="188" t="str">
        <f t="shared" si="1"/>
        <v/>
      </c>
      <c r="J76" s="221"/>
    </row>
    <row r="77" spans="1:10" s="90" customFormat="1" ht="14.25" hidden="1" x14ac:dyDescent="0.3">
      <c r="A77" s="141"/>
      <c r="B77" s="160">
        <v>61</v>
      </c>
      <c r="C77" s="224"/>
      <c r="D77" s="213"/>
      <c r="E77" s="215"/>
      <c r="F77" s="214"/>
      <c r="G77" s="214"/>
      <c r="H77" s="74" t="str">
        <f t="shared" si="0"/>
        <v/>
      </c>
      <c r="I77" s="188" t="str">
        <f t="shared" si="1"/>
        <v/>
      </c>
      <c r="J77" s="221"/>
    </row>
    <row r="78" spans="1:10" s="90" customFormat="1" ht="14.25" hidden="1" x14ac:dyDescent="0.3">
      <c r="A78" s="141"/>
      <c r="B78" s="160">
        <v>62</v>
      </c>
      <c r="C78" s="224"/>
      <c r="D78" s="213"/>
      <c r="E78" s="215"/>
      <c r="F78" s="214"/>
      <c r="G78" s="214"/>
      <c r="H78" s="74" t="str">
        <f t="shared" si="0"/>
        <v/>
      </c>
      <c r="I78" s="188" t="str">
        <f t="shared" si="1"/>
        <v/>
      </c>
      <c r="J78" s="221"/>
    </row>
    <row r="79" spans="1:10" s="90" customFormat="1" ht="14.25" hidden="1" x14ac:dyDescent="0.3">
      <c r="A79" s="141"/>
      <c r="B79" s="160">
        <v>63</v>
      </c>
      <c r="C79" s="224"/>
      <c r="D79" s="216"/>
      <c r="E79" s="215"/>
      <c r="F79" s="217"/>
      <c r="G79" s="218"/>
      <c r="H79" s="74" t="str">
        <f t="shared" si="0"/>
        <v/>
      </c>
      <c r="I79" s="188" t="str">
        <f t="shared" si="1"/>
        <v/>
      </c>
      <c r="J79" s="221"/>
    </row>
    <row r="80" spans="1:10" s="90" customFormat="1" ht="14.25" hidden="1" x14ac:dyDescent="0.3">
      <c r="A80" s="141"/>
      <c r="B80" s="160">
        <v>64</v>
      </c>
      <c r="C80" s="224"/>
      <c r="D80" s="213"/>
      <c r="E80" s="215"/>
      <c r="F80" s="214"/>
      <c r="G80" s="214"/>
      <c r="H80" s="74" t="str">
        <f t="shared" si="0"/>
        <v/>
      </c>
      <c r="I80" s="188" t="str">
        <f t="shared" si="1"/>
        <v/>
      </c>
      <c r="J80" s="221"/>
    </row>
    <row r="81" spans="1:10" s="90" customFormat="1" ht="14.25" hidden="1" x14ac:dyDescent="0.3">
      <c r="A81" s="141"/>
      <c r="B81" s="160">
        <v>65</v>
      </c>
      <c r="C81" s="224"/>
      <c r="D81" s="213"/>
      <c r="E81" s="215"/>
      <c r="F81" s="214"/>
      <c r="G81" s="214"/>
      <c r="H81" s="74" t="str">
        <f t="shared" si="0"/>
        <v/>
      </c>
      <c r="I81" s="188" t="str">
        <f t="shared" si="1"/>
        <v/>
      </c>
      <c r="J81" s="221"/>
    </row>
    <row r="82" spans="1:10" s="90" customFormat="1" ht="14.25" hidden="1" x14ac:dyDescent="0.3">
      <c r="A82" s="141"/>
      <c r="B82" s="160">
        <v>66</v>
      </c>
      <c r="C82" s="224"/>
      <c r="D82" s="216"/>
      <c r="E82" s="215"/>
      <c r="F82" s="217"/>
      <c r="G82" s="218"/>
      <c r="H82" s="74" t="str">
        <f t="shared" ref="H82:H145" si="2">ObterComplexidadeFuncao(E82,F82,G82)</f>
        <v/>
      </c>
      <c r="I82" s="188" t="str">
        <f t="shared" ref="I82:I145" si="3">ObterContribuicaoFuncao(E82,H82)</f>
        <v/>
      </c>
      <c r="J82" s="221"/>
    </row>
    <row r="83" spans="1:10" s="90" customFormat="1" ht="14.25" hidden="1" x14ac:dyDescent="0.3">
      <c r="A83" s="141"/>
      <c r="B83" s="160">
        <v>67</v>
      </c>
      <c r="C83" s="224"/>
      <c r="D83" s="213"/>
      <c r="E83" s="215"/>
      <c r="F83" s="214"/>
      <c r="G83" s="214"/>
      <c r="H83" s="74" t="str">
        <f t="shared" si="2"/>
        <v/>
      </c>
      <c r="I83" s="188" t="str">
        <f t="shared" si="3"/>
        <v/>
      </c>
      <c r="J83" s="221"/>
    </row>
    <row r="84" spans="1:10" s="90" customFormat="1" ht="14.25" hidden="1" x14ac:dyDescent="0.3">
      <c r="A84" s="141"/>
      <c r="B84" s="160">
        <v>68</v>
      </c>
      <c r="C84" s="224"/>
      <c r="D84" s="213"/>
      <c r="E84" s="215"/>
      <c r="F84" s="214"/>
      <c r="G84" s="214"/>
      <c r="H84" s="74" t="str">
        <f t="shared" si="2"/>
        <v/>
      </c>
      <c r="I84" s="188" t="str">
        <f t="shared" si="3"/>
        <v/>
      </c>
      <c r="J84" s="221"/>
    </row>
    <row r="85" spans="1:10" s="90" customFormat="1" ht="14.25" hidden="1" x14ac:dyDescent="0.3">
      <c r="A85" s="141"/>
      <c r="B85" s="160">
        <v>69</v>
      </c>
      <c r="C85" s="224"/>
      <c r="D85" s="216"/>
      <c r="E85" s="215"/>
      <c r="F85" s="217"/>
      <c r="G85" s="218"/>
      <c r="H85" s="74" t="str">
        <f t="shared" si="2"/>
        <v/>
      </c>
      <c r="I85" s="188" t="str">
        <f t="shared" si="3"/>
        <v/>
      </c>
      <c r="J85" s="221"/>
    </row>
    <row r="86" spans="1:10" s="90" customFormat="1" ht="14.25" hidden="1" x14ac:dyDescent="0.3">
      <c r="A86" s="141"/>
      <c r="B86" s="160">
        <v>70</v>
      </c>
      <c r="C86" s="224"/>
      <c r="D86" s="213"/>
      <c r="E86" s="215"/>
      <c r="F86" s="214"/>
      <c r="G86" s="214"/>
      <c r="H86" s="74" t="str">
        <f t="shared" si="2"/>
        <v/>
      </c>
      <c r="I86" s="188" t="str">
        <f t="shared" si="3"/>
        <v/>
      </c>
      <c r="J86" s="221"/>
    </row>
    <row r="87" spans="1:10" s="90" customFormat="1" ht="14.25" hidden="1" x14ac:dyDescent="0.3">
      <c r="A87" s="141"/>
      <c r="B87" s="160">
        <v>71</v>
      </c>
      <c r="C87" s="224"/>
      <c r="D87" s="213"/>
      <c r="E87" s="215"/>
      <c r="F87" s="214"/>
      <c r="G87" s="214"/>
      <c r="H87" s="74" t="str">
        <f t="shared" si="2"/>
        <v/>
      </c>
      <c r="I87" s="188" t="str">
        <f t="shared" si="3"/>
        <v/>
      </c>
      <c r="J87" s="221"/>
    </row>
    <row r="88" spans="1:10" s="90" customFormat="1" ht="14.25" hidden="1" x14ac:dyDescent="0.3">
      <c r="A88" s="141"/>
      <c r="B88" s="160">
        <v>72</v>
      </c>
      <c r="C88" s="224"/>
      <c r="D88" s="216"/>
      <c r="E88" s="215"/>
      <c r="F88" s="217"/>
      <c r="G88" s="218"/>
      <c r="H88" s="74" t="str">
        <f t="shared" si="2"/>
        <v/>
      </c>
      <c r="I88" s="188" t="str">
        <f t="shared" si="3"/>
        <v/>
      </c>
      <c r="J88" s="221"/>
    </row>
    <row r="89" spans="1:10" s="90" customFormat="1" ht="14.25" hidden="1" x14ac:dyDescent="0.3">
      <c r="A89" s="141"/>
      <c r="B89" s="160">
        <v>73</v>
      </c>
      <c r="C89" s="224"/>
      <c r="D89" s="213"/>
      <c r="E89" s="215"/>
      <c r="F89" s="214"/>
      <c r="G89" s="214"/>
      <c r="H89" s="74" t="str">
        <f t="shared" si="2"/>
        <v/>
      </c>
      <c r="I89" s="188" t="str">
        <f t="shared" si="3"/>
        <v/>
      </c>
      <c r="J89" s="221"/>
    </row>
    <row r="90" spans="1:10" s="90" customFormat="1" ht="14.25" hidden="1" x14ac:dyDescent="0.3">
      <c r="A90" s="141"/>
      <c r="B90" s="160">
        <v>74</v>
      </c>
      <c r="C90" s="224"/>
      <c r="D90" s="213"/>
      <c r="E90" s="215"/>
      <c r="F90" s="214"/>
      <c r="G90" s="214"/>
      <c r="H90" s="74" t="str">
        <f t="shared" si="2"/>
        <v/>
      </c>
      <c r="I90" s="188" t="str">
        <f t="shared" si="3"/>
        <v/>
      </c>
      <c r="J90" s="221"/>
    </row>
    <row r="91" spans="1:10" s="90" customFormat="1" ht="14.25" hidden="1" x14ac:dyDescent="0.3">
      <c r="A91" s="141"/>
      <c r="B91" s="160">
        <v>75</v>
      </c>
      <c r="C91" s="224"/>
      <c r="D91" s="216"/>
      <c r="E91" s="215"/>
      <c r="F91" s="217"/>
      <c r="G91" s="218"/>
      <c r="H91" s="74" t="str">
        <f t="shared" si="2"/>
        <v/>
      </c>
      <c r="I91" s="188" t="str">
        <f t="shared" si="3"/>
        <v/>
      </c>
      <c r="J91" s="221"/>
    </row>
    <row r="92" spans="1:10" s="90" customFormat="1" ht="14.25" hidden="1" x14ac:dyDescent="0.3">
      <c r="A92" s="141"/>
      <c r="B92" s="160">
        <v>76</v>
      </c>
      <c r="C92" s="224"/>
      <c r="D92" s="213"/>
      <c r="E92" s="215"/>
      <c r="F92" s="214"/>
      <c r="G92" s="214"/>
      <c r="H92" s="74" t="str">
        <f t="shared" si="2"/>
        <v/>
      </c>
      <c r="I92" s="188" t="str">
        <f t="shared" si="3"/>
        <v/>
      </c>
      <c r="J92" s="221"/>
    </row>
    <row r="93" spans="1:10" s="90" customFormat="1" ht="14.25" hidden="1" x14ac:dyDescent="0.3">
      <c r="A93" s="141"/>
      <c r="B93" s="160">
        <v>77</v>
      </c>
      <c r="C93" s="224"/>
      <c r="D93" s="213"/>
      <c r="E93" s="215"/>
      <c r="F93" s="214"/>
      <c r="G93" s="214"/>
      <c r="H93" s="74" t="str">
        <f t="shared" si="2"/>
        <v/>
      </c>
      <c r="I93" s="188" t="str">
        <f t="shared" si="3"/>
        <v/>
      </c>
      <c r="J93" s="221"/>
    </row>
    <row r="94" spans="1:10" s="90" customFormat="1" ht="14.25" hidden="1" x14ac:dyDescent="0.3">
      <c r="A94" s="141"/>
      <c r="B94" s="160">
        <v>78</v>
      </c>
      <c r="C94" s="224"/>
      <c r="D94" s="216"/>
      <c r="E94" s="215"/>
      <c r="F94" s="217"/>
      <c r="G94" s="218"/>
      <c r="H94" s="74" t="str">
        <f t="shared" si="2"/>
        <v/>
      </c>
      <c r="I94" s="188" t="str">
        <f t="shared" si="3"/>
        <v/>
      </c>
      <c r="J94" s="221"/>
    </row>
    <row r="95" spans="1:10" s="90" customFormat="1" ht="14.25" hidden="1" x14ac:dyDescent="0.3">
      <c r="A95" s="141"/>
      <c r="B95" s="160">
        <v>79</v>
      </c>
      <c r="C95" s="224"/>
      <c r="D95" s="213"/>
      <c r="E95" s="215"/>
      <c r="F95" s="214"/>
      <c r="G95" s="214"/>
      <c r="H95" s="74" t="str">
        <f t="shared" si="2"/>
        <v/>
      </c>
      <c r="I95" s="188" t="str">
        <f t="shared" si="3"/>
        <v/>
      </c>
      <c r="J95" s="221"/>
    </row>
    <row r="96" spans="1:10" s="90" customFormat="1" ht="14.25" hidden="1" x14ac:dyDescent="0.3">
      <c r="A96" s="141"/>
      <c r="B96" s="160">
        <v>80</v>
      </c>
      <c r="C96" s="224"/>
      <c r="D96" s="213"/>
      <c r="E96" s="215"/>
      <c r="F96" s="214"/>
      <c r="G96" s="214"/>
      <c r="H96" s="74" t="str">
        <f t="shared" si="2"/>
        <v/>
      </c>
      <c r="I96" s="188" t="str">
        <f t="shared" si="3"/>
        <v/>
      </c>
      <c r="J96" s="221"/>
    </row>
    <row r="97" spans="1:10" s="90" customFormat="1" ht="14.25" hidden="1" x14ac:dyDescent="0.3">
      <c r="A97" s="141"/>
      <c r="B97" s="160">
        <v>81</v>
      </c>
      <c r="C97" s="224"/>
      <c r="D97" s="216"/>
      <c r="E97" s="215"/>
      <c r="F97" s="217"/>
      <c r="G97" s="218"/>
      <c r="H97" s="74" t="str">
        <f t="shared" si="2"/>
        <v/>
      </c>
      <c r="I97" s="188" t="str">
        <f t="shared" si="3"/>
        <v/>
      </c>
      <c r="J97" s="221"/>
    </row>
    <row r="98" spans="1:10" s="90" customFormat="1" ht="14.25" hidden="1" x14ac:dyDescent="0.3">
      <c r="A98" s="141"/>
      <c r="B98" s="160">
        <v>82</v>
      </c>
      <c r="C98" s="224"/>
      <c r="D98" s="213"/>
      <c r="E98" s="215"/>
      <c r="F98" s="214"/>
      <c r="G98" s="214"/>
      <c r="H98" s="74" t="str">
        <f t="shared" si="2"/>
        <v/>
      </c>
      <c r="I98" s="188" t="str">
        <f t="shared" si="3"/>
        <v/>
      </c>
      <c r="J98" s="221"/>
    </row>
    <row r="99" spans="1:10" s="90" customFormat="1" ht="14.25" hidden="1" x14ac:dyDescent="0.3">
      <c r="A99" s="141"/>
      <c r="B99" s="160">
        <v>83</v>
      </c>
      <c r="C99" s="224"/>
      <c r="D99" s="213"/>
      <c r="E99" s="215"/>
      <c r="F99" s="214"/>
      <c r="G99" s="214"/>
      <c r="H99" s="74" t="str">
        <f t="shared" si="2"/>
        <v/>
      </c>
      <c r="I99" s="188" t="str">
        <f t="shared" si="3"/>
        <v/>
      </c>
      <c r="J99" s="221"/>
    </row>
    <row r="100" spans="1:10" s="90" customFormat="1" ht="14.25" hidden="1" x14ac:dyDescent="0.3">
      <c r="A100" s="141"/>
      <c r="B100" s="160">
        <v>84</v>
      </c>
      <c r="C100" s="224"/>
      <c r="D100" s="216"/>
      <c r="E100" s="215"/>
      <c r="F100" s="217"/>
      <c r="G100" s="218"/>
      <c r="H100" s="74" t="str">
        <f t="shared" si="2"/>
        <v/>
      </c>
      <c r="I100" s="188" t="str">
        <f t="shared" si="3"/>
        <v/>
      </c>
      <c r="J100" s="221"/>
    </row>
    <row r="101" spans="1:10" s="90" customFormat="1" ht="14.25" hidden="1" x14ac:dyDescent="0.3">
      <c r="A101" s="141"/>
      <c r="B101" s="160">
        <v>85</v>
      </c>
      <c r="C101" s="224"/>
      <c r="D101" s="213"/>
      <c r="E101" s="215"/>
      <c r="F101" s="214"/>
      <c r="G101" s="214"/>
      <c r="H101" s="74" t="str">
        <f t="shared" si="2"/>
        <v/>
      </c>
      <c r="I101" s="188" t="str">
        <f t="shared" si="3"/>
        <v/>
      </c>
      <c r="J101" s="221"/>
    </row>
    <row r="102" spans="1:10" s="90" customFormat="1" ht="14.25" hidden="1" x14ac:dyDescent="0.3">
      <c r="A102" s="141"/>
      <c r="B102" s="160">
        <v>86</v>
      </c>
      <c r="C102" s="224"/>
      <c r="D102" s="213"/>
      <c r="E102" s="215"/>
      <c r="F102" s="214"/>
      <c r="G102" s="214"/>
      <c r="H102" s="74" t="str">
        <f t="shared" si="2"/>
        <v/>
      </c>
      <c r="I102" s="188" t="str">
        <f t="shared" si="3"/>
        <v/>
      </c>
      <c r="J102" s="221"/>
    </row>
    <row r="103" spans="1:10" s="90" customFormat="1" ht="14.25" hidden="1" x14ac:dyDescent="0.3">
      <c r="A103" s="141"/>
      <c r="B103" s="160">
        <v>87</v>
      </c>
      <c r="C103" s="224"/>
      <c r="D103" s="216"/>
      <c r="E103" s="215"/>
      <c r="F103" s="217"/>
      <c r="G103" s="218"/>
      <c r="H103" s="74" t="str">
        <f t="shared" si="2"/>
        <v/>
      </c>
      <c r="I103" s="188" t="str">
        <f t="shared" si="3"/>
        <v/>
      </c>
      <c r="J103" s="221"/>
    </row>
    <row r="104" spans="1:10" s="90" customFormat="1" ht="14.25" hidden="1" x14ac:dyDescent="0.3">
      <c r="A104" s="141"/>
      <c r="B104" s="160">
        <v>88</v>
      </c>
      <c r="C104" s="224"/>
      <c r="D104" s="213"/>
      <c r="E104" s="215"/>
      <c r="F104" s="214"/>
      <c r="G104" s="214"/>
      <c r="H104" s="74" t="str">
        <f t="shared" si="2"/>
        <v/>
      </c>
      <c r="I104" s="188" t="str">
        <f t="shared" si="3"/>
        <v/>
      </c>
      <c r="J104" s="221"/>
    </row>
    <row r="105" spans="1:10" s="90" customFormat="1" ht="14.25" hidden="1" x14ac:dyDescent="0.3">
      <c r="A105" s="141"/>
      <c r="B105" s="160">
        <v>89</v>
      </c>
      <c r="C105" s="224"/>
      <c r="D105" s="213"/>
      <c r="E105" s="215"/>
      <c r="F105" s="214"/>
      <c r="G105" s="214"/>
      <c r="H105" s="74" t="str">
        <f t="shared" si="2"/>
        <v/>
      </c>
      <c r="I105" s="188" t="str">
        <f t="shared" si="3"/>
        <v/>
      </c>
      <c r="J105" s="221"/>
    </row>
    <row r="106" spans="1:10" s="90" customFormat="1" ht="14.25" hidden="1" x14ac:dyDescent="0.3">
      <c r="A106" s="141"/>
      <c r="B106" s="160">
        <v>90</v>
      </c>
      <c r="C106" s="224"/>
      <c r="D106" s="216"/>
      <c r="E106" s="215"/>
      <c r="F106" s="217"/>
      <c r="G106" s="218"/>
      <c r="H106" s="74" t="str">
        <f t="shared" si="2"/>
        <v/>
      </c>
      <c r="I106" s="188" t="str">
        <f t="shared" si="3"/>
        <v/>
      </c>
      <c r="J106" s="221"/>
    </row>
    <row r="107" spans="1:10" s="90" customFormat="1" ht="14.25" hidden="1" x14ac:dyDescent="0.3">
      <c r="A107" s="141"/>
      <c r="B107" s="160">
        <v>91</v>
      </c>
      <c r="C107" s="224"/>
      <c r="D107" s="213"/>
      <c r="E107" s="215"/>
      <c r="F107" s="214"/>
      <c r="G107" s="214"/>
      <c r="H107" s="74" t="str">
        <f t="shared" si="2"/>
        <v/>
      </c>
      <c r="I107" s="188" t="str">
        <f t="shared" si="3"/>
        <v/>
      </c>
      <c r="J107" s="221"/>
    </row>
    <row r="108" spans="1:10" s="90" customFormat="1" ht="14.25" hidden="1" x14ac:dyDescent="0.3">
      <c r="A108" s="141"/>
      <c r="B108" s="160">
        <v>92</v>
      </c>
      <c r="C108" s="224"/>
      <c r="D108" s="213"/>
      <c r="E108" s="215"/>
      <c r="F108" s="214"/>
      <c r="G108" s="214"/>
      <c r="H108" s="74" t="str">
        <f t="shared" si="2"/>
        <v/>
      </c>
      <c r="I108" s="188" t="str">
        <f t="shared" si="3"/>
        <v/>
      </c>
      <c r="J108" s="221"/>
    </row>
    <row r="109" spans="1:10" s="90" customFormat="1" ht="14.25" hidden="1" x14ac:dyDescent="0.3">
      <c r="A109" s="141"/>
      <c r="B109" s="160">
        <v>93</v>
      </c>
      <c r="C109" s="224"/>
      <c r="D109" s="216"/>
      <c r="E109" s="215"/>
      <c r="F109" s="217"/>
      <c r="G109" s="218"/>
      <c r="H109" s="74" t="str">
        <f t="shared" si="2"/>
        <v/>
      </c>
      <c r="I109" s="188" t="str">
        <f t="shared" si="3"/>
        <v/>
      </c>
      <c r="J109" s="221"/>
    </row>
    <row r="110" spans="1:10" s="90" customFormat="1" ht="14.25" hidden="1" x14ac:dyDescent="0.3">
      <c r="A110" s="141"/>
      <c r="B110" s="160">
        <v>94</v>
      </c>
      <c r="C110" s="224"/>
      <c r="D110" s="213"/>
      <c r="E110" s="215"/>
      <c r="F110" s="214"/>
      <c r="G110" s="214"/>
      <c r="H110" s="74" t="str">
        <f t="shared" si="2"/>
        <v/>
      </c>
      <c r="I110" s="188" t="str">
        <f t="shared" si="3"/>
        <v/>
      </c>
      <c r="J110" s="221"/>
    </row>
    <row r="111" spans="1:10" s="90" customFormat="1" ht="14.25" hidden="1" x14ac:dyDescent="0.3">
      <c r="A111" s="141"/>
      <c r="B111" s="160">
        <v>95</v>
      </c>
      <c r="C111" s="224"/>
      <c r="D111" s="213"/>
      <c r="E111" s="215"/>
      <c r="F111" s="214"/>
      <c r="G111" s="214"/>
      <c r="H111" s="74" t="str">
        <f t="shared" si="2"/>
        <v/>
      </c>
      <c r="I111" s="188" t="str">
        <f t="shared" si="3"/>
        <v/>
      </c>
      <c r="J111" s="221"/>
    </row>
    <row r="112" spans="1:10" s="90" customFormat="1" ht="14.25" hidden="1" x14ac:dyDescent="0.3">
      <c r="A112" s="141"/>
      <c r="B112" s="160">
        <v>96</v>
      </c>
      <c r="C112" s="224"/>
      <c r="D112" s="216"/>
      <c r="E112" s="215"/>
      <c r="F112" s="217"/>
      <c r="G112" s="218"/>
      <c r="H112" s="74" t="str">
        <f t="shared" si="2"/>
        <v/>
      </c>
      <c r="I112" s="188" t="str">
        <f t="shared" si="3"/>
        <v/>
      </c>
      <c r="J112" s="221"/>
    </row>
    <row r="113" spans="1:10" s="90" customFormat="1" ht="14.25" hidden="1" x14ac:dyDescent="0.3">
      <c r="A113" s="141"/>
      <c r="B113" s="160">
        <v>97</v>
      </c>
      <c r="C113" s="224"/>
      <c r="D113" s="213"/>
      <c r="E113" s="215"/>
      <c r="F113" s="214"/>
      <c r="G113" s="214"/>
      <c r="H113" s="74" t="str">
        <f t="shared" si="2"/>
        <v/>
      </c>
      <c r="I113" s="188" t="str">
        <f t="shared" si="3"/>
        <v/>
      </c>
      <c r="J113" s="221"/>
    </row>
    <row r="114" spans="1:10" s="90" customFormat="1" ht="14.25" hidden="1" x14ac:dyDescent="0.3">
      <c r="A114" s="141"/>
      <c r="B114" s="160">
        <v>98</v>
      </c>
      <c r="C114" s="224"/>
      <c r="D114" s="213"/>
      <c r="E114" s="215"/>
      <c r="F114" s="214"/>
      <c r="G114" s="214"/>
      <c r="H114" s="74" t="str">
        <f t="shared" si="2"/>
        <v/>
      </c>
      <c r="I114" s="188" t="str">
        <f t="shared" si="3"/>
        <v/>
      </c>
      <c r="J114" s="221"/>
    </row>
    <row r="115" spans="1:10" s="90" customFormat="1" ht="14.25" hidden="1" x14ac:dyDescent="0.3">
      <c r="A115" s="141"/>
      <c r="B115" s="160">
        <v>99</v>
      </c>
      <c r="C115" s="224"/>
      <c r="D115" s="216"/>
      <c r="E115" s="215"/>
      <c r="F115" s="217"/>
      <c r="G115" s="218"/>
      <c r="H115" s="74" t="str">
        <f t="shared" si="2"/>
        <v/>
      </c>
      <c r="I115" s="188" t="str">
        <f t="shared" si="3"/>
        <v/>
      </c>
      <c r="J115" s="221"/>
    </row>
    <row r="116" spans="1:10" s="90" customFormat="1" hidden="1" thickBot="1" x14ac:dyDescent="0.35">
      <c r="A116" s="141"/>
      <c r="B116" s="160">
        <v>100</v>
      </c>
      <c r="C116" s="224"/>
      <c r="D116" s="213"/>
      <c r="E116" s="215"/>
      <c r="F116" s="214"/>
      <c r="G116" s="214"/>
      <c r="H116" s="74" t="str">
        <f t="shared" si="2"/>
        <v/>
      </c>
      <c r="I116" s="188" t="str">
        <f t="shared" si="3"/>
        <v/>
      </c>
      <c r="J116" s="221"/>
    </row>
    <row r="117" spans="1:10" s="90" customFormat="1" ht="14.25" hidden="1" x14ac:dyDescent="0.3">
      <c r="A117" s="141"/>
      <c r="B117" s="160">
        <v>101</v>
      </c>
      <c r="C117" s="224"/>
      <c r="D117" s="213"/>
      <c r="E117" s="215"/>
      <c r="F117" s="214"/>
      <c r="G117" s="214"/>
      <c r="H117" s="74" t="str">
        <f t="shared" si="2"/>
        <v/>
      </c>
      <c r="I117" s="188" t="str">
        <f t="shared" si="3"/>
        <v/>
      </c>
      <c r="J117" s="221"/>
    </row>
    <row r="118" spans="1:10" s="90" customFormat="1" ht="14.25" hidden="1" x14ac:dyDescent="0.3">
      <c r="A118" s="141"/>
      <c r="B118" s="160">
        <v>102</v>
      </c>
      <c r="C118" s="224"/>
      <c r="D118" s="216"/>
      <c r="E118" s="215"/>
      <c r="F118" s="217"/>
      <c r="G118" s="218"/>
      <c r="H118" s="74" t="str">
        <f t="shared" si="2"/>
        <v/>
      </c>
      <c r="I118" s="188" t="str">
        <f t="shared" si="3"/>
        <v/>
      </c>
      <c r="J118" s="221"/>
    </row>
    <row r="119" spans="1:10" s="90" customFormat="1" ht="14.25" hidden="1" x14ac:dyDescent="0.3">
      <c r="A119" s="141"/>
      <c r="B119" s="160">
        <v>103</v>
      </c>
      <c r="C119" s="224"/>
      <c r="D119" s="213"/>
      <c r="E119" s="215"/>
      <c r="F119" s="214"/>
      <c r="G119" s="214"/>
      <c r="H119" s="74" t="str">
        <f t="shared" si="2"/>
        <v/>
      </c>
      <c r="I119" s="188" t="str">
        <f t="shared" si="3"/>
        <v/>
      </c>
      <c r="J119" s="221"/>
    </row>
    <row r="120" spans="1:10" s="90" customFormat="1" ht="14.25" hidden="1" x14ac:dyDescent="0.3">
      <c r="A120" s="141"/>
      <c r="B120" s="160">
        <v>104</v>
      </c>
      <c r="C120" s="224"/>
      <c r="D120" s="213"/>
      <c r="E120" s="215"/>
      <c r="F120" s="214"/>
      <c r="G120" s="214"/>
      <c r="H120" s="74" t="str">
        <f t="shared" si="2"/>
        <v/>
      </c>
      <c r="I120" s="188" t="str">
        <f t="shared" si="3"/>
        <v/>
      </c>
      <c r="J120" s="221"/>
    </row>
    <row r="121" spans="1:10" s="90" customFormat="1" ht="14.25" hidden="1" x14ac:dyDescent="0.3">
      <c r="A121" s="141"/>
      <c r="B121" s="160">
        <v>105</v>
      </c>
      <c r="C121" s="224"/>
      <c r="D121" s="216"/>
      <c r="E121" s="215"/>
      <c r="F121" s="217"/>
      <c r="G121" s="218"/>
      <c r="H121" s="74" t="str">
        <f t="shared" si="2"/>
        <v/>
      </c>
      <c r="I121" s="188" t="str">
        <f t="shared" si="3"/>
        <v/>
      </c>
      <c r="J121" s="221"/>
    </row>
    <row r="122" spans="1:10" s="90" customFormat="1" ht="14.25" hidden="1" x14ac:dyDescent="0.3">
      <c r="A122" s="141"/>
      <c r="B122" s="160">
        <v>106</v>
      </c>
      <c r="C122" s="224"/>
      <c r="D122" s="213"/>
      <c r="E122" s="215"/>
      <c r="F122" s="214"/>
      <c r="G122" s="214"/>
      <c r="H122" s="74" t="str">
        <f t="shared" si="2"/>
        <v/>
      </c>
      <c r="I122" s="188" t="str">
        <f t="shared" si="3"/>
        <v/>
      </c>
      <c r="J122" s="221"/>
    </row>
    <row r="123" spans="1:10" s="90" customFormat="1" ht="14.25" hidden="1" x14ac:dyDescent="0.3">
      <c r="A123" s="141"/>
      <c r="B123" s="160">
        <v>107</v>
      </c>
      <c r="C123" s="224"/>
      <c r="D123" s="213"/>
      <c r="E123" s="215"/>
      <c r="F123" s="214"/>
      <c r="G123" s="214"/>
      <c r="H123" s="74" t="str">
        <f t="shared" si="2"/>
        <v/>
      </c>
      <c r="I123" s="188" t="str">
        <f t="shared" si="3"/>
        <v/>
      </c>
      <c r="J123" s="221"/>
    </row>
    <row r="124" spans="1:10" s="90" customFormat="1" ht="14.25" hidden="1" x14ac:dyDescent="0.3">
      <c r="A124" s="141"/>
      <c r="B124" s="160">
        <v>108</v>
      </c>
      <c r="C124" s="224"/>
      <c r="D124" s="216"/>
      <c r="E124" s="215"/>
      <c r="F124" s="217"/>
      <c r="G124" s="218"/>
      <c r="H124" s="74" t="str">
        <f t="shared" si="2"/>
        <v/>
      </c>
      <c r="I124" s="188" t="str">
        <f t="shared" si="3"/>
        <v/>
      </c>
      <c r="J124" s="221"/>
    </row>
    <row r="125" spans="1:10" s="90" customFormat="1" ht="14.25" hidden="1" x14ac:dyDescent="0.3">
      <c r="A125" s="141"/>
      <c r="B125" s="160">
        <v>109</v>
      </c>
      <c r="C125" s="224"/>
      <c r="D125" s="213"/>
      <c r="E125" s="215"/>
      <c r="F125" s="214"/>
      <c r="G125" s="214"/>
      <c r="H125" s="74" t="str">
        <f t="shared" si="2"/>
        <v/>
      </c>
      <c r="I125" s="188" t="str">
        <f t="shared" si="3"/>
        <v/>
      </c>
      <c r="J125" s="221"/>
    </row>
    <row r="126" spans="1:10" s="90" customFormat="1" ht="14.25" hidden="1" x14ac:dyDescent="0.3">
      <c r="A126" s="141"/>
      <c r="B126" s="160">
        <v>110</v>
      </c>
      <c r="C126" s="224"/>
      <c r="D126" s="213"/>
      <c r="E126" s="215"/>
      <c r="F126" s="214"/>
      <c r="G126" s="214"/>
      <c r="H126" s="74" t="str">
        <f t="shared" si="2"/>
        <v/>
      </c>
      <c r="I126" s="188" t="str">
        <f t="shared" si="3"/>
        <v/>
      </c>
      <c r="J126" s="221"/>
    </row>
    <row r="127" spans="1:10" s="90" customFormat="1" ht="14.25" hidden="1" x14ac:dyDescent="0.3">
      <c r="A127" s="141"/>
      <c r="B127" s="160">
        <v>111</v>
      </c>
      <c r="C127" s="224"/>
      <c r="D127" s="216"/>
      <c r="E127" s="215"/>
      <c r="F127" s="217"/>
      <c r="G127" s="218"/>
      <c r="H127" s="74" t="str">
        <f t="shared" si="2"/>
        <v/>
      </c>
      <c r="I127" s="188" t="str">
        <f t="shared" si="3"/>
        <v/>
      </c>
      <c r="J127" s="221"/>
    </row>
    <row r="128" spans="1:10" s="90" customFormat="1" ht="14.25" hidden="1" x14ac:dyDescent="0.3">
      <c r="A128" s="141"/>
      <c r="B128" s="160">
        <v>112</v>
      </c>
      <c r="C128" s="224"/>
      <c r="D128" s="213"/>
      <c r="E128" s="215"/>
      <c r="F128" s="214"/>
      <c r="G128" s="214"/>
      <c r="H128" s="74" t="str">
        <f t="shared" si="2"/>
        <v/>
      </c>
      <c r="I128" s="188" t="str">
        <f t="shared" si="3"/>
        <v/>
      </c>
      <c r="J128" s="221"/>
    </row>
    <row r="129" spans="1:10" s="90" customFormat="1" ht="14.25" hidden="1" x14ac:dyDescent="0.3">
      <c r="A129" s="141"/>
      <c r="B129" s="160">
        <v>113</v>
      </c>
      <c r="C129" s="224"/>
      <c r="D129" s="213"/>
      <c r="E129" s="215"/>
      <c r="F129" s="214"/>
      <c r="G129" s="214"/>
      <c r="H129" s="74" t="str">
        <f t="shared" si="2"/>
        <v/>
      </c>
      <c r="I129" s="188" t="str">
        <f t="shared" si="3"/>
        <v/>
      </c>
      <c r="J129" s="221"/>
    </row>
    <row r="130" spans="1:10" s="90" customFormat="1" ht="14.25" hidden="1" x14ac:dyDescent="0.3">
      <c r="A130" s="141"/>
      <c r="B130" s="160">
        <v>114</v>
      </c>
      <c r="C130" s="224"/>
      <c r="D130" s="216"/>
      <c r="E130" s="215"/>
      <c r="F130" s="217"/>
      <c r="G130" s="218"/>
      <c r="H130" s="74" t="str">
        <f t="shared" si="2"/>
        <v/>
      </c>
      <c r="I130" s="188" t="str">
        <f t="shared" si="3"/>
        <v/>
      </c>
      <c r="J130" s="221"/>
    </row>
    <row r="131" spans="1:10" s="90" customFormat="1" ht="14.25" hidden="1" x14ac:dyDescent="0.3">
      <c r="A131" s="141"/>
      <c r="B131" s="160">
        <v>115</v>
      </c>
      <c r="C131" s="224"/>
      <c r="D131" s="213"/>
      <c r="E131" s="215"/>
      <c r="F131" s="214"/>
      <c r="G131" s="214"/>
      <c r="H131" s="74" t="str">
        <f t="shared" si="2"/>
        <v/>
      </c>
      <c r="I131" s="188" t="str">
        <f t="shared" si="3"/>
        <v/>
      </c>
      <c r="J131" s="221"/>
    </row>
    <row r="132" spans="1:10" s="90" customFormat="1" ht="14.25" hidden="1" x14ac:dyDescent="0.3">
      <c r="A132" s="141"/>
      <c r="B132" s="160">
        <v>116</v>
      </c>
      <c r="C132" s="224"/>
      <c r="D132" s="213"/>
      <c r="E132" s="215"/>
      <c r="F132" s="214"/>
      <c r="G132" s="214"/>
      <c r="H132" s="74" t="str">
        <f t="shared" si="2"/>
        <v/>
      </c>
      <c r="I132" s="188" t="str">
        <f t="shared" si="3"/>
        <v/>
      </c>
      <c r="J132" s="221"/>
    </row>
    <row r="133" spans="1:10" s="90" customFormat="1" ht="14.25" hidden="1" x14ac:dyDescent="0.3">
      <c r="A133" s="141"/>
      <c r="B133" s="160">
        <v>117</v>
      </c>
      <c r="C133" s="224"/>
      <c r="D133" s="216"/>
      <c r="E133" s="215"/>
      <c r="F133" s="217"/>
      <c r="G133" s="218"/>
      <c r="H133" s="74" t="str">
        <f t="shared" si="2"/>
        <v/>
      </c>
      <c r="I133" s="188" t="str">
        <f t="shared" si="3"/>
        <v/>
      </c>
      <c r="J133" s="221"/>
    </row>
    <row r="134" spans="1:10" s="90" customFormat="1" ht="14.25" hidden="1" x14ac:dyDescent="0.3">
      <c r="A134" s="141"/>
      <c r="B134" s="160">
        <v>118</v>
      </c>
      <c r="C134" s="224"/>
      <c r="D134" s="213"/>
      <c r="E134" s="215"/>
      <c r="F134" s="214"/>
      <c r="G134" s="214"/>
      <c r="H134" s="74" t="str">
        <f t="shared" si="2"/>
        <v/>
      </c>
      <c r="I134" s="188" t="str">
        <f t="shared" si="3"/>
        <v/>
      </c>
      <c r="J134" s="221"/>
    </row>
    <row r="135" spans="1:10" s="90" customFormat="1" ht="14.25" hidden="1" x14ac:dyDescent="0.3">
      <c r="A135" s="141"/>
      <c r="B135" s="160">
        <v>119</v>
      </c>
      <c r="C135" s="224"/>
      <c r="D135" s="213"/>
      <c r="E135" s="215"/>
      <c r="F135" s="214"/>
      <c r="G135" s="214"/>
      <c r="H135" s="74" t="str">
        <f t="shared" si="2"/>
        <v/>
      </c>
      <c r="I135" s="188" t="str">
        <f t="shared" si="3"/>
        <v/>
      </c>
      <c r="J135" s="221"/>
    </row>
    <row r="136" spans="1:10" s="90" customFormat="1" ht="14.25" hidden="1" x14ac:dyDescent="0.3">
      <c r="A136" s="141"/>
      <c r="B136" s="160">
        <v>120</v>
      </c>
      <c r="C136" s="224"/>
      <c r="D136" s="216"/>
      <c r="E136" s="215"/>
      <c r="F136" s="217"/>
      <c r="G136" s="218"/>
      <c r="H136" s="74" t="str">
        <f t="shared" si="2"/>
        <v/>
      </c>
      <c r="I136" s="188" t="str">
        <f t="shared" si="3"/>
        <v/>
      </c>
      <c r="J136" s="221"/>
    </row>
    <row r="137" spans="1:10" s="90" customFormat="1" ht="14.25" hidden="1" x14ac:dyDescent="0.3">
      <c r="A137" s="141"/>
      <c r="B137" s="160">
        <v>121</v>
      </c>
      <c r="C137" s="224"/>
      <c r="D137" s="213"/>
      <c r="E137" s="215"/>
      <c r="F137" s="214"/>
      <c r="G137" s="214"/>
      <c r="H137" s="74" t="str">
        <f t="shared" si="2"/>
        <v/>
      </c>
      <c r="I137" s="188" t="str">
        <f t="shared" si="3"/>
        <v/>
      </c>
      <c r="J137" s="221"/>
    </row>
    <row r="138" spans="1:10" s="90" customFormat="1" ht="14.25" hidden="1" x14ac:dyDescent="0.3">
      <c r="A138" s="141"/>
      <c r="B138" s="160">
        <v>122</v>
      </c>
      <c r="C138" s="224"/>
      <c r="D138" s="213"/>
      <c r="E138" s="215"/>
      <c r="F138" s="214"/>
      <c r="G138" s="214"/>
      <c r="H138" s="74" t="str">
        <f t="shared" si="2"/>
        <v/>
      </c>
      <c r="I138" s="188" t="str">
        <f t="shared" si="3"/>
        <v/>
      </c>
      <c r="J138" s="221"/>
    </row>
    <row r="139" spans="1:10" s="90" customFormat="1" ht="14.25" hidden="1" x14ac:dyDescent="0.3">
      <c r="A139" s="141"/>
      <c r="B139" s="160">
        <v>123</v>
      </c>
      <c r="C139" s="224"/>
      <c r="D139" s="216"/>
      <c r="E139" s="215"/>
      <c r="F139" s="217"/>
      <c r="G139" s="218"/>
      <c r="H139" s="74" t="str">
        <f t="shared" si="2"/>
        <v/>
      </c>
      <c r="I139" s="188" t="str">
        <f t="shared" si="3"/>
        <v/>
      </c>
      <c r="J139" s="221"/>
    </row>
    <row r="140" spans="1:10" s="90" customFormat="1" ht="14.25" hidden="1" x14ac:dyDescent="0.3">
      <c r="A140" s="141"/>
      <c r="B140" s="160">
        <v>124</v>
      </c>
      <c r="C140" s="224"/>
      <c r="D140" s="213"/>
      <c r="E140" s="215"/>
      <c r="F140" s="214"/>
      <c r="G140" s="214"/>
      <c r="H140" s="74" t="str">
        <f t="shared" si="2"/>
        <v/>
      </c>
      <c r="I140" s="188" t="str">
        <f t="shared" si="3"/>
        <v/>
      </c>
      <c r="J140" s="221"/>
    </row>
    <row r="141" spans="1:10" s="90" customFormat="1" ht="14.25" hidden="1" x14ac:dyDescent="0.3">
      <c r="A141" s="141"/>
      <c r="B141" s="160">
        <v>125</v>
      </c>
      <c r="C141" s="224"/>
      <c r="D141" s="213"/>
      <c r="E141" s="215"/>
      <c r="F141" s="214"/>
      <c r="G141" s="214"/>
      <c r="H141" s="74" t="str">
        <f t="shared" si="2"/>
        <v/>
      </c>
      <c r="I141" s="188" t="str">
        <f t="shared" si="3"/>
        <v/>
      </c>
      <c r="J141" s="221"/>
    </row>
    <row r="142" spans="1:10" s="90" customFormat="1" ht="14.25" hidden="1" x14ac:dyDescent="0.3">
      <c r="A142" s="141"/>
      <c r="B142" s="160">
        <v>126</v>
      </c>
      <c r="C142" s="224"/>
      <c r="D142" s="216"/>
      <c r="E142" s="215"/>
      <c r="F142" s="217"/>
      <c r="G142" s="218"/>
      <c r="H142" s="74" t="str">
        <f t="shared" si="2"/>
        <v/>
      </c>
      <c r="I142" s="188" t="str">
        <f t="shared" si="3"/>
        <v/>
      </c>
      <c r="J142" s="221"/>
    </row>
    <row r="143" spans="1:10" s="90" customFormat="1" ht="14.25" hidden="1" x14ac:dyDescent="0.3">
      <c r="A143" s="141"/>
      <c r="B143" s="160">
        <v>127</v>
      </c>
      <c r="C143" s="224"/>
      <c r="D143" s="213"/>
      <c r="E143" s="215"/>
      <c r="F143" s="214"/>
      <c r="G143" s="214"/>
      <c r="H143" s="74" t="str">
        <f t="shared" si="2"/>
        <v/>
      </c>
      <c r="I143" s="188" t="str">
        <f t="shared" si="3"/>
        <v/>
      </c>
      <c r="J143" s="221"/>
    </row>
    <row r="144" spans="1:10" s="90" customFormat="1" ht="14.25" hidden="1" x14ac:dyDescent="0.3">
      <c r="A144" s="141"/>
      <c r="B144" s="160">
        <v>128</v>
      </c>
      <c r="C144" s="224"/>
      <c r="D144" s="213"/>
      <c r="E144" s="215"/>
      <c r="F144" s="214"/>
      <c r="G144" s="214"/>
      <c r="H144" s="74" t="str">
        <f t="shared" si="2"/>
        <v/>
      </c>
      <c r="I144" s="188" t="str">
        <f t="shared" si="3"/>
        <v/>
      </c>
      <c r="J144" s="221"/>
    </row>
    <row r="145" spans="1:10" s="90" customFormat="1" ht="14.25" hidden="1" x14ac:dyDescent="0.3">
      <c r="A145" s="141"/>
      <c r="B145" s="160">
        <v>129</v>
      </c>
      <c r="C145" s="224"/>
      <c r="D145" s="216"/>
      <c r="E145" s="215"/>
      <c r="F145" s="217"/>
      <c r="G145" s="218"/>
      <c r="H145" s="74" t="str">
        <f t="shared" si="2"/>
        <v/>
      </c>
      <c r="I145" s="188" t="str">
        <f t="shared" si="3"/>
        <v/>
      </c>
      <c r="J145" s="221"/>
    </row>
    <row r="146" spans="1:10" s="90" customFormat="1" ht="14.25" hidden="1" x14ac:dyDescent="0.3">
      <c r="A146" s="141"/>
      <c r="B146" s="160">
        <v>130</v>
      </c>
      <c r="C146" s="224"/>
      <c r="D146" s="213"/>
      <c r="E146" s="215"/>
      <c r="F146" s="214"/>
      <c r="G146" s="214"/>
      <c r="H146" s="74" t="str">
        <f t="shared" ref="H146:H209" si="4">ObterComplexidadeFuncao(E146,F146,G146)</f>
        <v/>
      </c>
      <c r="I146" s="188" t="str">
        <f t="shared" ref="I146:I209" si="5">ObterContribuicaoFuncao(E146,H146)</f>
        <v/>
      </c>
      <c r="J146" s="221"/>
    </row>
    <row r="147" spans="1:10" s="90" customFormat="1" ht="14.25" hidden="1" x14ac:dyDescent="0.3">
      <c r="A147" s="141"/>
      <c r="B147" s="160">
        <v>131</v>
      </c>
      <c r="C147" s="224"/>
      <c r="D147" s="213"/>
      <c r="E147" s="215"/>
      <c r="F147" s="214"/>
      <c r="G147" s="214"/>
      <c r="H147" s="74" t="str">
        <f t="shared" si="4"/>
        <v/>
      </c>
      <c r="I147" s="188" t="str">
        <f t="shared" si="5"/>
        <v/>
      </c>
      <c r="J147" s="221"/>
    </row>
    <row r="148" spans="1:10" s="90" customFormat="1" ht="14.25" hidden="1" x14ac:dyDescent="0.3">
      <c r="A148" s="141"/>
      <c r="B148" s="160">
        <v>132</v>
      </c>
      <c r="C148" s="224"/>
      <c r="D148" s="216"/>
      <c r="E148" s="215"/>
      <c r="F148" s="217"/>
      <c r="G148" s="218"/>
      <c r="H148" s="74" t="str">
        <f t="shared" si="4"/>
        <v/>
      </c>
      <c r="I148" s="188" t="str">
        <f t="shared" si="5"/>
        <v/>
      </c>
      <c r="J148" s="221"/>
    </row>
    <row r="149" spans="1:10" s="90" customFormat="1" ht="14.25" hidden="1" x14ac:dyDescent="0.3">
      <c r="A149" s="141"/>
      <c r="B149" s="160">
        <v>133</v>
      </c>
      <c r="C149" s="224"/>
      <c r="D149" s="213"/>
      <c r="E149" s="215"/>
      <c r="F149" s="214"/>
      <c r="G149" s="214"/>
      <c r="H149" s="74" t="str">
        <f t="shared" si="4"/>
        <v/>
      </c>
      <c r="I149" s="188" t="str">
        <f t="shared" si="5"/>
        <v/>
      </c>
      <c r="J149" s="221"/>
    </row>
    <row r="150" spans="1:10" s="90" customFormat="1" ht="14.25" hidden="1" x14ac:dyDescent="0.3">
      <c r="A150" s="141"/>
      <c r="B150" s="160">
        <v>134</v>
      </c>
      <c r="C150" s="224"/>
      <c r="D150" s="213"/>
      <c r="E150" s="215"/>
      <c r="F150" s="214"/>
      <c r="G150" s="214"/>
      <c r="H150" s="74" t="str">
        <f t="shared" si="4"/>
        <v/>
      </c>
      <c r="I150" s="188" t="str">
        <f t="shared" si="5"/>
        <v/>
      </c>
      <c r="J150" s="221"/>
    </row>
    <row r="151" spans="1:10" s="90" customFormat="1" ht="14.25" hidden="1" x14ac:dyDescent="0.3">
      <c r="A151" s="141"/>
      <c r="B151" s="160">
        <v>135</v>
      </c>
      <c r="C151" s="224"/>
      <c r="D151" s="216"/>
      <c r="E151" s="215"/>
      <c r="F151" s="217"/>
      <c r="G151" s="218"/>
      <c r="H151" s="74" t="str">
        <f t="shared" si="4"/>
        <v/>
      </c>
      <c r="I151" s="188" t="str">
        <f t="shared" si="5"/>
        <v/>
      </c>
      <c r="J151" s="221"/>
    </row>
    <row r="152" spans="1:10" s="90" customFormat="1" ht="14.25" hidden="1" x14ac:dyDescent="0.3">
      <c r="A152" s="141"/>
      <c r="B152" s="160">
        <v>136</v>
      </c>
      <c r="C152" s="224"/>
      <c r="D152" s="213"/>
      <c r="E152" s="215"/>
      <c r="F152" s="214"/>
      <c r="G152" s="214"/>
      <c r="H152" s="74" t="str">
        <f t="shared" si="4"/>
        <v/>
      </c>
      <c r="I152" s="188" t="str">
        <f t="shared" si="5"/>
        <v/>
      </c>
      <c r="J152" s="221"/>
    </row>
    <row r="153" spans="1:10" s="90" customFormat="1" ht="14.25" hidden="1" x14ac:dyDescent="0.3">
      <c r="A153" s="141"/>
      <c r="B153" s="160">
        <v>137</v>
      </c>
      <c r="C153" s="224"/>
      <c r="D153" s="213"/>
      <c r="E153" s="215"/>
      <c r="F153" s="214"/>
      <c r="G153" s="214"/>
      <c r="H153" s="74" t="str">
        <f t="shared" si="4"/>
        <v/>
      </c>
      <c r="I153" s="188" t="str">
        <f t="shared" si="5"/>
        <v/>
      </c>
      <c r="J153" s="221"/>
    </row>
    <row r="154" spans="1:10" s="90" customFormat="1" ht="14.25" hidden="1" x14ac:dyDescent="0.3">
      <c r="A154" s="141"/>
      <c r="B154" s="160">
        <v>138</v>
      </c>
      <c r="C154" s="224"/>
      <c r="D154" s="216"/>
      <c r="E154" s="215"/>
      <c r="F154" s="217"/>
      <c r="G154" s="218"/>
      <c r="H154" s="74" t="str">
        <f t="shared" si="4"/>
        <v/>
      </c>
      <c r="I154" s="188" t="str">
        <f t="shared" si="5"/>
        <v/>
      </c>
      <c r="J154" s="221"/>
    </row>
    <row r="155" spans="1:10" s="90" customFormat="1" ht="14.25" hidden="1" x14ac:dyDescent="0.3">
      <c r="A155" s="141"/>
      <c r="B155" s="160">
        <v>139</v>
      </c>
      <c r="C155" s="224"/>
      <c r="D155" s="213"/>
      <c r="E155" s="215"/>
      <c r="F155" s="214"/>
      <c r="G155" s="214"/>
      <c r="H155" s="74" t="str">
        <f t="shared" si="4"/>
        <v/>
      </c>
      <c r="I155" s="188" t="str">
        <f t="shared" si="5"/>
        <v/>
      </c>
      <c r="J155" s="221"/>
    </row>
    <row r="156" spans="1:10" s="90" customFormat="1" ht="14.25" hidden="1" x14ac:dyDescent="0.3">
      <c r="A156" s="141"/>
      <c r="B156" s="160">
        <v>140</v>
      </c>
      <c r="C156" s="224"/>
      <c r="D156" s="213"/>
      <c r="E156" s="215"/>
      <c r="F156" s="214"/>
      <c r="G156" s="214"/>
      <c r="H156" s="74" t="str">
        <f t="shared" si="4"/>
        <v/>
      </c>
      <c r="I156" s="188" t="str">
        <f t="shared" si="5"/>
        <v/>
      </c>
      <c r="J156" s="221"/>
    </row>
    <row r="157" spans="1:10" s="90" customFormat="1" ht="14.25" hidden="1" x14ac:dyDescent="0.3">
      <c r="A157" s="141"/>
      <c r="B157" s="160">
        <v>141</v>
      </c>
      <c r="C157" s="224"/>
      <c r="D157" s="216"/>
      <c r="E157" s="215"/>
      <c r="F157" s="217"/>
      <c r="G157" s="218"/>
      <c r="H157" s="74" t="str">
        <f t="shared" si="4"/>
        <v/>
      </c>
      <c r="I157" s="188" t="str">
        <f t="shared" si="5"/>
        <v/>
      </c>
      <c r="J157" s="221"/>
    </row>
    <row r="158" spans="1:10" s="90" customFormat="1" ht="14.25" hidden="1" x14ac:dyDescent="0.3">
      <c r="A158" s="141"/>
      <c r="B158" s="160">
        <v>142</v>
      </c>
      <c r="C158" s="224"/>
      <c r="D158" s="213"/>
      <c r="E158" s="215"/>
      <c r="F158" s="214"/>
      <c r="G158" s="214"/>
      <c r="H158" s="74" t="str">
        <f t="shared" si="4"/>
        <v/>
      </c>
      <c r="I158" s="188" t="str">
        <f t="shared" si="5"/>
        <v/>
      </c>
      <c r="J158" s="221"/>
    </row>
    <row r="159" spans="1:10" s="90" customFormat="1" ht="14.25" hidden="1" x14ac:dyDescent="0.3">
      <c r="A159" s="141"/>
      <c r="B159" s="160">
        <v>143</v>
      </c>
      <c r="C159" s="224"/>
      <c r="D159" s="213"/>
      <c r="E159" s="215"/>
      <c r="F159" s="214"/>
      <c r="G159" s="214"/>
      <c r="H159" s="74" t="str">
        <f t="shared" si="4"/>
        <v/>
      </c>
      <c r="I159" s="188" t="str">
        <f t="shared" si="5"/>
        <v/>
      </c>
      <c r="J159" s="221"/>
    </row>
    <row r="160" spans="1:10" s="90" customFormat="1" ht="14.25" hidden="1" x14ac:dyDescent="0.3">
      <c r="A160" s="141"/>
      <c r="B160" s="160">
        <v>144</v>
      </c>
      <c r="C160" s="224"/>
      <c r="D160" s="216"/>
      <c r="E160" s="215"/>
      <c r="F160" s="217"/>
      <c r="G160" s="218"/>
      <c r="H160" s="74" t="str">
        <f t="shared" si="4"/>
        <v/>
      </c>
      <c r="I160" s="188" t="str">
        <f t="shared" si="5"/>
        <v/>
      </c>
      <c r="J160" s="221"/>
    </row>
    <row r="161" spans="1:10" s="90" customFormat="1" ht="14.25" hidden="1" x14ac:dyDescent="0.3">
      <c r="A161" s="141"/>
      <c r="B161" s="160">
        <v>145</v>
      </c>
      <c r="C161" s="224"/>
      <c r="D161" s="213"/>
      <c r="E161" s="215"/>
      <c r="F161" s="214"/>
      <c r="G161" s="214"/>
      <c r="H161" s="74" t="str">
        <f t="shared" si="4"/>
        <v/>
      </c>
      <c r="I161" s="188" t="str">
        <f t="shared" si="5"/>
        <v/>
      </c>
      <c r="J161" s="221"/>
    </row>
    <row r="162" spans="1:10" s="90" customFormat="1" ht="14.25" hidden="1" x14ac:dyDescent="0.3">
      <c r="A162" s="141"/>
      <c r="B162" s="160">
        <v>146</v>
      </c>
      <c r="C162" s="224"/>
      <c r="D162" s="213"/>
      <c r="E162" s="215"/>
      <c r="F162" s="214"/>
      <c r="G162" s="214"/>
      <c r="H162" s="74" t="str">
        <f t="shared" si="4"/>
        <v/>
      </c>
      <c r="I162" s="188" t="str">
        <f t="shared" si="5"/>
        <v/>
      </c>
      <c r="J162" s="221"/>
    </row>
    <row r="163" spans="1:10" s="90" customFormat="1" ht="14.25" hidden="1" x14ac:dyDescent="0.3">
      <c r="A163" s="141"/>
      <c r="B163" s="160">
        <v>147</v>
      </c>
      <c r="C163" s="224"/>
      <c r="D163" s="216"/>
      <c r="E163" s="215"/>
      <c r="F163" s="217"/>
      <c r="G163" s="218"/>
      <c r="H163" s="74" t="str">
        <f t="shared" si="4"/>
        <v/>
      </c>
      <c r="I163" s="188" t="str">
        <f t="shared" si="5"/>
        <v/>
      </c>
      <c r="J163" s="221"/>
    </row>
    <row r="164" spans="1:10" s="90" customFormat="1" ht="14.25" hidden="1" x14ac:dyDescent="0.3">
      <c r="A164" s="141"/>
      <c r="B164" s="160">
        <v>148</v>
      </c>
      <c r="C164" s="224"/>
      <c r="D164" s="213"/>
      <c r="E164" s="215"/>
      <c r="F164" s="214"/>
      <c r="G164" s="214"/>
      <c r="H164" s="74" t="str">
        <f t="shared" si="4"/>
        <v/>
      </c>
      <c r="I164" s="188" t="str">
        <f t="shared" si="5"/>
        <v/>
      </c>
      <c r="J164" s="221"/>
    </row>
    <row r="165" spans="1:10" s="90" customFormat="1" ht="14.25" hidden="1" x14ac:dyDescent="0.3">
      <c r="A165" s="141"/>
      <c r="B165" s="160">
        <v>149</v>
      </c>
      <c r="C165" s="224"/>
      <c r="D165" s="213"/>
      <c r="E165" s="215"/>
      <c r="F165" s="214"/>
      <c r="G165" s="214"/>
      <c r="H165" s="74" t="str">
        <f t="shared" si="4"/>
        <v/>
      </c>
      <c r="I165" s="188" t="str">
        <f t="shared" si="5"/>
        <v/>
      </c>
      <c r="J165" s="221"/>
    </row>
    <row r="166" spans="1:10" s="90" customFormat="1" ht="14.25" hidden="1" x14ac:dyDescent="0.3">
      <c r="A166" s="141"/>
      <c r="B166" s="160">
        <v>150</v>
      </c>
      <c r="C166" s="224"/>
      <c r="D166" s="216"/>
      <c r="E166" s="215"/>
      <c r="F166" s="217"/>
      <c r="G166" s="218"/>
      <c r="H166" s="74" t="str">
        <f t="shared" si="4"/>
        <v/>
      </c>
      <c r="I166" s="188" t="str">
        <f t="shared" si="5"/>
        <v/>
      </c>
      <c r="J166" s="221"/>
    </row>
    <row r="167" spans="1:10" s="90" customFormat="1" ht="14.25" hidden="1" x14ac:dyDescent="0.3">
      <c r="A167" s="141"/>
      <c r="B167" s="160">
        <v>151</v>
      </c>
      <c r="C167" s="224"/>
      <c r="D167" s="213"/>
      <c r="E167" s="215"/>
      <c r="F167" s="214"/>
      <c r="G167" s="214"/>
      <c r="H167" s="74" t="str">
        <f t="shared" si="4"/>
        <v/>
      </c>
      <c r="I167" s="188" t="str">
        <f t="shared" si="5"/>
        <v/>
      </c>
      <c r="J167" s="221"/>
    </row>
    <row r="168" spans="1:10" s="90" customFormat="1" ht="14.25" hidden="1" x14ac:dyDescent="0.3">
      <c r="A168" s="141"/>
      <c r="B168" s="160">
        <v>152</v>
      </c>
      <c r="C168" s="224"/>
      <c r="D168" s="213"/>
      <c r="E168" s="215"/>
      <c r="F168" s="214"/>
      <c r="G168" s="214"/>
      <c r="H168" s="74" t="str">
        <f t="shared" si="4"/>
        <v/>
      </c>
      <c r="I168" s="188" t="str">
        <f t="shared" si="5"/>
        <v/>
      </c>
      <c r="J168" s="221"/>
    </row>
    <row r="169" spans="1:10" s="90" customFormat="1" ht="14.25" hidden="1" x14ac:dyDescent="0.3">
      <c r="A169" s="141"/>
      <c r="B169" s="160">
        <v>153</v>
      </c>
      <c r="C169" s="224"/>
      <c r="D169" s="216"/>
      <c r="E169" s="215"/>
      <c r="F169" s="217"/>
      <c r="G169" s="218"/>
      <c r="H169" s="74" t="str">
        <f t="shared" si="4"/>
        <v/>
      </c>
      <c r="I169" s="188" t="str">
        <f t="shared" si="5"/>
        <v/>
      </c>
      <c r="J169" s="221"/>
    </row>
    <row r="170" spans="1:10" s="90" customFormat="1" ht="14.25" hidden="1" x14ac:dyDescent="0.3">
      <c r="A170" s="141"/>
      <c r="B170" s="160">
        <v>154</v>
      </c>
      <c r="C170" s="224"/>
      <c r="D170" s="213"/>
      <c r="E170" s="215"/>
      <c r="F170" s="214"/>
      <c r="G170" s="214"/>
      <c r="H170" s="74" t="str">
        <f t="shared" si="4"/>
        <v/>
      </c>
      <c r="I170" s="188" t="str">
        <f t="shared" si="5"/>
        <v/>
      </c>
      <c r="J170" s="221"/>
    </row>
    <row r="171" spans="1:10" s="90" customFormat="1" ht="14.25" hidden="1" x14ac:dyDescent="0.3">
      <c r="A171" s="141"/>
      <c r="B171" s="160">
        <v>155</v>
      </c>
      <c r="C171" s="224"/>
      <c r="D171" s="213"/>
      <c r="E171" s="215"/>
      <c r="F171" s="214"/>
      <c r="G171" s="214"/>
      <c r="H171" s="74" t="str">
        <f t="shared" si="4"/>
        <v/>
      </c>
      <c r="I171" s="188" t="str">
        <f t="shared" si="5"/>
        <v/>
      </c>
      <c r="J171" s="221"/>
    </row>
    <row r="172" spans="1:10" s="90" customFormat="1" ht="14.25" hidden="1" x14ac:dyDescent="0.3">
      <c r="A172" s="141"/>
      <c r="B172" s="160">
        <v>156</v>
      </c>
      <c r="C172" s="224"/>
      <c r="D172" s="216"/>
      <c r="E172" s="215"/>
      <c r="F172" s="217"/>
      <c r="G172" s="218"/>
      <c r="H172" s="74" t="str">
        <f t="shared" si="4"/>
        <v/>
      </c>
      <c r="I172" s="188" t="str">
        <f t="shared" si="5"/>
        <v/>
      </c>
      <c r="J172" s="221"/>
    </row>
    <row r="173" spans="1:10" s="90" customFormat="1" ht="14.25" hidden="1" x14ac:dyDescent="0.3">
      <c r="A173" s="141"/>
      <c r="B173" s="160">
        <v>157</v>
      </c>
      <c r="C173" s="224"/>
      <c r="D173" s="213"/>
      <c r="E173" s="215"/>
      <c r="F173" s="214"/>
      <c r="G173" s="214"/>
      <c r="H173" s="74" t="str">
        <f t="shared" si="4"/>
        <v/>
      </c>
      <c r="I173" s="188" t="str">
        <f t="shared" si="5"/>
        <v/>
      </c>
      <c r="J173" s="221"/>
    </row>
    <row r="174" spans="1:10" s="90" customFormat="1" ht="14.25" hidden="1" x14ac:dyDescent="0.3">
      <c r="A174" s="141"/>
      <c r="B174" s="160">
        <v>158</v>
      </c>
      <c r="C174" s="224"/>
      <c r="D174" s="213"/>
      <c r="E174" s="215"/>
      <c r="F174" s="214"/>
      <c r="G174" s="214"/>
      <c r="H174" s="74" t="str">
        <f t="shared" si="4"/>
        <v/>
      </c>
      <c r="I174" s="188" t="str">
        <f t="shared" si="5"/>
        <v/>
      </c>
      <c r="J174" s="221"/>
    </row>
    <row r="175" spans="1:10" s="90" customFormat="1" ht="14.25" hidden="1" x14ac:dyDescent="0.3">
      <c r="A175" s="141"/>
      <c r="B175" s="160">
        <v>159</v>
      </c>
      <c r="C175" s="224"/>
      <c r="D175" s="216"/>
      <c r="E175" s="215"/>
      <c r="F175" s="217"/>
      <c r="G175" s="218"/>
      <c r="H175" s="74" t="str">
        <f t="shared" si="4"/>
        <v/>
      </c>
      <c r="I175" s="188" t="str">
        <f t="shared" si="5"/>
        <v/>
      </c>
      <c r="J175" s="221"/>
    </row>
    <row r="176" spans="1:10" s="90" customFormat="1" ht="14.25" hidden="1" x14ac:dyDescent="0.3">
      <c r="A176" s="141"/>
      <c r="B176" s="160">
        <v>160</v>
      </c>
      <c r="C176" s="224"/>
      <c r="D176" s="213"/>
      <c r="E176" s="215"/>
      <c r="F176" s="214"/>
      <c r="G176" s="214"/>
      <c r="H176" s="74" t="str">
        <f t="shared" si="4"/>
        <v/>
      </c>
      <c r="I176" s="188" t="str">
        <f t="shared" si="5"/>
        <v/>
      </c>
      <c r="J176" s="221"/>
    </row>
    <row r="177" spans="1:10" s="90" customFormat="1" ht="14.25" hidden="1" x14ac:dyDescent="0.3">
      <c r="A177" s="141"/>
      <c r="B177" s="160">
        <v>161</v>
      </c>
      <c r="C177" s="224"/>
      <c r="D177" s="213"/>
      <c r="E177" s="215"/>
      <c r="F177" s="214"/>
      <c r="G177" s="214"/>
      <c r="H177" s="74" t="str">
        <f t="shared" si="4"/>
        <v/>
      </c>
      <c r="I177" s="188" t="str">
        <f t="shared" si="5"/>
        <v/>
      </c>
      <c r="J177" s="221"/>
    </row>
    <row r="178" spans="1:10" s="90" customFormat="1" ht="14.25" hidden="1" x14ac:dyDescent="0.3">
      <c r="A178" s="141"/>
      <c r="B178" s="160">
        <v>162</v>
      </c>
      <c r="C178" s="224"/>
      <c r="D178" s="216"/>
      <c r="E178" s="215"/>
      <c r="F178" s="217"/>
      <c r="G178" s="218"/>
      <c r="H178" s="74" t="str">
        <f t="shared" si="4"/>
        <v/>
      </c>
      <c r="I178" s="188" t="str">
        <f t="shared" si="5"/>
        <v/>
      </c>
      <c r="J178" s="221"/>
    </row>
    <row r="179" spans="1:10" s="90" customFormat="1" ht="14.25" hidden="1" x14ac:dyDescent="0.3">
      <c r="A179" s="141"/>
      <c r="B179" s="160">
        <v>163</v>
      </c>
      <c r="C179" s="224"/>
      <c r="D179" s="213"/>
      <c r="E179" s="215"/>
      <c r="F179" s="214"/>
      <c r="G179" s="214"/>
      <c r="H179" s="74" t="str">
        <f t="shared" si="4"/>
        <v/>
      </c>
      <c r="I179" s="188" t="str">
        <f t="shared" si="5"/>
        <v/>
      </c>
      <c r="J179" s="221"/>
    </row>
    <row r="180" spans="1:10" s="90" customFormat="1" ht="14.25" hidden="1" x14ac:dyDescent="0.3">
      <c r="A180" s="141"/>
      <c r="B180" s="160">
        <v>164</v>
      </c>
      <c r="C180" s="224"/>
      <c r="D180" s="213"/>
      <c r="E180" s="215"/>
      <c r="F180" s="214"/>
      <c r="G180" s="214"/>
      <c r="H180" s="74" t="str">
        <f t="shared" si="4"/>
        <v/>
      </c>
      <c r="I180" s="188" t="str">
        <f t="shared" si="5"/>
        <v/>
      </c>
      <c r="J180" s="221"/>
    </row>
    <row r="181" spans="1:10" s="90" customFormat="1" ht="14.25" hidden="1" x14ac:dyDescent="0.3">
      <c r="A181" s="141"/>
      <c r="B181" s="160">
        <v>165</v>
      </c>
      <c r="C181" s="224"/>
      <c r="D181" s="216"/>
      <c r="E181" s="215"/>
      <c r="F181" s="217"/>
      <c r="G181" s="218"/>
      <c r="H181" s="74" t="str">
        <f t="shared" si="4"/>
        <v/>
      </c>
      <c r="I181" s="188" t="str">
        <f t="shared" si="5"/>
        <v/>
      </c>
      <c r="J181" s="221"/>
    </row>
    <row r="182" spans="1:10" s="90" customFormat="1" ht="14.25" hidden="1" x14ac:dyDescent="0.3">
      <c r="A182" s="141"/>
      <c r="B182" s="160">
        <v>166</v>
      </c>
      <c r="C182" s="224"/>
      <c r="D182" s="213"/>
      <c r="E182" s="215"/>
      <c r="F182" s="214"/>
      <c r="G182" s="214"/>
      <c r="H182" s="74" t="str">
        <f t="shared" si="4"/>
        <v/>
      </c>
      <c r="I182" s="188" t="str">
        <f t="shared" si="5"/>
        <v/>
      </c>
      <c r="J182" s="221"/>
    </row>
    <row r="183" spans="1:10" s="90" customFormat="1" ht="14.25" hidden="1" x14ac:dyDescent="0.3">
      <c r="A183" s="141"/>
      <c r="B183" s="160">
        <v>167</v>
      </c>
      <c r="C183" s="224"/>
      <c r="D183" s="213"/>
      <c r="E183" s="215"/>
      <c r="F183" s="214"/>
      <c r="G183" s="214"/>
      <c r="H183" s="74" t="str">
        <f t="shared" si="4"/>
        <v/>
      </c>
      <c r="I183" s="188" t="str">
        <f t="shared" si="5"/>
        <v/>
      </c>
      <c r="J183" s="221"/>
    </row>
    <row r="184" spans="1:10" s="90" customFormat="1" ht="14.25" hidden="1" x14ac:dyDescent="0.3">
      <c r="A184" s="141"/>
      <c r="B184" s="160">
        <v>168</v>
      </c>
      <c r="C184" s="224"/>
      <c r="D184" s="216"/>
      <c r="E184" s="215"/>
      <c r="F184" s="217"/>
      <c r="G184" s="218"/>
      <c r="H184" s="74" t="str">
        <f t="shared" si="4"/>
        <v/>
      </c>
      <c r="I184" s="188" t="str">
        <f t="shared" si="5"/>
        <v/>
      </c>
      <c r="J184" s="221"/>
    </row>
    <row r="185" spans="1:10" s="90" customFormat="1" ht="14.25" hidden="1" x14ac:dyDescent="0.3">
      <c r="A185" s="141"/>
      <c r="B185" s="160">
        <v>169</v>
      </c>
      <c r="C185" s="224"/>
      <c r="D185" s="213"/>
      <c r="E185" s="215"/>
      <c r="F185" s="214"/>
      <c r="G185" s="214"/>
      <c r="H185" s="74" t="str">
        <f t="shared" si="4"/>
        <v/>
      </c>
      <c r="I185" s="188" t="str">
        <f t="shared" si="5"/>
        <v/>
      </c>
      <c r="J185" s="221"/>
    </row>
    <row r="186" spans="1:10" s="90" customFormat="1" ht="14.25" hidden="1" x14ac:dyDescent="0.3">
      <c r="A186" s="141"/>
      <c r="B186" s="160">
        <v>170</v>
      </c>
      <c r="C186" s="224"/>
      <c r="D186" s="213"/>
      <c r="E186" s="215"/>
      <c r="F186" s="214"/>
      <c r="G186" s="214"/>
      <c r="H186" s="74" t="str">
        <f t="shared" si="4"/>
        <v/>
      </c>
      <c r="I186" s="188" t="str">
        <f t="shared" si="5"/>
        <v/>
      </c>
      <c r="J186" s="221"/>
    </row>
    <row r="187" spans="1:10" s="90" customFormat="1" ht="14.25" hidden="1" x14ac:dyDescent="0.3">
      <c r="A187" s="141"/>
      <c r="B187" s="160">
        <v>171</v>
      </c>
      <c r="C187" s="224"/>
      <c r="D187" s="216"/>
      <c r="E187" s="215"/>
      <c r="F187" s="217"/>
      <c r="G187" s="218"/>
      <c r="H187" s="74" t="str">
        <f t="shared" si="4"/>
        <v/>
      </c>
      <c r="I187" s="188" t="str">
        <f t="shared" si="5"/>
        <v/>
      </c>
      <c r="J187" s="221"/>
    </row>
    <row r="188" spans="1:10" s="90" customFormat="1" ht="14.25" hidden="1" x14ac:dyDescent="0.3">
      <c r="A188" s="141"/>
      <c r="B188" s="160">
        <v>172</v>
      </c>
      <c r="C188" s="224"/>
      <c r="D188" s="213"/>
      <c r="E188" s="215"/>
      <c r="F188" s="214"/>
      <c r="G188" s="214"/>
      <c r="H188" s="74" t="str">
        <f t="shared" si="4"/>
        <v/>
      </c>
      <c r="I188" s="188" t="str">
        <f t="shared" si="5"/>
        <v/>
      </c>
      <c r="J188" s="221"/>
    </row>
    <row r="189" spans="1:10" s="90" customFormat="1" ht="14.25" hidden="1" x14ac:dyDescent="0.3">
      <c r="A189" s="141"/>
      <c r="B189" s="160">
        <v>173</v>
      </c>
      <c r="C189" s="224"/>
      <c r="D189" s="213"/>
      <c r="E189" s="215"/>
      <c r="F189" s="214"/>
      <c r="G189" s="214"/>
      <c r="H189" s="74" t="str">
        <f t="shared" si="4"/>
        <v/>
      </c>
      <c r="I189" s="188" t="str">
        <f t="shared" si="5"/>
        <v/>
      </c>
      <c r="J189" s="221"/>
    </row>
    <row r="190" spans="1:10" s="90" customFormat="1" ht="14.25" hidden="1" x14ac:dyDescent="0.3">
      <c r="A190" s="141"/>
      <c r="B190" s="160">
        <v>174</v>
      </c>
      <c r="C190" s="224"/>
      <c r="D190" s="216"/>
      <c r="E190" s="215"/>
      <c r="F190" s="217"/>
      <c r="G190" s="218"/>
      <c r="H190" s="74" t="str">
        <f t="shared" si="4"/>
        <v/>
      </c>
      <c r="I190" s="188" t="str">
        <f t="shared" si="5"/>
        <v/>
      </c>
      <c r="J190" s="221"/>
    </row>
    <row r="191" spans="1:10" s="90" customFormat="1" ht="14.25" hidden="1" x14ac:dyDescent="0.3">
      <c r="A191" s="141"/>
      <c r="B191" s="160">
        <v>175</v>
      </c>
      <c r="C191" s="224"/>
      <c r="D191" s="213"/>
      <c r="E191" s="215"/>
      <c r="F191" s="214"/>
      <c r="G191" s="214"/>
      <c r="H191" s="74" t="str">
        <f t="shared" si="4"/>
        <v/>
      </c>
      <c r="I191" s="188" t="str">
        <f t="shared" si="5"/>
        <v/>
      </c>
      <c r="J191" s="221"/>
    </row>
    <row r="192" spans="1:10" s="90" customFormat="1" ht="14.25" hidden="1" x14ac:dyDescent="0.3">
      <c r="A192" s="141"/>
      <c r="B192" s="160">
        <v>176</v>
      </c>
      <c r="C192" s="224"/>
      <c r="D192" s="213"/>
      <c r="E192" s="215"/>
      <c r="F192" s="214"/>
      <c r="G192" s="214"/>
      <c r="H192" s="74" t="str">
        <f t="shared" si="4"/>
        <v/>
      </c>
      <c r="I192" s="188" t="str">
        <f t="shared" si="5"/>
        <v/>
      </c>
      <c r="J192" s="221"/>
    </row>
    <row r="193" spans="1:10" s="90" customFormat="1" ht="14.25" hidden="1" x14ac:dyDescent="0.3">
      <c r="A193" s="141"/>
      <c r="B193" s="160">
        <v>177</v>
      </c>
      <c r="C193" s="224"/>
      <c r="D193" s="216"/>
      <c r="E193" s="215"/>
      <c r="F193" s="217"/>
      <c r="G193" s="218"/>
      <c r="H193" s="74" t="str">
        <f t="shared" si="4"/>
        <v/>
      </c>
      <c r="I193" s="188" t="str">
        <f t="shared" si="5"/>
        <v/>
      </c>
      <c r="J193" s="221"/>
    </row>
    <row r="194" spans="1:10" s="90" customFormat="1" ht="14.25" hidden="1" x14ac:dyDescent="0.3">
      <c r="A194" s="141"/>
      <c r="B194" s="160">
        <v>178</v>
      </c>
      <c r="C194" s="224"/>
      <c r="D194" s="213"/>
      <c r="E194" s="215"/>
      <c r="F194" s="214"/>
      <c r="G194" s="214"/>
      <c r="H194" s="74" t="str">
        <f t="shared" si="4"/>
        <v/>
      </c>
      <c r="I194" s="188" t="str">
        <f t="shared" si="5"/>
        <v/>
      </c>
      <c r="J194" s="221"/>
    </row>
    <row r="195" spans="1:10" s="90" customFormat="1" ht="14.25" hidden="1" x14ac:dyDescent="0.3">
      <c r="A195" s="141"/>
      <c r="B195" s="160">
        <v>179</v>
      </c>
      <c r="C195" s="224"/>
      <c r="D195" s="213"/>
      <c r="E195" s="215"/>
      <c r="F195" s="214"/>
      <c r="G195" s="214"/>
      <c r="H195" s="74" t="str">
        <f t="shared" si="4"/>
        <v/>
      </c>
      <c r="I195" s="188" t="str">
        <f t="shared" si="5"/>
        <v/>
      </c>
      <c r="J195" s="221"/>
    </row>
    <row r="196" spans="1:10" s="90" customFormat="1" ht="14.25" hidden="1" x14ac:dyDescent="0.3">
      <c r="A196" s="141"/>
      <c r="B196" s="160">
        <v>180</v>
      </c>
      <c r="C196" s="224"/>
      <c r="D196" s="216"/>
      <c r="E196" s="215"/>
      <c r="F196" s="217"/>
      <c r="G196" s="218"/>
      <c r="H196" s="74" t="str">
        <f t="shared" si="4"/>
        <v/>
      </c>
      <c r="I196" s="188" t="str">
        <f t="shared" si="5"/>
        <v/>
      </c>
      <c r="J196" s="221"/>
    </row>
    <row r="197" spans="1:10" s="90" customFormat="1" ht="14.25" hidden="1" x14ac:dyDescent="0.3">
      <c r="A197" s="141"/>
      <c r="B197" s="160">
        <v>181</v>
      </c>
      <c r="C197" s="224"/>
      <c r="D197" s="213"/>
      <c r="E197" s="215"/>
      <c r="F197" s="214"/>
      <c r="G197" s="214"/>
      <c r="H197" s="74" t="str">
        <f t="shared" si="4"/>
        <v/>
      </c>
      <c r="I197" s="188" t="str">
        <f t="shared" si="5"/>
        <v/>
      </c>
      <c r="J197" s="221"/>
    </row>
    <row r="198" spans="1:10" s="90" customFormat="1" ht="14.25" hidden="1" x14ac:dyDescent="0.3">
      <c r="A198" s="141"/>
      <c r="B198" s="160">
        <v>182</v>
      </c>
      <c r="C198" s="224"/>
      <c r="D198" s="213"/>
      <c r="E198" s="215"/>
      <c r="F198" s="214"/>
      <c r="G198" s="214"/>
      <c r="H198" s="74" t="str">
        <f t="shared" si="4"/>
        <v/>
      </c>
      <c r="I198" s="188" t="str">
        <f t="shared" si="5"/>
        <v/>
      </c>
      <c r="J198" s="221"/>
    </row>
    <row r="199" spans="1:10" s="90" customFormat="1" ht="14.25" hidden="1" x14ac:dyDescent="0.3">
      <c r="A199" s="141"/>
      <c r="B199" s="160">
        <v>183</v>
      </c>
      <c r="C199" s="224"/>
      <c r="D199" s="216"/>
      <c r="E199" s="215"/>
      <c r="F199" s="217"/>
      <c r="G199" s="218"/>
      <c r="H199" s="74" t="str">
        <f t="shared" si="4"/>
        <v/>
      </c>
      <c r="I199" s="188" t="str">
        <f t="shared" si="5"/>
        <v/>
      </c>
      <c r="J199" s="221"/>
    </row>
    <row r="200" spans="1:10" s="90" customFormat="1" ht="14.25" hidden="1" x14ac:dyDescent="0.3">
      <c r="A200" s="141"/>
      <c r="B200" s="160">
        <v>184</v>
      </c>
      <c r="C200" s="224"/>
      <c r="D200" s="213"/>
      <c r="E200" s="215"/>
      <c r="F200" s="214"/>
      <c r="G200" s="214"/>
      <c r="H200" s="74" t="str">
        <f t="shared" si="4"/>
        <v/>
      </c>
      <c r="I200" s="188" t="str">
        <f t="shared" si="5"/>
        <v/>
      </c>
      <c r="J200" s="221"/>
    </row>
    <row r="201" spans="1:10" s="90" customFormat="1" ht="14.25" hidden="1" x14ac:dyDescent="0.3">
      <c r="A201" s="141"/>
      <c r="B201" s="160">
        <v>185</v>
      </c>
      <c r="C201" s="224"/>
      <c r="D201" s="213"/>
      <c r="E201" s="215"/>
      <c r="F201" s="214"/>
      <c r="G201" s="214"/>
      <c r="H201" s="74" t="str">
        <f t="shared" si="4"/>
        <v/>
      </c>
      <c r="I201" s="188" t="str">
        <f t="shared" si="5"/>
        <v/>
      </c>
      <c r="J201" s="221"/>
    </row>
    <row r="202" spans="1:10" s="90" customFormat="1" ht="14.25" hidden="1" x14ac:dyDescent="0.3">
      <c r="A202" s="141"/>
      <c r="B202" s="160">
        <v>186</v>
      </c>
      <c r="C202" s="224"/>
      <c r="D202" s="216"/>
      <c r="E202" s="215"/>
      <c r="F202" s="217"/>
      <c r="G202" s="218"/>
      <c r="H202" s="74" t="str">
        <f t="shared" si="4"/>
        <v/>
      </c>
      <c r="I202" s="188" t="str">
        <f t="shared" si="5"/>
        <v/>
      </c>
      <c r="J202" s="221"/>
    </row>
    <row r="203" spans="1:10" s="90" customFormat="1" ht="14.25" hidden="1" x14ac:dyDescent="0.3">
      <c r="A203" s="141"/>
      <c r="B203" s="160">
        <v>187</v>
      </c>
      <c r="C203" s="224"/>
      <c r="D203" s="213"/>
      <c r="E203" s="215"/>
      <c r="F203" s="214"/>
      <c r="G203" s="214"/>
      <c r="H203" s="74" t="str">
        <f t="shared" si="4"/>
        <v/>
      </c>
      <c r="I203" s="188" t="str">
        <f t="shared" si="5"/>
        <v/>
      </c>
      <c r="J203" s="221"/>
    </row>
    <row r="204" spans="1:10" s="90" customFormat="1" ht="14.25" hidden="1" x14ac:dyDescent="0.3">
      <c r="A204" s="141"/>
      <c r="B204" s="160">
        <v>188</v>
      </c>
      <c r="C204" s="224"/>
      <c r="D204" s="213"/>
      <c r="E204" s="215"/>
      <c r="F204" s="214"/>
      <c r="G204" s="214"/>
      <c r="H204" s="74" t="str">
        <f t="shared" si="4"/>
        <v/>
      </c>
      <c r="I204" s="188" t="str">
        <f t="shared" si="5"/>
        <v/>
      </c>
      <c r="J204" s="221"/>
    </row>
    <row r="205" spans="1:10" s="90" customFormat="1" ht="14.25" hidden="1" x14ac:dyDescent="0.3">
      <c r="A205" s="141"/>
      <c r="B205" s="160">
        <v>189</v>
      </c>
      <c r="C205" s="224"/>
      <c r="D205" s="216"/>
      <c r="E205" s="215"/>
      <c r="F205" s="217"/>
      <c r="G205" s="218"/>
      <c r="H205" s="74" t="str">
        <f t="shared" si="4"/>
        <v/>
      </c>
      <c r="I205" s="188" t="str">
        <f t="shared" si="5"/>
        <v/>
      </c>
      <c r="J205" s="221"/>
    </row>
    <row r="206" spans="1:10" s="90" customFormat="1" ht="14.25" hidden="1" x14ac:dyDescent="0.3">
      <c r="A206" s="141"/>
      <c r="B206" s="160">
        <v>190</v>
      </c>
      <c r="C206" s="224"/>
      <c r="D206" s="213"/>
      <c r="E206" s="215"/>
      <c r="F206" s="214"/>
      <c r="G206" s="214"/>
      <c r="H206" s="74" t="str">
        <f t="shared" si="4"/>
        <v/>
      </c>
      <c r="I206" s="188" t="str">
        <f t="shared" si="5"/>
        <v/>
      </c>
      <c r="J206" s="221"/>
    </row>
    <row r="207" spans="1:10" s="90" customFormat="1" ht="14.25" hidden="1" x14ac:dyDescent="0.3">
      <c r="A207" s="141"/>
      <c r="B207" s="160">
        <v>191</v>
      </c>
      <c r="C207" s="224"/>
      <c r="D207" s="213"/>
      <c r="E207" s="215"/>
      <c r="F207" s="214"/>
      <c r="G207" s="214"/>
      <c r="H207" s="74" t="str">
        <f t="shared" si="4"/>
        <v/>
      </c>
      <c r="I207" s="188" t="str">
        <f t="shared" si="5"/>
        <v/>
      </c>
      <c r="J207" s="221"/>
    </row>
    <row r="208" spans="1:10" s="90" customFormat="1" ht="14.25" hidden="1" x14ac:dyDescent="0.3">
      <c r="A208" s="141"/>
      <c r="B208" s="160">
        <v>192</v>
      </c>
      <c r="C208" s="224"/>
      <c r="D208" s="216"/>
      <c r="E208" s="215"/>
      <c r="F208" s="217"/>
      <c r="G208" s="218"/>
      <c r="H208" s="74" t="str">
        <f t="shared" si="4"/>
        <v/>
      </c>
      <c r="I208" s="188" t="str">
        <f t="shared" si="5"/>
        <v/>
      </c>
      <c r="J208" s="221"/>
    </row>
    <row r="209" spans="1:10" s="90" customFormat="1" ht="14.25" hidden="1" x14ac:dyDescent="0.3">
      <c r="A209" s="141"/>
      <c r="B209" s="160">
        <v>193</v>
      </c>
      <c r="C209" s="224"/>
      <c r="D209" s="213"/>
      <c r="E209" s="215"/>
      <c r="F209" s="214"/>
      <c r="G209" s="214"/>
      <c r="H209" s="74" t="str">
        <f t="shared" si="4"/>
        <v/>
      </c>
      <c r="I209" s="188" t="str">
        <f t="shared" si="5"/>
        <v/>
      </c>
      <c r="J209" s="221"/>
    </row>
    <row r="210" spans="1:10" s="90" customFormat="1" ht="14.25" hidden="1" x14ac:dyDescent="0.3">
      <c r="A210" s="141"/>
      <c r="B210" s="160">
        <v>194</v>
      </c>
      <c r="C210" s="224"/>
      <c r="D210" s="213"/>
      <c r="E210" s="215"/>
      <c r="F210" s="214"/>
      <c r="G210" s="214"/>
      <c r="H210" s="74" t="str">
        <f t="shared" ref="H210:H273" si="6">ObterComplexidadeFuncao(E210,F210,G210)</f>
        <v/>
      </c>
      <c r="I210" s="188" t="str">
        <f t="shared" ref="I210:I273" si="7">ObterContribuicaoFuncao(E210,H210)</f>
        <v/>
      </c>
      <c r="J210" s="221"/>
    </row>
    <row r="211" spans="1:10" s="90" customFormat="1" ht="14.25" hidden="1" x14ac:dyDescent="0.3">
      <c r="A211" s="141"/>
      <c r="B211" s="160">
        <v>195</v>
      </c>
      <c r="C211" s="224"/>
      <c r="D211" s="216"/>
      <c r="E211" s="215"/>
      <c r="F211" s="217"/>
      <c r="G211" s="218"/>
      <c r="H211" s="74" t="str">
        <f t="shared" si="6"/>
        <v/>
      </c>
      <c r="I211" s="188" t="str">
        <f t="shared" si="7"/>
        <v/>
      </c>
      <c r="J211" s="221"/>
    </row>
    <row r="212" spans="1:10" s="90" customFormat="1" ht="14.25" hidden="1" x14ac:dyDescent="0.3">
      <c r="A212" s="141"/>
      <c r="B212" s="160">
        <v>196</v>
      </c>
      <c r="C212" s="224"/>
      <c r="D212" s="213"/>
      <c r="E212" s="215"/>
      <c r="F212" s="214"/>
      <c r="G212" s="214"/>
      <c r="H212" s="74" t="str">
        <f t="shared" si="6"/>
        <v/>
      </c>
      <c r="I212" s="188" t="str">
        <f t="shared" si="7"/>
        <v/>
      </c>
      <c r="J212" s="221"/>
    </row>
    <row r="213" spans="1:10" s="90" customFormat="1" ht="14.25" hidden="1" x14ac:dyDescent="0.3">
      <c r="A213" s="141"/>
      <c r="B213" s="160">
        <v>197</v>
      </c>
      <c r="C213" s="224"/>
      <c r="D213" s="213"/>
      <c r="E213" s="215"/>
      <c r="F213" s="214"/>
      <c r="G213" s="214"/>
      <c r="H213" s="74" t="str">
        <f t="shared" si="6"/>
        <v/>
      </c>
      <c r="I213" s="188" t="str">
        <f t="shared" si="7"/>
        <v/>
      </c>
      <c r="J213" s="221"/>
    </row>
    <row r="214" spans="1:10" s="90" customFormat="1" ht="14.25" hidden="1" x14ac:dyDescent="0.3">
      <c r="A214" s="141"/>
      <c r="B214" s="160">
        <v>198</v>
      </c>
      <c r="C214" s="224"/>
      <c r="D214" s="216"/>
      <c r="E214" s="215"/>
      <c r="F214" s="217"/>
      <c r="G214" s="218"/>
      <c r="H214" s="74" t="str">
        <f t="shared" si="6"/>
        <v/>
      </c>
      <c r="I214" s="188" t="str">
        <f t="shared" si="7"/>
        <v/>
      </c>
      <c r="J214" s="221"/>
    </row>
    <row r="215" spans="1:10" s="90" customFormat="1" ht="14.25" hidden="1" x14ac:dyDescent="0.3">
      <c r="A215" s="141"/>
      <c r="B215" s="160">
        <v>199</v>
      </c>
      <c r="C215" s="224"/>
      <c r="D215" s="213"/>
      <c r="E215" s="215"/>
      <c r="F215" s="214"/>
      <c r="G215" s="214"/>
      <c r="H215" s="74" t="str">
        <f t="shared" si="6"/>
        <v/>
      </c>
      <c r="I215" s="188" t="str">
        <f t="shared" si="7"/>
        <v/>
      </c>
      <c r="J215" s="221"/>
    </row>
    <row r="216" spans="1:10" s="90" customFormat="1" ht="14.25" hidden="1" x14ac:dyDescent="0.3">
      <c r="A216" s="141"/>
      <c r="B216" s="160">
        <v>200</v>
      </c>
      <c r="C216" s="224"/>
      <c r="D216" s="213"/>
      <c r="E216" s="215"/>
      <c r="F216" s="214"/>
      <c r="G216" s="214"/>
      <c r="H216" s="74" t="str">
        <f t="shared" si="6"/>
        <v/>
      </c>
      <c r="I216" s="188" t="str">
        <f t="shared" si="7"/>
        <v/>
      </c>
      <c r="J216" s="221"/>
    </row>
    <row r="217" spans="1:10" s="90" customFormat="1" ht="14.25" hidden="1" x14ac:dyDescent="0.3">
      <c r="A217" s="141"/>
      <c r="B217" s="160">
        <v>201</v>
      </c>
      <c r="C217" s="224"/>
      <c r="D217" s="216"/>
      <c r="E217" s="215"/>
      <c r="F217" s="217"/>
      <c r="G217" s="218"/>
      <c r="H217" s="74" t="str">
        <f t="shared" si="6"/>
        <v/>
      </c>
      <c r="I217" s="188" t="str">
        <f t="shared" si="7"/>
        <v/>
      </c>
      <c r="J217" s="221"/>
    </row>
    <row r="218" spans="1:10" s="90" customFormat="1" ht="14.25" hidden="1" x14ac:dyDescent="0.3">
      <c r="A218" s="141"/>
      <c r="B218" s="160">
        <v>202</v>
      </c>
      <c r="C218" s="224"/>
      <c r="D218" s="213"/>
      <c r="E218" s="215"/>
      <c r="F218" s="214"/>
      <c r="G218" s="214"/>
      <c r="H218" s="74" t="str">
        <f t="shared" si="6"/>
        <v/>
      </c>
      <c r="I218" s="188" t="str">
        <f t="shared" si="7"/>
        <v/>
      </c>
      <c r="J218" s="221"/>
    </row>
    <row r="219" spans="1:10" s="90" customFormat="1" ht="14.25" hidden="1" x14ac:dyDescent="0.3">
      <c r="A219" s="141"/>
      <c r="B219" s="160">
        <v>203</v>
      </c>
      <c r="C219" s="224"/>
      <c r="D219" s="213"/>
      <c r="E219" s="215"/>
      <c r="F219" s="214"/>
      <c r="G219" s="214"/>
      <c r="H219" s="74" t="str">
        <f t="shared" si="6"/>
        <v/>
      </c>
      <c r="I219" s="188" t="str">
        <f t="shared" si="7"/>
        <v/>
      </c>
      <c r="J219" s="221"/>
    </row>
    <row r="220" spans="1:10" s="90" customFormat="1" ht="14.25" hidden="1" x14ac:dyDescent="0.3">
      <c r="A220" s="141"/>
      <c r="B220" s="160">
        <v>204</v>
      </c>
      <c r="C220" s="224"/>
      <c r="D220" s="216"/>
      <c r="E220" s="215"/>
      <c r="F220" s="217"/>
      <c r="G220" s="218"/>
      <c r="H220" s="74" t="str">
        <f t="shared" si="6"/>
        <v/>
      </c>
      <c r="I220" s="188" t="str">
        <f t="shared" si="7"/>
        <v/>
      </c>
      <c r="J220" s="221"/>
    </row>
    <row r="221" spans="1:10" s="90" customFormat="1" ht="14.25" hidden="1" x14ac:dyDescent="0.3">
      <c r="A221" s="141"/>
      <c r="B221" s="160">
        <v>205</v>
      </c>
      <c r="C221" s="224"/>
      <c r="D221" s="213"/>
      <c r="E221" s="215"/>
      <c r="F221" s="214"/>
      <c r="G221" s="214"/>
      <c r="H221" s="74" t="str">
        <f t="shared" si="6"/>
        <v/>
      </c>
      <c r="I221" s="188" t="str">
        <f t="shared" si="7"/>
        <v/>
      </c>
      <c r="J221" s="221"/>
    </row>
    <row r="222" spans="1:10" s="90" customFormat="1" ht="14.25" hidden="1" x14ac:dyDescent="0.3">
      <c r="A222" s="141"/>
      <c r="B222" s="160">
        <v>206</v>
      </c>
      <c r="C222" s="224"/>
      <c r="D222" s="213"/>
      <c r="E222" s="215"/>
      <c r="F222" s="214"/>
      <c r="G222" s="214"/>
      <c r="H222" s="74" t="str">
        <f t="shared" si="6"/>
        <v/>
      </c>
      <c r="I222" s="188" t="str">
        <f t="shared" si="7"/>
        <v/>
      </c>
      <c r="J222" s="221"/>
    </row>
    <row r="223" spans="1:10" s="90" customFormat="1" ht="14.25" hidden="1" x14ac:dyDescent="0.3">
      <c r="A223" s="141"/>
      <c r="B223" s="160">
        <v>207</v>
      </c>
      <c r="C223" s="224"/>
      <c r="D223" s="216"/>
      <c r="E223" s="215"/>
      <c r="F223" s="217"/>
      <c r="G223" s="218"/>
      <c r="H223" s="74" t="str">
        <f t="shared" si="6"/>
        <v/>
      </c>
      <c r="I223" s="188" t="str">
        <f t="shared" si="7"/>
        <v/>
      </c>
      <c r="J223" s="221"/>
    </row>
    <row r="224" spans="1:10" s="90" customFormat="1" ht="14.25" hidden="1" x14ac:dyDescent="0.3">
      <c r="A224" s="141"/>
      <c r="B224" s="160">
        <v>208</v>
      </c>
      <c r="C224" s="224"/>
      <c r="D224" s="213"/>
      <c r="E224" s="215"/>
      <c r="F224" s="214"/>
      <c r="G224" s="214"/>
      <c r="H224" s="74" t="str">
        <f t="shared" si="6"/>
        <v/>
      </c>
      <c r="I224" s="188" t="str">
        <f t="shared" si="7"/>
        <v/>
      </c>
      <c r="J224" s="221"/>
    </row>
    <row r="225" spans="1:10" s="90" customFormat="1" ht="14.25" hidden="1" x14ac:dyDescent="0.3">
      <c r="A225" s="141"/>
      <c r="B225" s="160">
        <v>209</v>
      </c>
      <c r="C225" s="224"/>
      <c r="D225" s="213"/>
      <c r="E225" s="215"/>
      <c r="F225" s="214"/>
      <c r="G225" s="214"/>
      <c r="H225" s="74" t="str">
        <f t="shared" si="6"/>
        <v/>
      </c>
      <c r="I225" s="188" t="str">
        <f t="shared" si="7"/>
        <v/>
      </c>
      <c r="J225" s="221"/>
    </row>
    <row r="226" spans="1:10" s="90" customFormat="1" ht="14.25" hidden="1" x14ac:dyDescent="0.3">
      <c r="A226" s="141"/>
      <c r="B226" s="160">
        <v>210</v>
      </c>
      <c r="C226" s="224"/>
      <c r="D226" s="216"/>
      <c r="E226" s="215"/>
      <c r="F226" s="217"/>
      <c r="G226" s="218"/>
      <c r="H226" s="74" t="str">
        <f t="shared" si="6"/>
        <v/>
      </c>
      <c r="I226" s="188" t="str">
        <f t="shared" si="7"/>
        <v/>
      </c>
      <c r="J226" s="221"/>
    </row>
    <row r="227" spans="1:10" s="90" customFormat="1" ht="14.25" hidden="1" x14ac:dyDescent="0.3">
      <c r="A227" s="141"/>
      <c r="B227" s="160">
        <v>211</v>
      </c>
      <c r="C227" s="224"/>
      <c r="D227" s="213"/>
      <c r="E227" s="215"/>
      <c r="F227" s="214"/>
      <c r="G227" s="214"/>
      <c r="H227" s="74" t="str">
        <f t="shared" si="6"/>
        <v/>
      </c>
      <c r="I227" s="188" t="str">
        <f t="shared" si="7"/>
        <v/>
      </c>
      <c r="J227" s="221"/>
    </row>
    <row r="228" spans="1:10" s="90" customFormat="1" ht="14.25" hidden="1" x14ac:dyDescent="0.3">
      <c r="A228" s="141"/>
      <c r="B228" s="160">
        <v>212</v>
      </c>
      <c r="C228" s="224"/>
      <c r="D228" s="213"/>
      <c r="E228" s="215"/>
      <c r="F228" s="214"/>
      <c r="G228" s="214"/>
      <c r="H228" s="74" t="str">
        <f t="shared" si="6"/>
        <v/>
      </c>
      <c r="I228" s="188" t="str">
        <f t="shared" si="7"/>
        <v/>
      </c>
      <c r="J228" s="221"/>
    </row>
    <row r="229" spans="1:10" s="90" customFormat="1" ht="14.25" hidden="1" x14ac:dyDescent="0.3">
      <c r="A229" s="141"/>
      <c r="B229" s="160">
        <v>213</v>
      </c>
      <c r="C229" s="224"/>
      <c r="D229" s="216"/>
      <c r="E229" s="215"/>
      <c r="F229" s="217"/>
      <c r="G229" s="218"/>
      <c r="H229" s="74" t="str">
        <f t="shared" si="6"/>
        <v/>
      </c>
      <c r="I229" s="188" t="str">
        <f t="shared" si="7"/>
        <v/>
      </c>
      <c r="J229" s="221"/>
    </row>
    <row r="230" spans="1:10" s="90" customFormat="1" ht="14.25" hidden="1" x14ac:dyDescent="0.3">
      <c r="A230" s="141"/>
      <c r="B230" s="160">
        <v>214</v>
      </c>
      <c r="C230" s="224"/>
      <c r="D230" s="213"/>
      <c r="E230" s="215"/>
      <c r="F230" s="214"/>
      <c r="G230" s="214"/>
      <c r="H230" s="74" t="str">
        <f t="shared" si="6"/>
        <v/>
      </c>
      <c r="I230" s="188" t="str">
        <f t="shared" si="7"/>
        <v/>
      </c>
      <c r="J230" s="221"/>
    </row>
    <row r="231" spans="1:10" s="90" customFormat="1" ht="14.25" hidden="1" x14ac:dyDescent="0.3">
      <c r="A231" s="141"/>
      <c r="B231" s="160">
        <v>215</v>
      </c>
      <c r="C231" s="224"/>
      <c r="D231" s="213"/>
      <c r="E231" s="215"/>
      <c r="F231" s="214"/>
      <c r="G231" s="214"/>
      <c r="H231" s="74" t="str">
        <f t="shared" si="6"/>
        <v/>
      </c>
      <c r="I231" s="188" t="str">
        <f t="shared" si="7"/>
        <v/>
      </c>
      <c r="J231" s="221"/>
    </row>
    <row r="232" spans="1:10" s="90" customFormat="1" ht="14.25" hidden="1" x14ac:dyDescent="0.3">
      <c r="A232" s="141"/>
      <c r="B232" s="160">
        <v>216</v>
      </c>
      <c r="C232" s="224"/>
      <c r="D232" s="216"/>
      <c r="E232" s="215"/>
      <c r="F232" s="217"/>
      <c r="G232" s="218"/>
      <c r="H232" s="74" t="str">
        <f t="shared" si="6"/>
        <v/>
      </c>
      <c r="I232" s="188" t="str">
        <f t="shared" si="7"/>
        <v/>
      </c>
      <c r="J232" s="221"/>
    </row>
    <row r="233" spans="1:10" s="90" customFormat="1" ht="14.25" hidden="1" x14ac:dyDescent="0.3">
      <c r="A233" s="141"/>
      <c r="B233" s="160">
        <v>217</v>
      </c>
      <c r="C233" s="224"/>
      <c r="D233" s="213"/>
      <c r="E233" s="215"/>
      <c r="F233" s="214"/>
      <c r="G233" s="214"/>
      <c r="H233" s="74" t="str">
        <f t="shared" si="6"/>
        <v/>
      </c>
      <c r="I233" s="188" t="str">
        <f t="shared" si="7"/>
        <v/>
      </c>
      <c r="J233" s="221"/>
    </row>
    <row r="234" spans="1:10" s="90" customFormat="1" ht="14.25" hidden="1" x14ac:dyDescent="0.3">
      <c r="A234" s="141"/>
      <c r="B234" s="160">
        <v>218</v>
      </c>
      <c r="C234" s="224"/>
      <c r="D234" s="213"/>
      <c r="E234" s="215"/>
      <c r="F234" s="214"/>
      <c r="G234" s="214"/>
      <c r="H234" s="74" t="str">
        <f t="shared" si="6"/>
        <v/>
      </c>
      <c r="I234" s="188" t="str">
        <f t="shared" si="7"/>
        <v/>
      </c>
      <c r="J234" s="221"/>
    </row>
    <row r="235" spans="1:10" s="90" customFormat="1" ht="14.25" hidden="1" x14ac:dyDescent="0.3">
      <c r="A235" s="141"/>
      <c r="B235" s="160">
        <v>219</v>
      </c>
      <c r="C235" s="224"/>
      <c r="D235" s="216"/>
      <c r="E235" s="215"/>
      <c r="F235" s="217"/>
      <c r="G235" s="218"/>
      <c r="H235" s="74" t="str">
        <f t="shared" si="6"/>
        <v/>
      </c>
      <c r="I235" s="188" t="str">
        <f t="shared" si="7"/>
        <v/>
      </c>
      <c r="J235" s="221"/>
    </row>
    <row r="236" spans="1:10" s="90" customFormat="1" ht="14.25" hidden="1" x14ac:dyDescent="0.3">
      <c r="A236" s="141"/>
      <c r="B236" s="160">
        <v>220</v>
      </c>
      <c r="C236" s="224"/>
      <c r="D236" s="213"/>
      <c r="E236" s="215"/>
      <c r="F236" s="214"/>
      <c r="G236" s="214"/>
      <c r="H236" s="74" t="str">
        <f t="shared" si="6"/>
        <v/>
      </c>
      <c r="I236" s="188" t="str">
        <f t="shared" si="7"/>
        <v/>
      </c>
      <c r="J236" s="221"/>
    </row>
    <row r="237" spans="1:10" s="90" customFormat="1" ht="14.25" hidden="1" x14ac:dyDescent="0.3">
      <c r="A237" s="141"/>
      <c r="B237" s="160">
        <v>221</v>
      </c>
      <c r="C237" s="224"/>
      <c r="D237" s="213"/>
      <c r="E237" s="215"/>
      <c r="F237" s="214"/>
      <c r="G237" s="214"/>
      <c r="H237" s="74" t="str">
        <f t="shared" si="6"/>
        <v/>
      </c>
      <c r="I237" s="188" t="str">
        <f t="shared" si="7"/>
        <v/>
      </c>
      <c r="J237" s="221"/>
    </row>
    <row r="238" spans="1:10" s="90" customFormat="1" ht="14.25" hidden="1" x14ac:dyDescent="0.3">
      <c r="A238" s="141"/>
      <c r="B238" s="160">
        <v>222</v>
      </c>
      <c r="C238" s="224"/>
      <c r="D238" s="216"/>
      <c r="E238" s="215"/>
      <c r="F238" s="217"/>
      <c r="G238" s="218"/>
      <c r="H238" s="74" t="str">
        <f t="shared" si="6"/>
        <v/>
      </c>
      <c r="I238" s="188" t="str">
        <f t="shared" si="7"/>
        <v/>
      </c>
      <c r="J238" s="221"/>
    </row>
    <row r="239" spans="1:10" s="90" customFormat="1" ht="14.25" hidden="1" x14ac:dyDescent="0.3">
      <c r="A239" s="141"/>
      <c r="B239" s="160">
        <v>223</v>
      </c>
      <c r="C239" s="224"/>
      <c r="D239" s="213"/>
      <c r="E239" s="215"/>
      <c r="F239" s="214"/>
      <c r="G239" s="214"/>
      <c r="H239" s="74" t="str">
        <f t="shared" si="6"/>
        <v/>
      </c>
      <c r="I239" s="188" t="str">
        <f t="shared" si="7"/>
        <v/>
      </c>
      <c r="J239" s="221"/>
    </row>
    <row r="240" spans="1:10" s="90" customFormat="1" ht="14.25" hidden="1" x14ac:dyDescent="0.3">
      <c r="A240" s="141"/>
      <c r="B240" s="160">
        <v>224</v>
      </c>
      <c r="C240" s="224"/>
      <c r="D240" s="213"/>
      <c r="E240" s="215"/>
      <c r="F240" s="214"/>
      <c r="G240" s="214"/>
      <c r="H240" s="74" t="str">
        <f t="shared" si="6"/>
        <v/>
      </c>
      <c r="I240" s="188" t="str">
        <f t="shared" si="7"/>
        <v/>
      </c>
      <c r="J240" s="221"/>
    </row>
    <row r="241" spans="1:10" s="90" customFormat="1" ht="14.25" hidden="1" x14ac:dyDescent="0.3">
      <c r="A241" s="141"/>
      <c r="B241" s="160">
        <v>225</v>
      </c>
      <c r="C241" s="224"/>
      <c r="D241" s="216"/>
      <c r="E241" s="215"/>
      <c r="F241" s="217"/>
      <c r="G241" s="218"/>
      <c r="H241" s="74" t="str">
        <f t="shared" si="6"/>
        <v/>
      </c>
      <c r="I241" s="188" t="str">
        <f t="shared" si="7"/>
        <v/>
      </c>
      <c r="J241" s="221"/>
    </row>
    <row r="242" spans="1:10" s="90" customFormat="1" ht="14.25" hidden="1" x14ac:dyDescent="0.3">
      <c r="A242" s="141"/>
      <c r="B242" s="160">
        <v>226</v>
      </c>
      <c r="C242" s="224"/>
      <c r="D242" s="213"/>
      <c r="E242" s="215"/>
      <c r="F242" s="214"/>
      <c r="G242" s="214"/>
      <c r="H242" s="74" t="str">
        <f t="shared" si="6"/>
        <v/>
      </c>
      <c r="I242" s="188" t="str">
        <f t="shared" si="7"/>
        <v/>
      </c>
      <c r="J242" s="221"/>
    </row>
    <row r="243" spans="1:10" s="90" customFormat="1" ht="14.25" hidden="1" x14ac:dyDescent="0.3">
      <c r="A243" s="141"/>
      <c r="B243" s="160">
        <v>227</v>
      </c>
      <c r="C243" s="224"/>
      <c r="D243" s="213"/>
      <c r="E243" s="215"/>
      <c r="F243" s="214"/>
      <c r="G243" s="214"/>
      <c r="H243" s="74" t="str">
        <f t="shared" si="6"/>
        <v/>
      </c>
      <c r="I243" s="188" t="str">
        <f t="shared" si="7"/>
        <v/>
      </c>
      <c r="J243" s="221"/>
    </row>
    <row r="244" spans="1:10" s="90" customFormat="1" ht="14.25" hidden="1" x14ac:dyDescent="0.3">
      <c r="A244" s="141"/>
      <c r="B244" s="160">
        <v>228</v>
      </c>
      <c r="C244" s="224"/>
      <c r="D244" s="216"/>
      <c r="E244" s="215"/>
      <c r="F244" s="217"/>
      <c r="G244" s="218"/>
      <c r="H244" s="74" t="str">
        <f t="shared" si="6"/>
        <v/>
      </c>
      <c r="I244" s="188" t="str">
        <f t="shared" si="7"/>
        <v/>
      </c>
      <c r="J244" s="221"/>
    </row>
    <row r="245" spans="1:10" s="90" customFormat="1" ht="14.25" hidden="1" x14ac:dyDescent="0.3">
      <c r="A245" s="141"/>
      <c r="B245" s="160">
        <v>229</v>
      </c>
      <c r="C245" s="224"/>
      <c r="D245" s="213"/>
      <c r="E245" s="215"/>
      <c r="F245" s="214"/>
      <c r="G245" s="214"/>
      <c r="H245" s="74" t="str">
        <f t="shared" si="6"/>
        <v/>
      </c>
      <c r="I245" s="188" t="str">
        <f t="shared" si="7"/>
        <v/>
      </c>
      <c r="J245" s="221"/>
    </row>
    <row r="246" spans="1:10" s="90" customFormat="1" ht="14.25" hidden="1" x14ac:dyDescent="0.3">
      <c r="A246" s="141"/>
      <c r="B246" s="160">
        <v>230</v>
      </c>
      <c r="C246" s="224"/>
      <c r="D246" s="213"/>
      <c r="E246" s="215"/>
      <c r="F246" s="214"/>
      <c r="G246" s="214"/>
      <c r="H246" s="74" t="str">
        <f t="shared" si="6"/>
        <v/>
      </c>
      <c r="I246" s="188" t="str">
        <f t="shared" si="7"/>
        <v/>
      </c>
      <c r="J246" s="221"/>
    </row>
    <row r="247" spans="1:10" s="90" customFormat="1" ht="14.25" hidden="1" x14ac:dyDescent="0.3">
      <c r="A247" s="141"/>
      <c r="B247" s="160">
        <v>231</v>
      </c>
      <c r="C247" s="224"/>
      <c r="D247" s="216"/>
      <c r="E247" s="215"/>
      <c r="F247" s="217"/>
      <c r="G247" s="218"/>
      <c r="H247" s="74" t="str">
        <f t="shared" si="6"/>
        <v/>
      </c>
      <c r="I247" s="188" t="str">
        <f t="shared" si="7"/>
        <v/>
      </c>
      <c r="J247" s="221"/>
    </row>
    <row r="248" spans="1:10" s="90" customFormat="1" ht="14.25" hidden="1" x14ac:dyDescent="0.3">
      <c r="A248" s="141"/>
      <c r="B248" s="160">
        <v>232</v>
      </c>
      <c r="C248" s="224"/>
      <c r="D248" s="213"/>
      <c r="E248" s="215"/>
      <c r="F248" s="214"/>
      <c r="G248" s="214"/>
      <c r="H248" s="74" t="str">
        <f t="shared" si="6"/>
        <v/>
      </c>
      <c r="I248" s="188" t="str">
        <f t="shared" si="7"/>
        <v/>
      </c>
      <c r="J248" s="221"/>
    </row>
    <row r="249" spans="1:10" s="90" customFormat="1" ht="14.25" hidden="1" x14ac:dyDescent="0.3">
      <c r="A249" s="141"/>
      <c r="B249" s="160">
        <v>233</v>
      </c>
      <c r="C249" s="224"/>
      <c r="D249" s="213"/>
      <c r="E249" s="215"/>
      <c r="F249" s="214"/>
      <c r="G249" s="214"/>
      <c r="H249" s="74" t="str">
        <f t="shared" si="6"/>
        <v/>
      </c>
      <c r="I249" s="188" t="str">
        <f t="shared" si="7"/>
        <v/>
      </c>
      <c r="J249" s="221"/>
    </row>
    <row r="250" spans="1:10" s="90" customFormat="1" ht="14.25" hidden="1" x14ac:dyDescent="0.3">
      <c r="A250" s="141"/>
      <c r="B250" s="160">
        <v>234</v>
      </c>
      <c r="C250" s="224"/>
      <c r="D250" s="216"/>
      <c r="E250" s="215"/>
      <c r="F250" s="217"/>
      <c r="G250" s="218"/>
      <c r="H250" s="74" t="str">
        <f t="shared" si="6"/>
        <v/>
      </c>
      <c r="I250" s="188" t="str">
        <f t="shared" si="7"/>
        <v/>
      </c>
      <c r="J250" s="221"/>
    </row>
    <row r="251" spans="1:10" s="90" customFormat="1" ht="14.25" hidden="1" x14ac:dyDescent="0.3">
      <c r="A251" s="141"/>
      <c r="B251" s="160">
        <v>235</v>
      </c>
      <c r="C251" s="224"/>
      <c r="D251" s="213"/>
      <c r="E251" s="215"/>
      <c r="F251" s="214"/>
      <c r="G251" s="214"/>
      <c r="H251" s="74" t="str">
        <f t="shared" si="6"/>
        <v/>
      </c>
      <c r="I251" s="188" t="str">
        <f t="shared" si="7"/>
        <v/>
      </c>
      <c r="J251" s="221"/>
    </row>
    <row r="252" spans="1:10" s="90" customFormat="1" ht="14.25" hidden="1" x14ac:dyDescent="0.3">
      <c r="A252" s="141"/>
      <c r="B252" s="160">
        <v>236</v>
      </c>
      <c r="C252" s="224"/>
      <c r="D252" s="213"/>
      <c r="E252" s="215"/>
      <c r="F252" s="214"/>
      <c r="G252" s="214"/>
      <c r="H252" s="74" t="str">
        <f t="shared" si="6"/>
        <v/>
      </c>
      <c r="I252" s="188" t="str">
        <f t="shared" si="7"/>
        <v/>
      </c>
      <c r="J252" s="221"/>
    </row>
    <row r="253" spans="1:10" s="90" customFormat="1" ht="14.25" hidden="1" x14ac:dyDescent="0.3">
      <c r="A253" s="141"/>
      <c r="B253" s="160">
        <v>237</v>
      </c>
      <c r="C253" s="224"/>
      <c r="D253" s="216"/>
      <c r="E253" s="215"/>
      <c r="F253" s="217"/>
      <c r="G253" s="218"/>
      <c r="H253" s="74" t="str">
        <f t="shared" si="6"/>
        <v/>
      </c>
      <c r="I253" s="188" t="str">
        <f t="shared" si="7"/>
        <v/>
      </c>
      <c r="J253" s="221"/>
    </row>
    <row r="254" spans="1:10" s="90" customFormat="1" ht="14.25" hidden="1" x14ac:dyDescent="0.3">
      <c r="A254" s="141"/>
      <c r="B254" s="160">
        <v>238</v>
      </c>
      <c r="C254" s="224"/>
      <c r="D254" s="213"/>
      <c r="E254" s="215"/>
      <c r="F254" s="214"/>
      <c r="G254" s="214"/>
      <c r="H254" s="74" t="str">
        <f t="shared" si="6"/>
        <v/>
      </c>
      <c r="I254" s="188" t="str">
        <f t="shared" si="7"/>
        <v/>
      </c>
      <c r="J254" s="221"/>
    </row>
    <row r="255" spans="1:10" s="90" customFormat="1" ht="14.25" hidden="1" x14ac:dyDescent="0.3">
      <c r="A255" s="141"/>
      <c r="B255" s="160">
        <v>239</v>
      </c>
      <c r="C255" s="224"/>
      <c r="D255" s="213"/>
      <c r="E255" s="215"/>
      <c r="F255" s="214"/>
      <c r="G255" s="214"/>
      <c r="H255" s="74" t="str">
        <f t="shared" si="6"/>
        <v/>
      </c>
      <c r="I255" s="188" t="str">
        <f t="shared" si="7"/>
        <v/>
      </c>
      <c r="J255" s="221"/>
    </row>
    <row r="256" spans="1:10" s="90" customFormat="1" ht="14.25" hidden="1" x14ac:dyDescent="0.3">
      <c r="A256" s="141"/>
      <c r="B256" s="160">
        <v>240</v>
      </c>
      <c r="C256" s="224"/>
      <c r="D256" s="216"/>
      <c r="E256" s="215"/>
      <c r="F256" s="217"/>
      <c r="G256" s="218"/>
      <c r="H256" s="74" t="str">
        <f t="shared" si="6"/>
        <v/>
      </c>
      <c r="I256" s="188" t="str">
        <f t="shared" si="7"/>
        <v/>
      </c>
      <c r="J256" s="221"/>
    </row>
    <row r="257" spans="1:10" s="90" customFormat="1" ht="14.25" hidden="1" x14ac:dyDescent="0.3">
      <c r="A257" s="141"/>
      <c r="B257" s="160">
        <v>241</v>
      </c>
      <c r="C257" s="224"/>
      <c r="D257" s="213"/>
      <c r="E257" s="215"/>
      <c r="F257" s="214"/>
      <c r="G257" s="214"/>
      <c r="H257" s="74" t="str">
        <f t="shared" si="6"/>
        <v/>
      </c>
      <c r="I257" s="188" t="str">
        <f t="shared" si="7"/>
        <v/>
      </c>
      <c r="J257" s="221"/>
    </row>
    <row r="258" spans="1:10" s="90" customFormat="1" ht="14.25" hidden="1" x14ac:dyDescent="0.3">
      <c r="A258" s="141"/>
      <c r="B258" s="160">
        <v>242</v>
      </c>
      <c r="C258" s="224"/>
      <c r="D258" s="213"/>
      <c r="E258" s="215"/>
      <c r="F258" s="214"/>
      <c r="G258" s="214"/>
      <c r="H258" s="74" t="str">
        <f t="shared" si="6"/>
        <v/>
      </c>
      <c r="I258" s="188" t="str">
        <f t="shared" si="7"/>
        <v/>
      </c>
      <c r="J258" s="221"/>
    </row>
    <row r="259" spans="1:10" s="90" customFormat="1" ht="14.25" hidden="1" x14ac:dyDescent="0.3">
      <c r="A259" s="141"/>
      <c r="B259" s="160">
        <v>243</v>
      </c>
      <c r="C259" s="224"/>
      <c r="D259" s="216"/>
      <c r="E259" s="215"/>
      <c r="F259" s="217"/>
      <c r="G259" s="218"/>
      <c r="H259" s="74" t="str">
        <f t="shared" si="6"/>
        <v/>
      </c>
      <c r="I259" s="188" t="str">
        <f t="shared" si="7"/>
        <v/>
      </c>
      <c r="J259" s="221"/>
    </row>
    <row r="260" spans="1:10" s="90" customFormat="1" ht="14.25" hidden="1" x14ac:dyDescent="0.3">
      <c r="A260" s="141"/>
      <c r="B260" s="160">
        <v>244</v>
      </c>
      <c r="C260" s="224"/>
      <c r="D260" s="213"/>
      <c r="E260" s="215"/>
      <c r="F260" s="214"/>
      <c r="G260" s="214"/>
      <c r="H260" s="74" t="str">
        <f t="shared" si="6"/>
        <v/>
      </c>
      <c r="I260" s="188" t="str">
        <f t="shared" si="7"/>
        <v/>
      </c>
      <c r="J260" s="221"/>
    </row>
    <row r="261" spans="1:10" s="90" customFormat="1" ht="14.25" hidden="1" x14ac:dyDescent="0.3">
      <c r="A261" s="141"/>
      <c r="B261" s="160">
        <v>245</v>
      </c>
      <c r="C261" s="224"/>
      <c r="D261" s="213"/>
      <c r="E261" s="215"/>
      <c r="F261" s="214"/>
      <c r="G261" s="214"/>
      <c r="H261" s="74" t="str">
        <f t="shared" si="6"/>
        <v/>
      </c>
      <c r="I261" s="188" t="str">
        <f t="shared" si="7"/>
        <v/>
      </c>
      <c r="J261" s="221"/>
    </row>
    <row r="262" spans="1:10" s="90" customFormat="1" ht="14.25" hidden="1" x14ac:dyDescent="0.3">
      <c r="A262" s="141"/>
      <c r="B262" s="160">
        <v>246</v>
      </c>
      <c r="C262" s="224"/>
      <c r="D262" s="216"/>
      <c r="E262" s="215"/>
      <c r="F262" s="217"/>
      <c r="G262" s="218"/>
      <c r="H262" s="74" t="str">
        <f t="shared" si="6"/>
        <v/>
      </c>
      <c r="I262" s="188" t="str">
        <f t="shared" si="7"/>
        <v/>
      </c>
      <c r="J262" s="221"/>
    </row>
    <row r="263" spans="1:10" s="90" customFormat="1" ht="14.25" hidden="1" x14ac:dyDescent="0.3">
      <c r="A263" s="141"/>
      <c r="B263" s="160">
        <v>247</v>
      </c>
      <c r="C263" s="224"/>
      <c r="D263" s="213"/>
      <c r="E263" s="215"/>
      <c r="F263" s="214"/>
      <c r="G263" s="214"/>
      <c r="H263" s="74" t="str">
        <f t="shared" si="6"/>
        <v/>
      </c>
      <c r="I263" s="188" t="str">
        <f t="shared" si="7"/>
        <v/>
      </c>
      <c r="J263" s="221"/>
    </row>
    <row r="264" spans="1:10" s="90" customFormat="1" ht="14.25" hidden="1" x14ac:dyDescent="0.3">
      <c r="A264" s="141"/>
      <c r="B264" s="160">
        <v>248</v>
      </c>
      <c r="C264" s="224"/>
      <c r="D264" s="213"/>
      <c r="E264" s="215"/>
      <c r="F264" s="214"/>
      <c r="G264" s="214"/>
      <c r="H264" s="74" t="str">
        <f t="shared" si="6"/>
        <v/>
      </c>
      <c r="I264" s="188" t="str">
        <f t="shared" si="7"/>
        <v/>
      </c>
      <c r="J264" s="221"/>
    </row>
    <row r="265" spans="1:10" s="90" customFormat="1" ht="14.25" hidden="1" x14ac:dyDescent="0.3">
      <c r="A265" s="141"/>
      <c r="B265" s="160">
        <v>249</v>
      </c>
      <c r="C265" s="224"/>
      <c r="D265" s="216"/>
      <c r="E265" s="215"/>
      <c r="F265" s="217"/>
      <c r="G265" s="218"/>
      <c r="H265" s="74" t="str">
        <f t="shared" si="6"/>
        <v/>
      </c>
      <c r="I265" s="188" t="str">
        <f t="shared" si="7"/>
        <v/>
      </c>
      <c r="J265" s="221"/>
    </row>
    <row r="266" spans="1:10" s="90" customFormat="1" ht="14.25" hidden="1" x14ac:dyDescent="0.3">
      <c r="A266" s="141"/>
      <c r="B266" s="160">
        <v>250</v>
      </c>
      <c r="C266" s="224"/>
      <c r="D266" s="213"/>
      <c r="E266" s="215"/>
      <c r="F266" s="214"/>
      <c r="G266" s="214"/>
      <c r="H266" s="74" t="str">
        <f t="shared" si="6"/>
        <v/>
      </c>
      <c r="I266" s="188" t="str">
        <f t="shared" si="7"/>
        <v/>
      </c>
      <c r="J266" s="221"/>
    </row>
    <row r="267" spans="1:10" s="90" customFormat="1" ht="14.25" hidden="1" x14ac:dyDescent="0.3">
      <c r="A267" s="141"/>
      <c r="B267" s="160">
        <v>251</v>
      </c>
      <c r="C267" s="224"/>
      <c r="D267" s="213"/>
      <c r="E267" s="215"/>
      <c r="F267" s="214"/>
      <c r="G267" s="214"/>
      <c r="H267" s="74" t="str">
        <f t="shared" si="6"/>
        <v/>
      </c>
      <c r="I267" s="188" t="str">
        <f t="shared" si="7"/>
        <v/>
      </c>
      <c r="J267" s="221"/>
    </row>
    <row r="268" spans="1:10" s="90" customFormat="1" ht="14.25" hidden="1" x14ac:dyDescent="0.3">
      <c r="A268" s="141"/>
      <c r="B268" s="160">
        <v>252</v>
      </c>
      <c r="C268" s="224"/>
      <c r="D268" s="216"/>
      <c r="E268" s="215"/>
      <c r="F268" s="217"/>
      <c r="G268" s="218"/>
      <c r="H268" s="74" t="str">
        <f t="shared" si="6"/>
        <v/>
      </c>
      <c r="I268" s="188" t="str">
        <f t="shared" si="7"/>
        <v/>
      </c>
      <c r="J268" s="221"/>
    </row>
    <row r="269" spans="1:10" s="90" customFormat="1" ht="14.25" hidden="1" x14ac:dyDescent="0.3">
      <c r="A269" s="141"/>
      <c r="B269" s="160">
        <v>253</v>
      </c>
      <c r="C269" s="224"/>
      <c r="D269" s="213"/>
      <c r="E269" s="215"/>
      <c r="F269" s="214"/>
      <c r="G269" s="214"/>
      <c r="H269" s="74" t="str">
        <f t="shared" si="6"/>
        <v/>
      </c>
      <c r="I269" s="188" t="str">
        <f t="shared" si="7"/>
        <v/>
      </c>
      <c r="J269" s="221"/>
    </row>
    <row r="270" spans="1:10" s="90" customFormat="1" ht="14.25" hidden="1" x14ac:dyDescent="0.3">
      <c r="A270" s="141"/>
      <c r="B270" s="160">
        <v>254</v>
      </c>
      <c r="C270" s="224"/>
      <c r="D270" s="213"/>
      <c r="E270" s="215"/>
      <c r="F270" s="214"/>
      <c r="G270" s="214"/>
      <c r="H270" s="74" t="str">
        <f t="shared" si="6"/>
        <v/>
      </c>
      <c r="I270" s="188" t="str">
        <f t="shared" si="7"/>
        <v/>
      </c>
      <c r="J270" s="221"/>
    </row>
    <row r="271" spans="1:10" s="90" customFormat="1" ht="14.25" hidden="1" x14ac:dyDescent="0.3">
      <c r="A271" s="141"/>
      <c r="B271" s="160">
        <v>255</v>
      </c>
      <c r="C271" s="224"/>
      <c r="D271" s="216"/>
      <c r="E271" s="215"/>
      <c r="F271" s="217"/>
      <c r="G271" s="218"/>
      <c r="H271" s="74" t="str">
        <f t="shared" si="6"/>
        <v/>
      </c>
      <c r="I271" s="188" t="str">
        <f t="shared" si="7"/>
        <v/>
      </c>
      <c r="J271" s="221"/>
    </row>
    <row r="272" spans="1:10" s="90" customFormat="1" ht="14.25" hidden="1" x14ac:dyDescent="0.3">
      <c r="A272" s="141"/>
      <c r="B272" s="160">
        <v>256</v>
      </c>
      <c r="C272" s="224"/>
      <c r="D272" s="213"/>
      <c r="E272" s="215"/>
      <c r="F272" s="214"/>
      <c r="G272" s="214"/>
      <c r="H272" s="74" t="str">
        <f t="shared" si="6"/>
        <v/>
      </c>
      <c r="I272" s="188" t="str">
        <f t="shared" si="7"/>
        <v/>
      </c>
      <c r="J272" s="221"/>
    </row>
    <row r="273" spans="1:10" s="90" customFormat="1" ht="14.25" hidden="1" x14ac:dyDescent="0.3">
      <c r="A273" s="141"/>
      <c r="B273" s="160">
        <v>257</v>
      </c>
      <c r="C273" s="224"/>
      <c r="D273" s="213"/>
      <c r="E273" s="215"/>
      <c r="F273" s="214"/>
      <c r="G273" s="214"/>
      <c r="H273" s="74" t="str">
        <f t="shared" si="6"/>
        <v/>
      </c>
      <c r="I273" s="188" t="str">
        <f t="shared" si="7"/>
        <v/>
      </c>
      <c r="J273" s="221"/>
    </row>
    <row r="274" spans="1:10" s="90" customFormat="1" ht="14.25" hidden="1" x14ac:dyDescent="0.3">
      <c r="A274" s="141"/>
      <c r="B274" s="160">
        <v>258</v>
      </c>
      <c r="C274" s="224"/>
      <c r="D274" s="216"/>
      <c r="E274" s="215"/>
      <c r="F274" s="217"/>
      <c r="G274" s="218"/>
      <c r="H274" s="74" t="str">
        <f t="shared" ref="H274:H337" si="8">ObterComplexidadeFuncao(E274,F274,G274)</f>
        <v/>
      </c>
      <c r="I274" s="188" t="str">
        <f t="shared" ref="I274:I337" si="9">ObterContribuicaoFuncao(E274,H274)</f>
        <v/>
      </c>
      <c r="J274" s="221"/>
    </row>
    <row r="275" spans="1:10" s="90" customFormat="1" ht="14.25" hidden="1" x14ac:dyDescent="0.3">
      <c r="A275" s="141"/>
      <c r="B275" s="160">
        <v>259</v>
      </c>
      <c r="C275" s="224"/>
      <c r="D275" s="213"/>
      <c r="E275" s="215"/>
      <c r="F275" s="214"/>
      <c r="G275" s="214"/>
      <c r="H275" s="74" t="str">
        <f t="shared" si="8"/>
        <v/>
      </c>
      <c r="I275" s="188" t="str">
        <f t="shared" si="9"/>
        <v/>
      </c>
      <c r="J275" s="221"/>
    </row>
    <row r="276" spans="1:10" s="90" customFormat="1" ht="14.25" hidden="1" x14ac:dyDescent="0.3">
      <c r="A276" s="141"/>
      <c r="B276" s="160">
        <v>260</v>
      </c>
      <c r="C276" s="224"/>
      <c r="D276" s="213"/>
      <c r="E276" s="215"/>
      <c r="F276" s="214"/>
      <c r="G276" s="214"/>
      <c r="H276" s="74" t="str">
        <f t="shared" si="8"/>
        <v/>
      </c>
      <c r="I276" s="188" t="str">
        <f t="shared" si="9"/>
        <v/>
      </c>
      <c r="J276" s="221"/>
    </row>
    <row r="277" spans="1:10" s="90" customFormat="1" ht="14.25" hidden="1" x14ac:dyDescent="0.3">
      <c r="A277" s="141"/>
      <c r="B277" s="160">
        <v>261</v>
      </c>
      <c r="C277" s="224"/>
      <c r="D277" s="216"/>
      <c r="E277" s="215"/>
      <c r="F277" s="217"/>
      <c r="G277" s="218"/>
      <c r="H277" s="74" t="str">
        <f t="shared" si="8"/>
        <v/>
      </c>
      <c r="I277" s="188" t="str">
        <f t="shared" si="9"/>
        <v/>
      </c>
      <c r="J277" s="221"/>
    </row>
    <row r="278" spans="1:10" s="90" customFormat="1" ht="14.25" hidden="1" x14ac:dyDescent="0.3">
      <c r="A278" s="141"/>
      <c r="B278" s="160">
        <v>262</v>
      </c>
      <c r="C278" s="224"/>
      <c r="D278" s="213"/>
      <c r="E278" s="215"/>
      <c r="F278" s="214"/>
      <c r="G278" s="214"/>
      <c r="H278" s="74" t="str">
        <f t="shared" si="8"/>
        <v/>
      </c>
      <c r="I278" s="188" t="str">
        <f t="shared" si="9"/>
        <v/>
      </c>
      <c r="J278" s="221"/>
    </row>
    <row r="279" spans="1:10" s="90" customFormat="1" ht="14.25" hidden="1" x14ac:dyDescent="0.3">
      <c r="A279" s="141"/>
      <c r="B279" s="160">
        <v>263</v>
      </c>
      <c r="C279" s="224"/>
      <c r="D279" s="213"/>
      <c r="E279" s="215"/>
      <c r="F279" s="214"/>
      <c r="G279" s="214"/>
      <c r="H279" s="74" t="str">
        <f t="shared" si="8"/>
        <v/>
      </c>
      <c r="I279" s="188" t="str">
        <f t="shared" si="9"/>
        <v/>
      </c>
      <c r="J279" s="221"/>
    </row>
    <row r="280" spans="1:10" s="90" customFormat="1" ht="14.25" hidden="1" x14ac:dyDescent="0.3">
      <c r="A280" s="141"/>
      <c r="B280" s="160">
        <v>264</v>
      </c>
      <c r="C280" s="224"/>
      <c r="D280" s="216"/>
      <c r="E280" s="215"/>
      <c r="F280" s="217"/>
      <c r="G280" s="218"/>
      <c r="H280" s="74" t="str">
        <f t="shared" si="8"/>
        <v/>
      </c>
      <c r="I280" s="188" t="str">
        <f t="shared" si="9"/>
        <v/>
      </c>
      <c r="J280" s="221"/>
    </row>
    <row r="281" spans="1:10" s="90" customFormat="1" ht="14.25" hidden="1" x14ac:dyDescent="0.3">
      <c r="A281" s="141"/>
      <c r="B281" s="160">
        <v>265</v>
      </c>
      <c r="C281" s="224"/>
      <c r="D281" s="213"/>
      <c r="E281" s="215"/>
      <c r="F281" s="214"/>
      <c r="G281" s="214"/>
      <c r="H281" s="74" t="str">
        <f t="shared" si="8"/>
        <v/>
      </c>
      <c r="I281" s="188" t="str">
        <f t="shared" si="9"/>
        <v/>
      </c>
      <c r="J281" s="221"/>
    </row>
    <row r="282" spans="1:10" s="90" customFormat="1" ht="14.25" hidden="1" x14ac:dyDescent="0.3">
      <c r="A282" s="141"/>
      <c r="B282" s="160">
        <v>266</v>
      </c>
      <c r="C282" s="224"/>
      <c r="D282" s="213"/>
      <c r="E282" s="215"/>
      <c r="F282" s="214"/>
      <c r="G282" s="214"/>
      <c r="H282" s="74" t="str">
        <f t="shared" si="8"/>
        <v/>
      </c>
      <c r="I282" s="188" t="str">
        <f t="shared" si="9"/>
        <v/>
      </c>
      <c r="J282" s="221"/>
    </row>
    <row r="283" spans="1:10" s="90" customFormat="1" ht="14.25" hidden="1" x14ac:dyDescent="0.3">
      <c r="A283" s="141"/>
      <c r="B283" s="160">
        <v>267</v>
      </c>
      <c r="C283" s="224"/>
      <c r="D283" s="216"/>
      <c r="E283" s="215"/>
      <c r="F283" s="217"/>
      <c r="G283" s="218"/>
      <c r="H283" s="74" t="str">
        <f t="shared" si="8"/>
        <v/>
      </c>
      <c r="I283" s="188" t="str">
        <f t="shared" si="9"/>
        <v/>
      </c>
      <c r="J283" s="221"/>
    </row>
    <row r="284" spans="1:10" s="90" customFormat="1" ht="14.25" hidden="1" x14ac:dyDescent="0.3">
      <c r="A284" s="141"/>
      <c r="B284" s="160">
        <v>268</v>
      </c>
      <c r="C284" s="224"/>
      <c r="D284" s="213"/>
      <c r="E284" s="215"/>
      <c r="F284" s="214"/>
      <c r="G284" s="214"/>
      <c r="H284" s="74" t="str">
        <f t="shared" si="8"/>
        <v/>
      </c>
      <c r="I284" s="188" t="str">
        <f t="shared" si="9"/>
        <v/>
      </c>
      <c r="J284" s="221"/>
    </row>
    <row r="285" spans="1:10" s="90" customFormat="1" ht="14.25" hidden="1" x14ac:dyDescent="0.3">
      <c r="A285" s="141"/>
      <c r="B285" s="160">
        <v>269</v>
      </c>
      <c r="C285" s="224"/>
      <c r="D285" s="213"/>
      <c r="E285" s="215"/>
      <c r="F285" s="214"/>
      <c r="G285" s="214"/>
      <c r="H285" s="74" t="str">
        <f t="shared" si="8"/>
        <v/>
      </c>
      <c r="I285" s="188" t="str">
        <f t="shared" si="9"/>
        <v/>
      </c>
      <c r="J285" s="221"/>
    </row>
    <row r="286" spans="1:10" s="90" customFormat="1" ht="14.25" hidden="1" x14ac:dyDescent="0.3">
      <c r="A286" s="141"/>
      <c r="B286" s="160">
        <v>270</v>
      </c>
      <c r="C286" s="224"/>
      <c r="D286" s="216"/>
      <c r="E286" s="215"/>
      <c r="F286" s="217"/>
      <c r="G286" s="218"/>
      <c r="H286" s="74" t="str">
        <f t="shared" si="8"/>
        <v/>
      </c>
      <c r="I286" s="188" t="str">
        <f t="shared" si="9"/>
        <v/>
      </c>
      <c r="J286" s="221"/>
    </row>
    <row r="287" spans="1:10" s="90" customFormat="1" ht="14.25" hidden="1" x14ac:dyDescent="0.3">
      <c r="A287" s="141"/>
      <c r="B287" s="160">
        <v>271</v>
      </c>
      <c r="C287" s="224"/>
      <c r="D287" s="213"/>
      <c r="E287" s="215"/>
      <c r="F287" s="214"/>
      <c r="G287" s="214"/>
      <c r="H287" s="74" t="str">
        <f t="shared" si="8"/>
        <v/>
      </c>
      <c r="I287" s="188" t="str">
        <f t="shared" si="9"/>
        <v/>
      </c>
      <c r="J287" s="221"/>
    </row>
    <row r="288" spans="1:10" s="90" customFormat="1" ht="14.25" hidden="1" x14ac:dyDescent="0.3">
      <c r="A288" s="141"/>
      <c r="B288" s="160">
        <v>272</v>
      </c>
      <c r="C288" s="224"/>
      <c r="D288" s="213"/>
      <c r="E288" s="215"/>
      <c r="F288" s="214"/>
      <c r="G288" s="214"/>
      <c r="H288" s="74" t="str">
        <f t="shared" si="8"/>
        <v/>
      </c>
      <c r="I288" s="188" t="str">
        <f t="shared" si="9"/>
        <v/>
      </c>
      <c r="J288" s="221"/>
    </row>
    <row r="289" spans="1:10" s="90" customFormat="1" ht="14.25" hidden="1" x14ac:dyDescent="0.3">
      <c r="A289" s="141"/>
      <c r="B289" s="160">
        <v>273</v>
      </c>
      <c r="C289" s="224"/>
      <c r="D289" s="216"/>
      <c r="E289" s="215"/>
      <c r="F289" s="217"/>
      <c r="G289" s="218"/>
      <c r="H289" s="74" t="str">
        <f t="shared" si="8"/>
        <v/>
      </c>
      <c r="I289" s="188" t="str">
        <f t="shared" si="9"/>
        <v/>
      </c>
      <c r="J289" s="221"/>
    </row>
    <row r="290" spans="1:10" s="90" customFormat="1" ht="14.25" hidden="1" x14ac:dyDescent="0.3">
      <c r="A290" s="141"/>
      <c r="B290" s="160">
        <v>274</v>
      </c>
      <c r="C290" s="224"/>
      <c r="D290" s="213"/>
      <c r="E290" s="215"/>
      <c r="F290" s="214"/>
      <c r="G290" s="214"/>
      <c r="H290" s="74" t="str">
        <f t="shared" si="8"/>
        <v/>
      </c>
      <c r="I290" s="188" t="str">
        <f t="shared" si="9"/>
        <v/>
      </c>
      <c r="J290" s="221"/>
    </row>
    <row r="291" spans="1:10" s="90" customFormat="1" ht="14.25" hidden="1" x14ac:dyDescent="0.3">
      <c r="A291" s="141"/>
      <c r="B291" s="160">
        <v>275</v>
      </c>
      <c r="C291" s="224"/>
      <c r="D291" s="213"/>
      <c r="E291" s="215"/>
      <c r="F291" s="214"/>
      <c r="G291" s="214"/>
      <c r="H291" s="74" t="str">
        <f t="shared" si="8"/>
        <v/>
      </c>
      <c r="I291" s="188" t="str">
        <f t="shared" si="9"/>
        <v/>
      </c>
      <c r="J291" s="221"/>
    </row>
    <row r="292" spans="1:10" s="90" customFormat="1" ht="14.25" hidden="1" x14ac:dyDescent="0.3">
      <c r="A292" s="141"/>
      <c r="B292" s="160">
        <v>276</v>
      </c>
      <c r="C292" s="224"/>
      <c r="D292" s="216"/>
      <c r="E292" s="215"/>
      <c r="F292" s="217"/>
      <c r="G292" s="218"/>
      <c r="H292" s="74" t="str">
        <f t="shared" si="8"/>
        <v/>
      </c>
      <c r="I292" s="188" t="str">
        <f t="shared" si="9"/>
        <v/>
      </c>
      <c r="J292" s="221"/>
    </row>
    <row r="293" spans="1:10" s="90" customFormat="1" ht="14.25" hidden="1" x14ac:dyDescent="0.3">
      <c r="A293" s="141"/>
      <c r="B293" s="160">
        <v>277</v>
      </c>
      <c r="C293" s="224"/>
      <c r="D293" s="213"/>
      <c r="E293" s="215"/>
      <c r="F293" s="214"/>
      <c r="G293" s="214"/>
      <c r="H293" s="74" t="str">
        <f t="shared" si="8"/>
        <v/>
      </c>
      <c r="I293" s="188" t="str">
        <f t="shared" si="9"/>
        <v/>
      </c>
      <c r="J293" s="221"/>
    </row>
    <row r="294" spans="1:10" s="90" customFormat="1" ht="14.25" hidden="1" x14ac:dyDescent="0.3">
      <c r="A294" s="141"/>
      <c r="B294" s="160">
        <v>278</v>
      </c>
      <c r="C294" s="224"/>
      <c r="D294" s="213"/>
      <c r="E294" s="215"/>
      <c r="F294" s="214"/>
      <c r="G294" s="214"/>
      <c r="H294" s="74" t="str">
        <f t="shared" si="8"/>
        <v/>
      </c>
      <c r="I294" s="188" t="str">
        <f t="shared" si="9"/>
        <v/>
      </c>
      <c r="J294" s="221"/>
    </row>
    <row r="295" spans="1:10" s="90" customFormat="1" ht="14.25" hidden="1" x14ac:dyDescent="0.3">
      <c r="A295" s="141"/>
      <c r="B295" s="160">
        <v>279</v>
      </c>
      <c r="C295" s="224"/>
      <c r="D295" s="216"/>
      <c r="E295" s="215"/>
      <c r="F295" s="217"/>
      <c r="G295" s="218"/>
      <c r="H295" s="74" t="str">
        <f t="shared" si="8"/>
        <v/>
      </c>
      <c r="I295" s="188" t="str">
        <f t="shared" si="9"/>
        <v/>
      </c>
      <c r="J295" s="221"/>
    </row>
    <row r="296" spans="1:10" s="90" customFormat="1" ht="14.25" hidden="1" x14ac:dyDescent="0.3">
      <c r="A296" s="141"/>
      <c r="B296" s="160">
        <v>280</v>
      </c>
      <c r="C296" s="224"/>
      <c r="D296" s="213"/>
      <c r="E296" s="215"/>
      <c r="F296" s="214"/>
      <c r="G296" s="214"/>
      <c r="H296" s="74" t="str">
        <f t="shared" si="8"/>
        <v/>
      </c>
      <c r="I296" s="188" t="str">
        <f t="shared" si="9"/>
        <v/>
      </c>
      <c r="J296" s="221"/>
    </row>
    <row r="297" spans="1:10" s="90" customFormat="1" ht="14.25" hidden="1" x14ac:dyDescent="0.3">
      <c r="A297" s="141"/>
      <c r="B297" s="160">
        <v>281</v>
      </c>
      <c r="C297" s="224"/>
      <c r="D297" s="213"/>
      <c r="E297" s="215"/>
      <c r="F297" s="214"/>
      <c r="G297" s="214"/>
      <c r="H297" s="74" t="str">
        <f t="shared" si="8"/>
        <v/>
      </c>
      <c r="I297" s="188" t="str">
        <f t="shared" si="9"/>
        <v/>
      </c>
      <c r="J297" s="221"/>
    </row>
    <row r="298" spans="1:10" s="90" customFormat="1" ht="14.25" hidden="1" x14ac:dyDescent="0.3">
      <c r="A298" s="141"/>
      <c r="B298" s="160">
        <v>282</v>
      </c>
      <c r="C298" s="224"/>
      <c r="D298" s="216"/>
      <c r="E298" s="215"/>
      <c r="F298" s="217"/>
      <c r="G298" s="218"/>
      <c r="H298" s="74" t="str">
        <f t="shared" si="8"/>
        <v/>
      </c>
      <c r="I298" s="188" t="str">
        <f t="shared" si="9"/>
        <v/>
      </c>
      <c r="J298" s="221"/>
    </row>
    <row r="299" spans="1:10" s="90" customFormat="1" ht="14.25" hidden="1" x14ac:dyDescent="0.3">
      <c r="A299" s="141"/>
      <c r="B299" s="160">
        <v>283</v>
      </c>
      <c r="C299" s="224"/>
      <c r="D299" s="213"/>
      <c r="E299" s="215"/>
      <c r="F299" s="214"/>
      <c r="G299" s="214"/>
      <c r="H299" s="74" t="str">
        <f t="shared" si="8"/>
        <v/>
      </c>
      <c r="I299" s="188" t="str">
        <f t="shared" si="9"/>
        <v/>
      </c>
      <c r="J299" s="221"/>
    </row>
    <row r="300" spans="1:10" s="90" customFormat="1" ht="14.25" hidden="1" x14ac:dyDescent="0.3">
      <c r="A300" s="141"/>
      <c r="B300" s="160">
        <v>284</v>
      </c>
      <c r="C300" s="224"/>
      <c r="D300" s="213"/>
      <c r="E300" s="215"/>
      <c r="F300" s="214"/>
      <c r="G300" s="214"/>
      <c r="H300" s="74" t="str">
        <f t="shared" si="8"/>
        <v/>
      </c>
      <c r="I300" s="188" t="str">
        <f t="shared" si="9"/>
        <v/>
      </c>
      <c r="J300" s="221"/>
    </row>
    <row r="301" spans="1:10" s="90" customFormat="1" ht="14.25" hidden="1" x14ac:dyDescent="0.3">
      <c r="A301" s="141"/>
      <c r="B301" s="160">
        <v>285</v>
      </c>
      <c r="C301" s="224"/>
      <c r="D301" s="216"/>
      <c r="E301" s="215"/>
      <c r="F301" s="217"/>
      <c r="G301" s="218"/>
      <c r="H301" s="74" t="str">
        <f t="shared" si="8"/>
        <v/>
      </c>
      <c r="I301" s="188" t="str">
        <f t="shared" si="9"/>
        <v/>
      </c>
      <c r="J301" s="221"/>
    </row>
    <row r="302" spans="1:10" s="90" customFormat="1" ht="14.25" hidden="1" x14ac:dyDescent="0.3">
      <c r="A302" s="141"/>
      <c r="B302" s="160">
        <v>286</v>
      </c>
      <c r="C302" s="224"/>
      <c r="D302" s="213"/>
      <c r="E302" s="215"/>
      <c r="F302" s="214"/>
      <c r="G302" s="214"/>
      <c r="H302" s="74" t="str">
        <f t="shared" si="8"/>
        <v/>
      </c>
      <c r="I302" s="188" t="str">
        <f t="shared" si="9"/>
        <v/>
      </c>
      <c r="J302" s="221"/>
    </row>
    <row r="303" spans="1:10" s="90" customFormat="1" ht="14.25" hidden="1" x14ac:dyDescent="0.3">
      <c r="A303" s="141"/>
      <c r="B303" s="160">
        <v>287</v>
      </c>
      <c r="C303" s="224"/>
      <c r="D303" s="213"/>
      <c r="E303" s="215"/>
      <c r="F303" s="214"/>
      <c r="G303" s="214"/>
      <c r="H303" s="74" t="str">
        <f t="shared" si="8"/>
        <v/>
      </c>
      <c r="I303" s="188" t="str">
        <f t="shared" si="9"/>
        <v/>
      </c>
      <c r="J303" s="221"/>
    </row>
    <row r="304" spans="1:10" s="90" customFormat="1" ht="14.25" hidden="1" x14ac:dyDescent="0.3">
      <c r="A304" s="141"/>
      <c r="B304" s="160">
        <v>288</v>
      </c>
      <c r="C304" s="224"/>
      <c r="D304" s="216"/>
      <c r="E304" s="215"/>
      <c r="F304" s="217"/>
      <c r="G304" s="218"/>
      <c r="H304" s="74" t="str">
        <f t="shared" si="8"/>
        <v/>
      </c>
      <c r="I304" s="188" t="str">
        <f t="shared" si="9"/>
        <v/>
      </c>
      <c r="J304" s="221"/>
    </row>
    <row r="305" spans="1:10" s="90" customFormat="1" ht="14.25" hidden="1" x14ac:dyDescent="0.3">
      <c r="A305" s="141"/>
      <c r="B305" s="160">
        <v>289</v>
      </c>
      <c r="C305" s="224"/>
      <c r="D305" s="213"/>
      <c r="E305" s="215"/>
      <c r="F305" s="214"/>
      <c r="G305" s="214"/>
      <c r="H305" s="74" t="str">
        <f t="shared" si="8"/>
        <v/>
      </c>
      <c r="I305" s="188" t="str">
        <f t="shared" si="9"/>
        <v/>
      </c>
      <c r="J305" s="221"/>
    </row>
    <row r="306" spans="1:10" s="90" customFormat="1" ht="14.25" hidden="1" x14ac:dyDescent="0.3">
      <c r="A306" s="141"/>
      <c r="B306" s="160">
        <v>290</v>
      </c>
      <c r="C306" s="224"/>
      <c r="D306" s="213"/>
      <c r="E306" s="215"/>
      <c r="F306" s="214"/>
      <c r="G306" s="214"/>
      <c r="H306" s="74" t="str">
        <f t="shared" si="8"/>
        <v/>
      </c>
      <c r="I306" s="188" t="str">
        <f t="shared" si="9"/>
        <v/>
      </c>
      <c r="J306" s="221"/>
    </row>
    <row r="307" spans="1:10" s="90" customFormat="1" ht="14.25" hidden="1" x14ac:dyDescent="0.3">
      <c r="A307" s="141"/>
      <c r="B307" s="160">
        <v>291</v>
      </c>
      <c r="C307" s="224"/>
      <c r="D307" s="216"/>
      <c r="E307" s="215"/>
      <c r="F307" s="217"/>
      <c r="G307" s="218"/>
      <c r="H307" s="74" t="str">
        <f t="shared" si="8"/>
        <v/>
      </c>
      <c r="I307" s="188" t="str">
        <f t="shared" si="9"/>
        <v/>
      </c>
      <c r="J307" s="221"/>
    </row>
    <row r="308" spans="1:10" s="90" customFormat="1" ht="14.25" hidden="1" x14ac:dyDescent="0.3">
      <c r="A308" s="141"/>
      <c r="B308" s="160">
        <v>292</v>
      </c>
      <c r="C308" s="224"/>
      <c r="D308" s="213"/>
      <c r="E308" s="215"/>
      <c r="F308" s="214"/>
      <c r="G308" s="214"/>
      <c r="H308" s="74" t="str">
        <f t="shared" si="8"/>
        <v/>
      </c>
      <c r="I308" s="188" t="str">
        <f t="shared" si="9"/>
        <v/>
      </c>
      <c r="J308" s="221"/>
    </row>
    <row r="309" spans="1:10" s="90" customFormat="1" ht="14.25" hidden="1" x14ac:dyDescent="0.3">
      <c r="A309" s="141"/>
      <c r="B309" s="160">
        <v>293</v>
      </c>
      <c r="C309" s="224"/>
      <c r="D309" s="213"/>
      <c r="E309" s="215"/>
      <c r="F309" s="214"/>
      <c r="G309" s="214"/>
      <c r="H309" s="74" t="str">
        <f t="shared" si="8"/>
        <v/>
      </c>
      <c r="I309" s="188" t="str">
        <f t="shared" si="9"/>
        <v/>
      </c>
      <c r="J309" s="221"/>
    </row>
    <row r="310" spans="1:10" s="90" customFormat="1" ht="14.25" hidden="1" x14ac:dyDescent="0.3">
      <c r="A310" s="141"/>
      <c r="B310" s="160">
        <v>294</v>
      </c>
      <c r="C310" s="224"/>
      <c r="D310" s="216"/>
      <c r="E310" s="215"/>
      <c r="F310" s="217"/>
      <c r="G310" s="218"/>
      <c r="H310" s="74" t="str">
        <f t="shared" si="8"/>
        <v/>
      </c>
      <c r="I310" s="188" t="str">
        <f t="shared" si="9"/>
        <v/>
      </c>
      <c r="J310" s="221"/>
    </row>
    <row r="311" spans="1:10" s="90" customFormat="1" ht="14.25" hidden="1" x14ac:dyDescent="0.3">
      <c r="A311" s="141"/>
      <c r="B311" s="160">
        <v>295</v>
      </c>
      <c r="C311" s="224"/>
      <c r="D311" s="213"/>
      <c r="E311" s="215"/>
      <c r="F311" s="214"/>
      <c r="G311" s="214"/>
      <c r="H311" s="74" t="str">
        <f t="shared" si="8"/>
        <v/>
      </c>
      <c r="I311" s="188" t="str">
        <f t="shared" si="9"/>
        <v/>
      </c>
      <c r="J311" s="221"/>
    </row>
    <row r="312" spans="1:10" s="90" customFormat="1" ht="14.25" hidden="1" x14ac:dyDescent="0.3">
      <c r="A312" s="141"/>
      <c r="B312" s="160">
        <v>296</v>
      </c>
      <c r="C312" s="224"/>
      <c r="D312" s="213"/>
      <c r="E312" s="215"/>
      <c r="F312" s="214"/>
      <c r="G312" s="214"/>
      <c r="H312" s="74" t="str">
        <f t="shared" si="8"/>
        <v/>
      </c>
      <c r="I312" s="188" t="str">
        <f t="shared" si="9"/>
        <v/>
      </c>
      <c r="J312" s="221"/>
    </row>
    <row r="313" spans="1:10" s="90" customFormat="1" ht="14.25" hidden="1" x14ac:dyDescent="0.3">
      <c r="A313" s="141"/>
      <c r="B313" s="160">
        <v>297</v>
      </c>
      <c r="C313" s="224"/>
      <c r="D313" s="216"/>
      <c r="E313" s="215"/>
      <c r="F313" s="217"/>
      <c r="G313" s="218"/>
      <c r="H313" s="74" t="str">
        <f t="shared" si="8"/>
        <v/>
      </c>
      <c r="I313" s="188" t="str">
        <f t="shared" si="9"/>
        <v/>
      </c>
      <c r="J313" s="221"/>
    </row>
    <row r="314" spans="1:10" s="90" customFormat="1" ht="14.25" hidden="1" x14ac:dyDescent="0.3">
      <c r="A314" s="141"/>
      <c r="B314" s="160">
        <v>298</v>
      </c>
      <c r="C314" s="224"/>
      <c r="D314" s="213"/>
      <c r="E314" s="215"/>
      <c r="F314" s="214"/>
      <c r="G314" s="214"/>
      <c r="H314" s="74" t="str">
        <f t="shared" si="8"/>
        <v/>
      </c>
      <c r="I314" s="188" t="str">
        <f t="shared" si="9"/>
        <v/>
      </c>
      <c r="J314" s="221"/>
    </row>
    <row r="315" spans="1:10" s="90" customFormat="1" ht="14.25" hidden="1" x14ac:dyDescent="0.3">
      <c r="A315" s="141"/>
      <c r="B315" s="160">
        <v>299</v>
      </c>
      <c r="C315" s="224"/>
      <c r="D315" s="213"/>
      <c r="E315" s="215"/>
      <c r="F315" s="214"/>
      <c r="G315" s="214"/>
      <c r="H315" s="74" t="str">
        <f t="shared" si="8"/>
        <v/>
      </c>
      <c r="I315" s="188" t="str">
        <f t="shared" si="9"/>
        <v/>
      </c>
      <c r="J315" s="221"/>
    </row>
    <row r="316" spans="1:10" s="90" customFormat="1" ht="14.25" hidden="1" x14ac:dyDescent="0.3">
      <c r="A316" s="141"/>
      <c r="B316" s="160">
        <v>300</v>
      </c>
      <c r="C316" s="224"/>
      <c r="D316" s="216"/>
      <c r="E316" s="215"/>
      <c r="F316" s="217"/>
      <c r="G316" s="218"/>
      <c r="H316" s="74" t="str">
        <f t="shared" si="8"/>
        <v/>
      </c>
      <c r="I316" s="188" t="str">
        <f t="shared" si="9"/>
        <v/>
      </c>
      <c r="J316" s="221"/>
    </row>
    <row r="317" spans="1:10" s="90" customFormat="1" ht="14.25" hidden="1" x14ac:dyDescent="0.3">
      <c r="A317" s="141"/>
      <c r="B317" s="160">
        <v>301</v>
      </c>
      <c r="C317" s="224"/>
      <c r="D317" s="213"/>
      <c r="E317" s="215"/>
      <c r="F317" s="214"/>
      <c r="G317" s="214"/>
      <c r="H317" s="74" t="str">
        <f t="shared" si="8"/>
        <v/>
      </c>
      <c r="I317" s="188" t="str">
        <f t="shared" si="9"/>
        <v/>
      </c>
      <c r="J317" s="221"/>
    </row>
    <row r="318" spans="1:10" s="90" customFormat="1" ht="14.25" hidden="1" x14ac:dyDescent="0.3">
      <c r="A318" s="141"/>
      <c r="B318" s="160">
        <v>302</v>
      </c>
      <c r="C318" s="224"/>
      <c r="D318" s="213"/>
      <c r="E318" s="215"/>
      <c r="F318" s="214"/>
      <c r="G318" s="214"/>
      <c r="H318" s="74" t="str">
        <f t="shared" si="8"/>
        <v/>
      </c>
      <c r="I318" s="188" t="str">
        <f t="shared" si="9"/>
        <v/>
      </c>
      <c r="J318" s="221"/>
    </row>
    <row r="319" spans="1:10" s="90" customFormat="1" ht="14.25" hidden="1" x14ac:dyDescent="0.3">
      <c r="A319" s="141"/>
      <c r="B319" s="160">
        <v>303</v>
      </c>
      <c r="C319" s="224"/>
      <c r="D319" s="216"/>
      <c r="E319" s="215"/>
      <c r="F319" s="217"/>
      <c r="G319" s="218"/>
      <c r="H319" s="74" t="str">
        <f t="shared" si="8"/>
        <v/>
      </c>
      <c r="I319" s="188" t="str">
        <f t="shared" si="9"/>
        <v/>
      </c>
      <c r="J319" s="221"/>
    </row>
    <row r="320" spans="1:10" s="90" customFormat="1" ht="14.25" hidden="1" x14ac:dyDescent="0.3">
      <c r="A320" s="141"/>
      <c r="B320" s="160">
        <v>304</v>
      </c>
      <c r="C320" s="224"/>
      <c r="D320" s="213"/>
      <c r="E320" s="215"/>
      <c r="F320" s="214"/>
      <c r="G320" s="214"/>
      <c r="H320" s="74" t="str">
        <f t="shared" si="8"/>
        <v/>
      </c>
      <c r="I320" s="188" t="str">
        <f t="shared" si="9"/>
        <v/>
      </c>
      <c r="J320" s="221"/>
    </row>
    <row r="321" spans="1:10" s="90" customFormat="1" ht="14.25" hidden="1" x14ac:dyDescent="0.3">
      <c r="A321" s="141"/>
      <c r="B321" s="160">
        <v>305</v>
      </c>
      <c r="C321" s="224"/>
      <c r="D321" s="213"/>
      <c r="E321" s="215"/>
      <c r="F321" s="214"/>
      <c r="G321" s="214"/>
      <c r="H321" s="74" t="str">
        <f t="shared" si="8"/>
        <v/>
      </c>
      <c r="I321" s="188" t="str">
        <f t="shared" si="9"/>
        <v/>
      </c>
      <c r="J321" s="221"/>
    </row>
    <row r="322" spans="1:10" s="90" customFormat="1" ht="14.25" hidden="1" x14ac:dyDescent="0.3">
      <c r="A322" s="141"/>
      <c r="B322" s="160">
        <v>306</v>
      </c>
      <c r="C322" s="224"/>
      <c r="D322" s="216"/>
      <c r="E322" s="215"/>
      <c r="F322" s="217"/>
      <c r="G322" s="218"/>
      <c r="H322" s="74" t="str">
        <f t="shared" si="8"/>
        <v/>
      </c>
      <c r="I322" s="188" t="str">
        <f t="shared" si="9"/>
        <v/>
      </c>
      <c r="J322" s="221"/>
    </row>
    <row r="323" spans="1:10" s="90" customFormat="1" ht="14.25" hidden="1" x14ac:dyDescent="0.3">
      <c r="A323" s="141"/>
      <c r="B323" s="160">
        <v>307</v>
      </c>
      <c r="C323" s="224"/>
      <c r="D323" s="213"/>
      <c r="E323" s="215"/>
      <c r="F323" s="214"/>
      <c r="G323" s="214"/>
      <c r="H323" s="74" t="str">
        <f t="shared" si="8"/>
        <v/>
      </c>
      <c r="I323" s="188" t="str">
        <f t="shared" si="9"/>
        <v/>
      </c>
      <c r="J323" s="221"/>
    </row>
    <row r="324" spans="1:10" s="90" customFormat="1" ht="14.25" hidden="1" x14ac:dyDescent="0.3">
      <c r="A324" s="141"/>
      <c r="B324" s="160">
        <v>308</v>
      </c>
      <c r="C324" s="224"/>
      <c r="D324" s="213"/>
      <c r="E324" s="215"/>
      <c r="F324" s="214"/>
      <c r="G324" s="214"/>
      <c r="H324" s="74" t="str">
        <f t="shared" si="8"/>
        <v/>
      </c>
      <c r="I324" s="188" t="str">
        <f t="shared" si="9"/>
        <v/>
      </c>
      <c r="J324" s="221"/>
    </row>
    <row r="325" spans="1:10" s="90" customFormat="1" ht="14.25" hidden="1" x14ac:dyDescent="0.3">
      <c r="A325" s="141"/>
      <c r="B325" s="160">
        <v>309</v>
      </c>
      <c r="C325" s="224"/>
      <c r="D325" s="216"/>
      <c r="E325" s="215"/>
      <c r="F325" s="217"/>
      <c r="G325" s="218"/>
      <c r="H325" s="74" t="str">
        <f t="shared" si="8"/>
        <v/>
      </c>
      <c r="I325" s="188" t="str">
        <f t="shared" si="9"/>
        <v/>
      </c>
      <c r="J325" s="221"/>
    </row>
    <row r="326" spans="1:10" s="90" customFormat="1" ht="14.25" hidden="1" x14ac:dyDescent="0.3">
      <c r="A326" s="141"/>
      <c r="B326" s="160">
        <v>310</v>
      </c>
      <c r="C326" s="224"/>
      <c r="D326" s="213"/>
      <c r="E326" s="215"/>
      <c r="F326" s="214"/>
      <c r="G326" s="214"/>
      <c r="H326" s="74" t="str">
        <f t="shared" si="8"/>
        <v/>
      </c>
      <c r="I326" s="188" t="str">
        <f t="shared" si="9"/>
        <v/>
      </c>
      <c r="J326" s="221"/>
    </row>
    <row r="327" spans="1:10" s="90" customFormat="1" ht="14.25" hidden="1" x14ac:dyDescent="0.3">
      <c r="A327" s="141"/>
      <c r="B327" s="160">
        <v>311</v>
      </c>
      <c r="C327" s="224"/>
      <c r="D327" s="213"/>
      <c r="E327" s="215"/>
      <c r="F327" s="214"/>
      <c r="G327" s="214"/>
      <c r="H327" s="74" t="str">
        <f t="shared" si="8"/>
        <v/>
      </c>
      <c r="I327" s="188" t="str">
        <f t="shared" si="9"/>
        <v/>
      </c>
      <c r="J327" s="221"/>
    </row>
    <row r="328" spans="1:10" s="90" customFormat="1" ht="14.25" hidden="1" x14ac:dyDescent="0.3">
      <c r="A328" s="141"/>
      <c r="B328" s="160">
        <v>312</v>
      </c>
      <c r="C328" s="224"/>
      <c r="D328" s="216"/>
      <c r="E328" s="215"/>
      <c r="F328" s="217"/>
      <c r="G328" s="218"/>
      <c r="H328" s="74" t="str">
        <f t="shared" si="8"/>
        <v/>
      </c>
      <c r="I328" s="188" t="str">
        <f t="shared" si="9"/>
        <v/>
      </c>
      <c r="J328" s="221"/>
    </row>
    <row r="329" spans="1:10" s="90" customFormat="1" ht="14.25" hidden="1" x14ac:dyDescent="0.3">
      <c r="A329" s="141"/>
      <c r="B329" s="160">
        <v>313</v>
      </c>
      <c r="C329" s="224"/>
      <c r="D329" s="213"/>
      <c r="E329" s="215"/>
      <c r="F329" s="214"/>
      <c r="G329" s="214"/>
      <c r="H329" s="74" t="str">
        <f t="shared" si="8"/>
        <v/>
      </c>
      <c r="I329" s="188" t="str">
        <f t="shared" si="9"/>
        <v/>
      </c>
      <c r="J329" s="221"/>
    </row>
    <row r="330" spans="1:10" s="90" customFormat="1" ht="14.25" hidden="1" x14ac:dyDescent="0.3">
      <c r="A330" s="141"/>
      <c r="B330" s="160">
        <v>314</v>
      </c>
      <c r="C330" s="224"/>
      <c r="D330" s="213"/>
      <c r="E330" s="215"/>
      <c r="F330" s="214"/>
      <c r="G330" s="214"/>
      <c r="H330" s="74" t="str">
        <f t="shared" si="8"/>
        <v/>
      </c>
      <c r="I330" s="188" t="str">
        <f t="shared" si="9"/>
        <v/>
      </c>
      <c r="J330" s="221"/>
    </row>
    <row r="331" spans="1:10" s="90" customFormat="1" ht="14.25" hidden="1" x14ac:dyDescent="0.3">
      <c r="A331" s="141"/>
      <c r="B331" s="160">
        <v>315</v>
      </c>
      <c r="C331" s="224"/>
      <c r="D331" s="216"/>
      <c r="E331" s="215"/>
      <c r="F331" s="217"/>
      <c r="G331" s="218"/>
      <c r="H331" s="74" t="str">
        <f t="shared" si="8"/>
        <v/>
      </c>
      <c r="I331" s="188" t="str">
        <f t="shared" si="9"/>
        <v/>
      </c>
      <c r="J331" s="221"/>
    </row>
    <row r="332" spans="1:10" s="90" customFormat="1" ht="14.25" hidden="1" x14ac:dyDescent="0.3">
      <c r="A332" s="141"/>
      <c r="B332" s="160">
        <v>316</v>
      </c>
      <c r="C332" s="224"/>
      <c r="D332" s="213"/>
      <c r="E332" s="215"/>
      <c r="F332" s="214"/>
      <c r="G332" s="214"/>
      <c r="H332" s="74" t="str">
        <f t="shared" si="8"/>
        <v/>
      </c>
      <c r="I332" s="188" t="str">
        <f t="shared" si="9"/>
        <v/>
      </c>
      <c r="J332" s="221"/>
    </row>
    <row r="333" spans="1:10" s="90" customFormat="1" ht="14.25" hidden="1" x14ac:dyDescent="0.3">
      <c r="A333" s="141"/>
      <c r="B333" s="160">
        <v>317</v>
      </c>
      <c r="C333" s="224"/>
      <c r="D333" s="213"/>
      <c r="E333" s="215"/>
      <c r="F333" s="214"/>
      <c r="G333" s="214"/>
      <c r="H333" s="74" t="str">
        <f t="shared" si="8"/>
        <v/>
      </c>
      <c r="I333" s="188" t="str">
        <f t="shared" si="9"/>
        <v/>
      </c>
      <c r="J333" s="221"/>
    </row>
    <row r="334" spans="1:10" s="90" customFormat="1" ht="14.25" hidden="1" x14ac:dyDescent="0.3">
      <c r="A334" s="141"/>
      <c r="B334" s="160">
        <v>318</v>
      </c>
      <c r="C334" s="224"/>
      <c r="D334" s="216"/>
      <c r="E334" s="215"/>
      <c r="F334" s="217"/>
      <c r="G334" s="218"/>
      <c r="H334" s="74" t="str">
        <f t="shared" si="8"/>
        <v/>
      </c>
      <c r="I334" s="188" t="str">
        <f t="shared" si="9"/>
        <v/>
      </c>
      <c r="J334" s="221"/>
    </row>
    <row r="335" spans="1:10" s="90" customFormat="1" ht="14.25" hidden="1" x14ac:dyDescent="0.3">
      <c r="A335" s="141"/>
      <c r="B335" s="160">
        <v>319</v>
      </c>
      <c r="C335" s="224"/>
      <c r="D335" s="213"/>
      <c r="E335" s="215"/>
      <c r="F335" s="214"/>
      <c r="G335" s="214"/>
      <c r="H335" s="74" t="str">
        <f t="shared" si="8"/>
        <v/>
      </c>
      <c r="I335" s="188" t="str">
        <f t="shared" si="9"/>
        <v/>
      </c>
      <c r="J335" s="221"/>
    </row>
    <row r="336" spans="1:10" s="90" customFormat="1" ht="14.25" hidden="1" x14ac:dyDescent="0.3">
      <c r="A336" s="141"/>
      <c r="B336" s="160">
        <v>320</v>
      </c>
      <c r="C336" s="224"/>
      <c r="D336" s="213"/>
      <c r="E336" s="215"/>
      <c r="F336" s="214"/>
      <c r="G336" s="214"/>
      <c r="H336" s="74" t="str">
        <f t="shared" si="8"/>
        <v/>
      </c>
      <c r="I336" s="188" t="str">
        <f t="shared" si="9"/>
        <v/>
      </c>
      <c r="J336" s="221"/>
    </row>
    <row r="337" spans="1:10" s="90" customFormat="1" ht="14.25" hidden="1" x14ac:dyDescent="0.3">
      <c r="A337" s="141"/>
      <c r="B337" s="160">
        <v>321</v>
      </c>
      <c r="C337" s="224"/>
      <c r="D337" s="216"/>
      <c r="E337" s="215"/>
      <c r="F337" s="217"/>
      <c r="G337" s="218"/>
      <c r="H337" s="74" t="str">
        <f t="shared" si="8"/>
        <v/>
      </c>
      <c r="I337" s="188" t="str">
        <f t="shared" si="9"/>
        <v/>
      </c>
      <c r="J337" s="221"/>
    </row>
    <row r="338" spans="1:10" s="90" customFormat="1" ht="14.25" hidden="1" x14ac:dyDescent="0.3">
      <c r="A338" s="141"/>
      <c r="B338" s="160">
        <v>322</v>
      </c>
      <c r="C338" s="224"/>
      <c r="D338" s="213"/>
      <c r="E338" s="215"/>
      <c r="F338" s="214"/>
      <c r="G338" s="214"/>
      <c r="H338" s="74" t="str">
        <f t="shared" ref="H338:H401" si="10">ObterComplexidadeFuncao(E338,F338,G338)</f>
        <v/>
      </c>
      <c r="I338" s="188" t="str">
        <f t="shared" ref="I338:I401" si="11">ObterContribuicaoFuncao(E338,H338)</f>
        <v/>
      </c>
      <c r="J338" s="221"/>
    </row>
    <row r="339" spans="1:10" s="90" customFormat="1" ht="14.25" hidden="1" x14ac:dyDescent="0.3">
      <c r="A339" s="141"/>
      <c r="B339" s="160">
        <v>323</v>
      </c>
      <c r="C339" s="224"/>
      <c r="D339" s="213"/>
      <c r="E339" s="215"/>
      <c r="F339" s="214"/>
      <c r="G339" s="214"/>
      <c r="H339" s="74" t="str">
        <f t="shared" si="10"/>
        <v/>
      </c>
      <c r="I339" s="188" t="str">
        <f t="shared" si="11"/>
        <v/>
      </c>
      <c r="J339" s="221"/>
    </row>
    <row r="340" spans="1:10" s="90" customFormat="1" ht="14.25" hidden="1" x14ac:dyDescent="0.3">
      <c r="A340" s="141"/>
      <c r="B340" s="160">
        <v>324</v>
      </c>
      <c r="C340" s="224"/>
      <c r="D340" s="216"/>
      <c r="E340" s="215"/>
      <c r="F340" s="217"/>
      <c r="G340" s="218"/>
      <c r="H340" s="74" t="str">
        <f t="shared" si="10"/>
        <v/>
      </c>
      <c r="I340" s="188" t="str">
        <f t="shared" si="11"/>
        <v/>
      </c>
      <c r="J340" s="221"/>
    </row>
    <row r="341" spans="1:10" s="90" customFormat="1" ht="14.25" hidden="1" x14ac:dyDescent="0.3">
      <c r="A341" s="141"/>
      <c r="B341" s="160">
        <v>325</v>
      </c>
      <c r="C341" s="224"/>
      <c r="D341" s="213"/>
      <c r="E341" s="215"/>
      <c r="F341" s="214"/>
      <c r="G341" s="214"/>
      <c r="H341" s="74" t="str">
        <f t="shared" si="10"/>
        <v/>
      </c>
      <c r="I341" s="188" t="str">
        <f t="shared" si="11"/>
        <v/>
      </c>
      <c r="J341" s="221"/>
    </row>
    <row r="342" spans="1:10" s="90" customFormat="1" ht="14.25" hidden="1" x14ac:dyDescent="0.3">
      <c r="A342" s="141"/>
      <c r="B342" s="160">
        <v>326</v>
      </c>
      <c r="C342" s="224"/>
      <c r="D342" s="213"/>
      <c r="E342" s="215"/>
      <c r="F342" s="214"/>
      <c r="G342" s="214"/>
      <c r="H342" s="74" t="str">
        <f t="shared" si="10"/>
        <v/>
      </c>
      <c r="I342" s="188" t="str">
        <f t="shared" si="11"/>
        <v/>
      </c>
      <c r="J342" s="221"/>
    </row>
    <row r="343" spans="1:10" s="90" customFormat="1" ht="14.25" hidden="1" x14ac:dyDescent="0.3">
      <c r="A343" s="141"/>
      <c r="B343" s="160">
        <v>327</v>
      </c>
      <c r="C343" s="224"/>
      <c r="D343" s="216"/>
      <c r="E343" s="215"/>
      <c r="F343" s="217"/>
      <c r="G343" s="218"/>
      <c r="H343" s="74" t="str">
        <f t="shared" si="10"/>
        <v/>
      </c>
      <c r="I343" s="188" t="str">
        <f t="shared" si="11"/>
        <v/>
      </c>
      <c r="J343" s="221"/>
    </row>
    <row r="344" spans="1:10" s="90" customFormat="1" ht="14.25" hidden="1" x14ac:dyDescent="0.3">
      <c r="A344" s="141"/>
      <c r="B344" s="160">
        <v>328</v>
      </c>
      <c r="C344" s="224"/>
      <c r="D344" s="213"/>
      <c r="E344" s="215"/>
      <c r="F344" s="214"/>
      <c r="G344" s="214"/>
      <c r="H344" s="74" t="str">
        <f t="shared" si="10"/>
        <v/>
      </c>
      <c r="I344" s="188" t="str">
        <f t="shared" si="11"/>
        <v/>
      </c>
      <c r="J344" s="221"/>
    </row>
    <row r="345" spans="1:10" s="90" customFormat="1" ht="14.25" hidden="1" x14ac:dyDescent="0.3">
      <c r="A345" s="141"/>
      <c r="B345" s="160">
        <v>329</v>
      </c>
      <c r="C345" s="224"/>
      <c r="D345" s="213"/>
      <c r="E345" s="215"/>
      <c r="F345" s="214"/>
      <c r="G345" s="214"/>
      <c r="H345" s="74" t="str">
        <f t="shared" si="10"/>
        <v/>
      </c>
      <c r="I345" s="188" t="str">
        <f t="shared" si="11"/>
        <v/>
      </c>
      <c r="J345" s="221"/>
    </row>
    <row r="346" spans="1:10" s="90" customFormat="1" ht="14.25" hidden="1" x14ac:dyDescent="0.3">
      <c r="A346" s="141"/>
      <c r="B346" s="160">
        <v>330</v>
      </c>
      <c r="C346" s="224"/>
      <c r="D346" s="216"/>
      <c r="E346" s="215"/>
      <c r="F346" s="217"/>
      <c r="G346" s="218"/>
      <c r="H346" s="74" t="str">
        <f t="shared" si="10"/>
        <v/>
      </c>
      <c r="I346" s="188" t="str">
        <f t="shared" si="11"/>
        <v/>
      </c>
      <c r="J346" s="221"/>
    </row>
    <row r="347" spans="1:10" s="90" customFormat="1" ht="14.25" hidden="1" x14ac:dyDescent="0.3">
      <c r="A347" s="141"/>
      <c r="B347" s="160">
        <v>331</v>
      </c>
      <c r="C347" s="224"/>
      <c r="D347" s="213"/>
      <c r="E347" s="215"/>
      <c r="F347" s="214"/>
      <c r="G347" s="214"/>
      <c r="H347" s="74" t="str">
        <f t="shared" si="10"/>
        <v/>
      </c>
      <c r="I347" s="188" t="str">
        <f t="shared" si="11"/>
        <v/>
      </c>
      <c r="J347" s="221"/>
    </row>
    <row r="348" spans="1:10" s="90" customFormat="1" ht="14.25" hidden="1" x14ac:dyDescent="0.3">
      <c r="A348" s="141"/>
      <c r="B348" s="160">
        <v>332</v>
      </c>
      <c r="C348" s="224"/>
      <c r="D348" s="213"/>
      <c r="E348" s="215"/>
      <c r="F348" s="214"/>
      <c r="G348" s="214"/>
      <c r="H348" s="74" t="str">
        <f t="shared" si="10"/>
        <v/>
      </c>
      <c r="I348" s="188" t="str">
        <f t="shared" si="11"/>
        <v/>
      </c>
      <c r="J348" s="221"/>
    </row>
    <row r="349" spans="1:10" s="90" customFormat="1" ht="14.25" hidden="1" x14ac:dyDescent="0.3">
      <c r="A349" s="141"/>
      <c r="B349" s="160">
        <v>333</v>
      </c>
      <c r="C349" s="224"/>
      <c r="D349" s="216"/>
      <c r="E349" s="215"/>
      <c r="F349" s="217"/>
      <c r="G349" s="218"/>
      <c r="H349" s="74" t="str">
        <f t="shared" si="10"/>
        <v/>
      </c>
      <c r="I349" s="188" t="str">
        <f t="shared" si="11"/>
        <v/>
      </c>
      <c r="J349" s="221"/>
    </row>
    <row r="350" spans="1:10" s="90" customFormat="1" ht="14.25" hidden="1" x14ac:dyDescent="0.3">
      <c r="A350" s="141"/>
      <c r="B350" s="160">
        <v>334</v>
      </c>
      <c r="C350" s="224"/>
      <c r="D350" s="213"/>
      <c r="E350" s="215"/>
      <c r="F350" s="214"/>
      <c r="G350" s="214"/>
      <c r="H350" s="74" t="str">
        <f t="shared" si="10"/>
        <v/>
      </c>
      <c r="I350" s="188" t="str">
        <f t="shared" si="11"/>
        <v/>
      </c>
      <c r="J350" s="221"/>
    </row>
    <row r="351" spans="1:10" s="90" customFormat="1" ht="14.25" hidden="1" x14ac:dyDescent="0.3">
      <c r="A351" s="141"/>
      <c r="B351" s="160">
        <v>335</v>
      </c>
      <c r="C351" s="224"/>
      <c r="D351" s="213"/>
      <c r="E351" s="215"/>
      <c r="F351" s="214"/>
      <c r="G351" s="214"/>
      <c r="H351" s="74" t="str">
        <f t="shared" si="10"/>
        <v/>
      </c>
      <c r="I351" s="188" t="str">
        <f t="shared" si="11"/>
        <v/>
      </c>
      <c r="J351" s="221"/>
    </row>
    <row r="352" spans="1:10" s="90" customFormat="1" ht="14.25" hidden="1" x14ac:dyDescent="0.3">
      <c r="A352" s="141"/>
      <c r="B352" s="160">
        <v>336</v>
      </c>
      <c r="C352" s="224"/>
      <c r="D352" s="216"/>
      <c r="E352" s="215"/>
      <c r="F352" s="217"/>
      <c r="G352" s="218"/>
      <c r="H352" s="74" t="str">
        <f t="shared" si="10"/>
        <v/>
      </c>
      <c r="I352" s="188" t="str">
        <f t="shared" si="11"/>
        <v/>
      </c>
      <c r="J352" s="221"/>
    </row>
    <row r="353" spans="1:10" s="90" customFormat="1" ht="14.25" hidden="1" x14ac:dyDescent="0.3">
      <c r="A353" s="141"/>
      <c r="B353" s="160">
        <v>337</v>
      </c>
      <c r="C353" s="224"/>
      <c r="D353" s="213"/>
      <c r="E353" s="215"/>
      <c r="F353" s="214"/>
      <c r="G353" s="214"/>
      <c r="H353" s="74" t="str">
        <f t="shared" si="10"/>
        <v/>
      </c>
      <c r="I353" s="188" t="str">
        <f t="shared" si="11"/>
        <v/>
      </c>
      <c r="J353" s="221"/>
    </row>
    <row r="354" spans="1:10" s="90" customFormat="1" ht="14.25" hidden="1" x14ac:dyDescent="0.3">
      <c r="A354" s="141"/>
      <c r="B354" s="160">
        <v>338</v>
      </c>
      <c r="C354" s="224"/>
      <c r="D354" s="213"/>
      <c r="E354" s="215"/>
      <c r="F354" s="214"/>
      <c r="G354" s="214"/>
      <c r="H354" s="74" t="str">
        <f t="shared" si="10"/>
        <v/>
      </c>
      <c r="I354" s="188" t="str">
        <f t="shared" si="11"/>
        <v/>
      </c>
      <c r="J354" s="221"/>
    </row>
    <row r="355" spans="1:10" s="90" customFormat="1" ht="14.25" hidden="1" x14ac:dyDescent="0.3">
      <c r="A355" s="141"/>
      <c r="B355" s="160">
        <v>339</v>
      </c>
      <c r="C355" s="224"/>
      <c r="D355" s="216"/>
      <c r="E355" s="215"/>
      <c r="F355" s="217"/>
      <c r="G355" s="218"/>
      <c r="H355" s="74" t="str">
        <f t="shared" si="10"/>
        <v/>
      </c>
      <c r="I355" s="188" t="str">
        <f t="shared" si="11"/>
        <v/>
      </c>
      <c r="J355" s="221"/>
    </row>
    <row r="356" spans="1:10" s="90" customFormat="1" ht="14.25" hidden="1" x14ac:dyDescent="0.3">
      <c r="A356" s="141"/>
      <c r="B356" s="160">
        <v>340</v>
      </c>
      <c r="C356" s="224"/>
      <c r="D356" s="213"/>
      <c r="E356" s="215"/>
      <c r="F356" s="214"/>
      <c r="G356" s="214"/>
      <c r="H356" s="74" t="str">
        <f t="shared" si="10"/>
        <v/>
      </c>
      <c r="I356" s="188" t="str">
        <f t="shared" si="11"/>
        <v/>
      </c>
      <c r="J356" s="221"/>
    </row>
    <row r="357" spans="1:10" s="90" customFormat="1" ht="14.25" hidden="1" x14ac:dyDescent="0.3">
      <c r="A357" s="141"/>
      <c r="B357" s="160">
        <v>341</v>
      </c>
      <c r="C357" s="224"/>
      <c r="D357" s="213"/>
      <c r="E357" s="215"/>
      <c r="F357" s="214"/>
      <c r="G357" s="214"/>
      <c r="H357" s="74" t="str">
        <f t="shared" si="10"/>
        <v/>
      </c>
      <c r="I357" s="188" t="str">
        <f t="shared" si="11"/>
        <v/>
      </c>
      <c r="J357" s="221"/>
    </row>
    <row r="358" spans="1:10" s="90" customFormat="1" ht="14.25" hidden="1" x14ac:dyDescent="0.3">
      <c r="A358" s="141"/>
      <c r="B358" s="160">
        <v>342</v>
      </c>
      <c r="C358" s="224"/>
      <c r="D358" s="216"/>
      <c r="E358" s="215"/>
      <c r="F358" s="217"/>
      <c r="G358" s="218"/>
      <c r="H358" s="74" t="str">
        <f t="shared" si="10"/>
        <v/>
      </c>
      <c r="I358" s="188" t="str">
        <f t="shared" si="11"/>
        <v/>
      </c>
      <c r="J358" s="221"/>
    </row>
    <row r="359" spans="1:10" s="90" customFormat="1" ht="14.25" hidden="1" x14ac:dyDescent="0.3">
      <c r="A359" s="141"/>
      <c r="B359" s="160">
        <v>343</v>
      </c>
      <c r="C359" s="224"/>
      <c r="D359" s="213"/>
      <c r="E359" s="215"/>
      <c r="F359" s="214"/>
      <c r="G359" s="214"/>
      <c r="H359" s="74" t="str">
        <f t="shared" si="10"/>
        <v/>
      </c>
      <c r="I359" s="188" t="str">
        <f t="shared" si="11"/>
        <v/>
      </c>
      <c r="J359" s="221"/>
    </row>
    <row r="360" spans="1:10" s="90" customFormat="1" ht="14.25" hidden="1" x14ac:dyDescent="0.3">
      <c r="A360" s="141"/>
      <c r="B360" s="160">
        <v>344</v>
      </c>
      <c r="C360" s="224"/>
      <c r="D360" s="213"/>
      <c r="E360" s="215"/>
      <c r="F360" s="214"/>
      <c r="G360" s="214"/>
      <c r="H360" s="74" t="str">
        <f t="shared" si="10"/>
        <v/>
      </c>
      <c r="I360" s="188" t="str">
        <f t="shared" si="11"/>
        <v/>
      </c>
      <c r="J360" s="221"/>
    </row>
    <row r="361" spans="1:10" s="90" customFormat="1" ht="14.25" hidden="1" x14ac:dyDescent="0.3">
      <c r="A361" s="141"/>
      <c r="B361" s="160">
        <v>345</v>
      </c>
      <c r="C361" s="224"/>
      <c r="D361" s="216"/>
      <c r="E361" s="215"/>
      <c r="F361" s="217"/>
      <c r="G361" s="218"/>
      <c r="H361" s="74" t="str">
        <f t="shared" si="10"/>
        <v/>
      </c>
      <c r="I361" s="188" t="str">
        <f t="shared" si="11"/>
        <v/>
      </c>
      <c r="J361" s="221"/>
    </row>
    <row r="362" spans="1:10" s="90" customFormat="1" ht="14.25" hidden="1" x14ac:dyDescent="0.3">
      <c r="A362" s="141"/>
      <c r="B362" s="160">
        <v>346</v>
      </c>
      <c r="C362" s="224"/>
      <c r="D362" s="213"/>
      <c r="E362" s="215"/>
      <c r="F362" s="214"/>
      <c r="G362" s="214"/>
      <c r="H362" s="74" t="str">
        <f t="shared" si="10"/>
        <v/>
      </c>
      <c r="I362" s="188" t="str">
        <f t="shared" si="11"/>
        <v/>
      </c>
      <c r="J362" s="221"/>
    </row>
    <row r="363" spans="1:10" s="90" customFormat="1" ht="14.25" hidden="1" x14ac:dyDescent="0.3">
      <c r="A363" s="141"/>
      <c r="B363" s="160">
        <v>347</v>
      </c>
      <c r="C363" s="224"/>
      <c r="D363" s="213"/>
      <c r="E363" s="215"/>
      <c r="F363" s="214"/>
      <c r="G363" s="214"/>
      <c r="H363" s="74" t="str">
        <f t="shared" si="10"/>
        <v/>
      </c>
      <c r="I363" s="188" t="str">
        <f t="shared" si="11"/>
        <v/>
      </c>
      <c r="J363" s="221"/>
    </row>
    <row r="364" spans="1:10" s="90" customFormat="1" ht="14.25" hidden="1" x14ac:dyDescent="0.3">
      <c r="A364" s="141"/>
      <c r="B364" s="160">
        <v>348</v>
      </c>
      <c r="C364" s="224"/>
      <c r="D364" s="216"/>
      <c r="E364" s="215"/>
      <c r="F364" s="217"/>
      <c r="G364" s="218"/>
      <c r="H364" s="74" t="str">
        <f t="shared" si="10"/>
        <v/>
      </c>
      <c r="I364" s="188" t="str">
        <f t="shared" si="11"/>
        <v/>
      </c>
      <c r="J364" s="221"/>
    </row>
    <row r="365" spans="1:10" s="90" customFormat="1" ht="14.25" hidden="1" x14ac:dyDescent="0.3">
      <c r="A365" s="141"/>
      <c r="B365" s="160">
        <v>349</v>
      </c>
      <c r="C365" s="224"/>
      <c r="D365" s="213"/>
      <c r="E365" s="215"/>
      <c r="F365" s="214"/>
      <c r="G365" s="214"/>
      <c r="H365" s="74" t="str">
        <f t="shared" si="10"/>
        <v/>
      </c>
      <c r="I365" s="188" t="str">
        <f t="shared" si="11"/>
        <v/>
      </c>
      <c r="J365" s="221"/>
    </row>
    <row r="366" spans="1:10" s="90" customFormat="1" ht="14.25" hidden="1" x14ac:dyDescent="0.3">
      <c r="A366" s="141"/>
      <c r="B366" s="160">
        <v>350</v>
      </c>
      <c r="C366" s="224"/>
      <c r="D366" s="213"/>
      <c r="E366" s="215"/>
      <c r="F366" s="214"/>
      <c r="G366" s="214"/>
      <c r="H366" s="74" t="str">
        <f t="shared" si="10"/>
        <v/>
      </c>
      <c r="I366" s="188" t="str">
        <f t="shared" si="11"/>
        <v/>
      </c>
      <c r="J366" s="221"/>
    </row>
    <row r="367" spans="1:10" s="90" customFormat="1" ht="14.25" hidden="1" x14ac:dyDescent="0.3">
      <c r="A367" s="141"/>
      <c r="B367" s="160">
        <v>351</v>
      </c>
      <c r="C367" s="224"/>
      <c r="D367" s="216"/>
      <c r="E367" s="215"/>
      <c r="F367" s="217"/>
      <c r="G367" s="218"/>
      <c r="H367" s="74" t="str">
        <f t="shared" si="10"/>
        <v/>
      </c>
      <c r="I367" s="188" t="str">
        <f t="shared" si="11"/>
        <v/>
      </c>
      <c r="J367" s="221"/>
    </row>
    <row r="368" spans="1:10" s="90" customFormat="1" ht="14.25" hidden="1" x14ac:dyDescent="0.3">
      <c r="A368" s="141"/>
      <c r="B368" s="160">
        <v>352</v>
      </c>
      <c r="C368" s="224"/>
      <c r="D368" s="213"/>
      <c r="E368" s="215"/>
      <c r="F368" s="214"/>
      <c r="G368" s="214"/>
      <c r="H368" s="74" t="str">
        <f t="shared" si="10"/>
        <v/>
      </c>
      <c r="I368" s="188" t="str">
        <f t="shared" si="11"/>
        <v/>
      </c>
      <c r="J368" s="221"/>
    </row>
    <row r="369" spans="1:10" s="90" customFormat="1" ht="14.25" hidden="1" x14ac:dyDescent="0.3">
      <c r="A369" s="141"/>
      <c r="B369" s="160">
        <v>353</v>
      </c>
      <c r="C369" s="224"/>
      <c r="D369" s="213"/>
      <c r="E369" s="215"/>
      <c r="F369" s="214"/>
      <c r="G369" s="214"/>
      <c r="H369" s="74" t="str">
        <f t="shared" si="10"/>
        <v/>
      </c>
      <c r="I369" s="188" t="str">
        <f t="shared" si="11"/>
        <v/>
      </c>
      <c r="J369" s="221"/>
    </row>
    <row r="370" spans="1:10" s="90" customFormat="1" ht="14.25" hidden="1" x14ac:dyDescent="0.3">
      <c r="A370" s="141"/>
      <c r="B370" s="160">
        <v>354</v>
      </c>
      <c r="C370" s="224"/>
      <c r="D370" s="216"/>
      <c r="E370" s="215"/>
      <c r="F370" s="217"/>
      <c r="G370" s="218"/>
      <c r="H370" s="74" t="str">
        <f t="shared" si="10"/>
        <v/>
      </c>
      <c r="I370" s="188" t="str">
        <f t="shared" si="11"/>
        <v/>
      </c>
      <c r="J370" s="221"/>
    </row>
    <row r="371" spans="1:10" s="90" customFormat="1" ht="14.25" hidden="1" x14ac:dyDescent="0.3">
      <c r="A371" s="141"/>
      <c r="B371" s="160">
        <v>355</v>
      </c>
      <c r="C371" s="224"/>
      <c r="D371" s="213"/>
      <c r="E371" s="215"/>
      <c r="F371" s="214"/>
      <c r="G371" s="214"/>
      <c r="H371" s="74" t="str">
        <f t="shared" si="10"/>
        <v/>
      </c>
      <c r="I371" s="188" t="str">
        <f t="shared" si="11"/>
        <v/>
      </c>
      <c r="J371" s="221"/>
    </row>
    <row r="372" spans="1:10" s="90" customFormat="1" ht="14.25" hidden="1" x14ac:dyDescent="0.3">
      <c r="A372" s="141"/>
      <c r="B372" s="160">
        <v>356</v>
      </c>
      <c r="C372" s="224"/>
      <c r="D372" s="213"/>
      <c r="E372" s="215"/>
      <c r="F372" s="214"/>
      <c r="G372" s="214"/>
      <c r="H372" s="74" t="str">
        <f t="shared" si="10"/>
        <v/>
      </c>
      <c r="I372" s="188" t="str">
        <f t="shared" si="11"/>
        <v/>
      </c>
      <c r="J372" s="221"/>
    </row>
    <row r="373" spans="1:10" s="90" customFormat="1" ht="14.25" hidden="1" x14ac:dyDescent="0.3">
      <c r="A373" s="141"/>
      <c r="B373" s="160">
        <v>357</v>
      </c>
      <c r="C373" s="224"/>
      <c r="D373" s="216"/>
      <c r="E373" s="215"/>
      <c r="F373" s="217"/>
      <c r="G373" s="218"/>
      <c r="H373" s="74" t="str">
        <f t="shared" si="10"/>
        <v/>
      </c>
      <c r="I373" s="188" t="str">
        <f t="shared" si="11"/>
        <v/>
      </c>
      <c r="J373" s="221"/>
    </row>
    <row r="374" spans="1:10" s="90" customFormat="1" ht="14.25" hidden="1" x14ac:dyDescent="0.3">
      <c r="A374" s="141"/>
      <c r="B374" s="160">
        <v>358</v>
      </c>
      <c r="C374" s="224"/>
      <c r="D374" s="213"/>
      <c r="E374" s="215"/>
      <c r="F374" s="214"/>
      <c r="G374" s="214"/>
      <c r="H374" s="74" t="str">
        <f t="shared" si="10"/>
        <v/>
      </c>
      <c r="I374" s="188" t="str">
        <f t="shared" si="11"/>
        <v/>
      </c>
      <c r="J374" s="221"/>
    </row>
    <row r="375" spans="1:10" s="90" customFormat="1" ht="14.25" hidden="1" x14ac:dyDescent="0.3">
      <c r="A375" s="141"/>
      <c r="B375" s="160">
        <v>359</v>
      </c>
      <c r="C375" s="224"/>
      <c r="D375" s="213"/>
      <c r="E375" s="215"/>
      <c r="F375" s="214"/>
      <c r="G375" s="214"/>
      <c r="H375" s="74" t="str">
        <f t="shared" si="10"/>
        <v/>
      </c>
      <c r="I375" s="188" t="str">
        <f t="shared" si="11"/>
        <v/>
      </c>
      <c r="J375" s="221"/>
    </row>
    <row r="376" spans="1:10" s="90" customFormat="1" ht="14.25" hidden="1" x14ac:dyDescent="0.3">
      <c r="A376" s="141"/>
      <c r="B376" s="160">
        <v>360</v>
      </c>
      <c r="C376" s="224"/>
      <c r="D376" s="216"/>
      <c r="E376" s="215"/>
      <c r="F376" s="217"/>
      <c r="G376" s="218"/>
      <c r="H376" s="74" t="str">
        <f t="shared" si="10"/>
        <v/>
      </c>
      <c r="I376" s="188" t="str">
        <f t="shared" si="11"/>
        <v/>
      </c>
      <c r="J376" s="221"/>
    </row>
    <row r="377" spans="1:10" s="90" customFormat="1" ht="14.25" hidden="1" x14ac:dyDescent="0.3">
      <c r="A377" s="141"/>
      <c r="B377" s="160">
        <v>361</v>
      </c>
      <c r="C377" s="224"/>
      <c r="D377" s="213"/>
      <c r="E377" s="215"/>
      <c r="F377" s="214"/>
      <c r="G377" s="214"/>
      <c r="H377" s="74" t="str">
        <f t="shared" si="10"/>
        <v/>
      </c>
      <c r="I377" s="188" t="str">
        <f t="shared" si="11"/>
        <v/>
      </c>
      <c r="J377" s="221"/>
    </row>
    <row r="378" spans="1:10" s="90" customFormat="1" ht="14.25" hidden="1" x14ac:dyDescent="0.3">
      <c r="A378" s="141"/>
      <c r="B378" s="160">
        <v>362</v>
      </c>
      <c r="C378" s="224"/>
      <c r="D378" s="213"/>
      <c r="E378" s="215"/>
      <c r="F378" s="214"/>
      <c r="G378" s="214"/>
      <c r="H378" s="74" t="str">
        <f t="shared" si="10"/>
        <v/>
      </c>
      <c r="I378" s="188" t="str">
        <f t="shared" si="11"/>
        <v/>
      </c>
      <c r="J378" s="221"/>
    </row>
    <row r="379" spans="1:10" s="90" customFormat="1" ht="14.25" hidden="1" x14ac:dyDescent="0.3">
      <c r="A379" s="141"/>
      <c r="B379" s="160">
        <v>363</v>
      </c>
      <c r="C379" s="224"/>
      <c r="D379" s="216"/>
      <c r="E379" s="215"/>
      <c r="F379" s="217"/>
      <c r="G379" s="218"/>
      <c r="H379" s="74" t="str">
        <f t="shared" si="10"/>
        <v/>
      </c>
      <c r="I379" s="188" t="str">
        <f t="shared" si="11"/>
        <v/>
      </c>
      <c r="J379" s="221"/>
    </row>
    <row r="380" spans="1:10" s="90" customFormat="1" ht="14.25" hidden="1" x14ac:dyDescent="0.3">
      <c r="A380" s="141"/>
      <c r="B380" s="160">
        <v>364</v>
      </c>
      <c r="C380" s="224"/>
      <c r="D380" s="213"/>
      <c r="E380" s="215"/>
      <c r="F380" s="214"/>
      <c r="G380" s="214"/>
      <c r="H380" s="74" t="str">
        <f t="shared" si="10"/>
        <v/>
      </c>
      <c r="I380" s="188" t="str">
        <f t="shared" si="11"/>
        <v/>
      </c>
      <c r="J380" s="221"/>
    </row>
    <row r="381" spans="1:10" s="90" customFormat="1" ht="14.25" hidden="1" x14ac:dyDescent="0.3">
      <c r="A381" s="141"/>
      <c r="B381" s="160">
        <v>365</v>
      </c>
      <c r="C381" s="224"/>
      <c r="D381" s="213"/>
      <c r="E381" s="215"/>
      <c r="F381" s="214"/>
      <c r="G381" s="214"/>
      <c r="H381" s="74" t="str">
        <f t="shared" si="10"/>
        <v/>
      </c>
      <c r="I381" s="188" t="str">
        <f t="shared" si="11"/>
        <v/>
      </c>
      <c r="J381" s="221"/>
    </row>
    <row r="382" spans="1:10" s="90" customFormat="1" ht="14.25" hidden="1" x14ac:dyDescent="0.3">
      <c r="A382" s="141"/>
      <c r="B382" s="160">
        <v>366</v>
      </c>
      <c r="C382" s="224"/>
      <c r="D382" s="216"/>
      <c r="E382" s="215"/>
      <c r="F382" s="217"/>
      <c r="G382" s="218"/>
      <c r="H382" s="74" t="str">
        <f t="shared" si="10"/>
        <v/>
      </c>
      <c r="I382" s="188" t="str">
        <f t="shared" si="11"/>
        <v/>
      </c>
      <c r="J382" s="221"/>
    </row>
    <row r="383" spans="1:10" s="90" customFormat="1" ht="14.25" hidden="1" x14ac:dyDescent="0.3">
      <c r="A383" s="141"/>
      <c r="B383" s="160">
        <v>367</v>
      </c>
      <c r="C383" s="224"/>
      <c r="D383" s="213"/>
      <c r="E383" s="215"/>
      <c r="F383" s="214"/>
      <c r="G383" s="214"/>
      <c r="H383" s="74" t="str">
        <f t="shared" si="10"/>
        <v/>
      </c>
      <c r="I383" s="188" t="str">
        <f t="shared" si="11"/>
        <v/>
      </c>
      <c r="J383" s="221"/>
    </row>
    <row r="384" spans="1:10" s="90" customFormat="1" ht="14.25" hidden="1" x14ac:dyDescent="0.3">
      <c r="A384" s="141"/>
      <c r="B384" s="160">
        <v>368</v>
      </c>
      <c r="C384" s="224"/>
      <c r="D384" s="213"/>
      <c r="E384" s="215"/>
      <c r="F384" s="214"/>
      <c r="G384" s="214"/>
      <c r="H384" s="74" t="str">
        <f t="shared" si="10"/>
        <v/>
      </c>
      <c r="I384" s="188" t="str">
        <f t="shared" si="11"/>
        <v/>
      </c>
      <c r="J384" s="221"/>
    </row>
    <row r="385" spans="1:10" s="90" customFormat="1" ht="14.25" hidden="1" x14ac:dyDescent="0.3">
      <c r="A385" s="141"/>
      <c r="B385" s="160">
        <v>369</v>
      </c>
      <c r="C385" s="224"/>
      <c r="D385" s="216"/>
      <c r="E385" s="215"/>
      <c r="F385" s="217"/>
      <c r="G385" s="218"/>
      <c r="H385" s="74" t="str">
        <f t="shared" si="10"/>
        <v/>
      </c>
      <c r="I385" s="188" t="str">
        <f t="shared" si="11"/>
        <v/>
      </c>
      <c r="J385" s="221"/>
    </row>
    <row r="386" spans="1:10" s="90" customFormat="1" ht="14.25" hidden="1" x14ac:dyDescent="0.3">
      <c r="A386" s="141"/>
      <c r="B386" s="160">
        <v>370</v>
      </c>
      <c r="C386" s="224"/>
      <c r="D386" s="213"/>
      <c r="E386" s="215"/>
      <c r="F386" s="214"/>
      <c r="G386" s="214"/>
      <c r="H386" s="74" t="str">
        <f t="shared" si="10"/>
        <v/>
      </c>
      <c r="I386" s="188" t="str">
        <f t="shared" si="11"/>
        <v/>
      </c>
      <c r="J386" s="221"/>
    </row>
    <row r="387" spans="1:10" s="90" customFormat="1" ht="14.25" hidden="1" x14ac:dyDescent="0.3">
      <c r="A387" s="141"/>
      <c r="B387" s="160">
        <v>371</v>
      </c>
      <c r="C387" s="224"/>
      <c r="D387" s="213"/>
      <c r="E387" s="215"/>
      <c r="F387" s="214"/>
      <c r="G387" s="214"/>
      <c r="H387" s="74" t="str">
        <f t="shared" si="10"/>
        <v/>
      </c>
      <c r="I387" s="188" t="str">
        <f t="shared" si="11"/>
        <v/>
      </c>
      <c r="J387" s="221"/>
    </row>
    <row r="388" spans="1:10" s="90" customFormat="1" ht="14.25" hidden="1" x14ac:dyDescent="0.3">
      <c r="A388" s="141"/>
      <c r="B388" s="160">
        <v>372</v>
      </c>
      <c r="C388" s="224"/>
      <c r="D388" s="216"/>
      <c r="E388" s="215"/>
      <c r="F388" s="217"/>
      <c r="G388" s="218"/>
      <c r="H388" s="74" t="str">
        <f t="shared" si="10"/>
        <v/>
      </c>
      <c r="I388" s="188" t="str">
        <f t="shared" si="11"/>
        <v/>
      </c>
      <c r="J388" s="221"/>
    </row>
    <row r="389" spans="1:10" s="90" customFormat="1" ht="14.25" hidden="1" x14ac:dyDescent="0.3">
      <c r="A389" s="141"/>
      <c r="B389" s="160">
        <v>373</v>
      </c>
      <c r="C389" s="224"/>
      <c r="D389" s="213"/>
      <c r="E389" s="215"/>
      <c r="F389" s="214"/>
      <c r="G389" s="214"/>
      <c r="H389" s="74" t="str">
        <f t="shared" si="10"/>
        <v/>
      </c>
      <c r="I389" s="188" t="str">
        <f t="shared" si="11"/>
        <v/>
      </c>
      <c r="J389" s="221"/>
    </row>
    <row r="390" spans="1:10" s="90" customFormat="1" ht="14.25" hidden="1" x14ac:dyDescent="0.3">
      <c r="A390" s="141"/>
      <c r="B390" s="160">
        <v>374</v>
      </c>
      <c r="C390" s="224"/>
      <c r="D390" s="213"/>
      <c r="E390" s="215"/>
      <c r="F390" s="214"/>
      <c r="G390" s="214"/>
      <c r="H390" s="74" t="str">
        <f t="shared" si="10"/>
        <v/>
      </c>
      <c r="I390" s="188" t="str">
        <f t="shared" si="11"/>
        <v/>
      </c>
      <c r="J390" s="221"/>
    </row>
    <row r="391" spans="1:10" s="90" customFormat="1" ht="14.25" hidden="1" x14ac:dyDescent="0.3">
      <c r="A391" s="141"/>
      <c r="B391" s="160">
        <v>375</v>
      </c>
      <c r="C391" s="224"/>
      <c r="D391" s="216"/>
      <c r="E391" s="215"/>
      <c r="F391" s="217"/>
      <c r="G391" s="218"/>
      <c r="H391" s="74" t="str">
        <f t="shared" si="10"/>
        <v/>
      </c>
      <c r="I391" s="188" t="str">
        <f t="shared" si="11"/>
        <v/>
      </c>
      <c r="J391" s="221"/>
    </row>
    <row r="392" spans="1:10" s="90" customFormat="1" ht="14.25" hidden="1" x14ac:dyDescent="0.3">
      <c r="A392" s="141"/>
      <c r="B392" s="160">
        <v>376</v>
      </c>
      <c r="C392" s="224"/>
      <c r="D392" s="213"/>
      <c r="E392" s="215"/>
      <c r="F392" s="214"/>
      <c r="G392" s="214"/>
      <c r="H392" s="74" t="str">
        <f t="shared" si="10"/>
        <v/>
      </c>
      <c r="I392" s="188" t="str">
        <f t="shared" si="11"/>
        <v/>
      </c>
      <c r="J392" s="221"/>
    </row>
    <row r="393" spans="1:10" s="90" customFormat="1" ht="14.25" hidden="1" x14ac:dyDescent="0.3">
      <c r="A393" s="141"/>
      <c r="B393" s="160">
        <v>377</v>
      </c>
      <c r="C393" s="224"/>
      <c r="D393" s="213"/>
      <c r="E393" s="215"/>
      <c r="F393" s="214"/>
      <c r="G393" s="214"/>
      <c r="H393" s="74" t="str">
        <f t="shared" si="10"/>
        <v/>
      </c>
      <c r="I393" s="188" t="str">
        <f t="shared" si="11"/>
        <v/>
      </c>
      <c r="J393" s="221"/>
    </row>
    <row r="394" spans="1:10" s="90" customFormat="1" ht="14.25" hidden="1" x14ac:dyDescent="0.3">
      <c r="A394" s="141"/>
      <c r="B394" s="160">
        <v>378</v>
      </c>
      <c r="C394" s="224"/>
      <c r="D394" s="216"/>
      <c r="E394" s="215"/>
      <c r="F394" s="217"/>
      <c r="G394" s="218"/>
      <c r="H394" s="74" t="str">
        <f t="shared" si="10"/>
        <v/>
      </c>
      <c r="I394" s="188" t="str">
        <f t="shared" si="11"/>
        <v/>
      </c>
      <c r="J394" s="221"/>
    </row>
    <row r="395" spans="1:10" s="90" customFormat="1" ht="14.25" hidden="1" x14ac:dyDescent="0.3">
      <c r="A395" s="141"/>
      <c r="B395" s="160">
        <v>379</v>
      </c>
      <c r="C395" s="224"/>
      <c r="D395" s="213"/>
      <c r="E395" s="215"/>
      <c r="F395" s="214"/>
      <c r="G395" s="214"/>
      <c r="H395" s="74" t="str">
        <f t="shared" si="10"/>
        <v/>
      </c>
      <c r="I395" s="188" t="str">
        <f t="shared" si="11"/>
        <v/>
      </c>
      <c r="J395" s="221"/>
    </row>
    <row r="396" spans="1:10" s="90" customFormat="1" ht="14.25" hidden="1" x14ac:dyDescent="0.3">
      <c r="A396" s="141"/>
      <c r="B396" s="160">
        <v>380</v>
      </c>
      <c r="C396" s="224"/>
      <c r="D396" s="213"/>
      <c r="E396" s="215"/>
      <c r="F396" s="214"/>
      <c r="G396" s="214"/>
      <c r="H396" s="74" t="str">
        <f t="shared" si="10"/>
        <v/>
      </c>
      <c r="I396" s="188" t="str">
        <f t="shared" si="11"/>
        <v/>
      </c>
      <c r="J396" s="221"/>
    </row>
    <row r="397" spans="1:10" s="90" customFormat="1" ht="14.25" hidden="1" x14ac:dyDescent="0.3">
      <c r="A397" s="141"/>
      <c r="B397" s="160">
        <v>381</v>
      </c>
      <c r="C397" s="224"/>
      <c r="D397" s="216"/>
      <c r="E397" s="215"/>
      <c r="F397" s="217"/>
      <c r="G397" s="218"/>
      <c r="H397" s="74" t="str">
        <f t="shared" si="10"/>
        <v/>
      </c>
      <c r="I397" s="188" t="str">
        <f t="shared" si="11"/>
        <v/>
      </c>
      <c r="J397" s="221"/>
    </row>
    <row r="398" spans="1:10" s="90" customFormat="1" ht="14.25" hidden="1" x14ac:dyDescent="0.3">
      <c r="A398" s="141"/>
      <c r="B398" s="160">
        <v>382</v>
      </c>
      <c r="C398" s="224"/>
      <c r="D398" s="213"/>
      <c r="E398" s="215"/>
      <c r="F398" s="214"/>
      <c r="G398" s="214"/>
      <c r="H398" s="74" t="str">
        <f t="shared" si="10"/>
        <v/>
      </c>
      <c r="I398" s="188" t="str">
        <f t="shared" si="11"/>
        <v/>
      </c>
      <c r="J398" s="221"/>
    </row>
    <row r="399" spans="1:10" s="90" customFormat="1" ht="14.25" hidden="1" x14ac:dyDescent="0.3">
      <c r="A399" s="141"/>
      <c r="B399" s="160">
        <v>383</v>
      </c>
      <c r="C399" s="224"/>
      <c r="D399" s="213"/>
      <c r="E399" s="215"/>
      <c r="F399" s="214"/>
      <c r="G399" s="214"/>
      <c r="H399" s="74" t="str">
        <f t="shared" si="10"/>
        <v/>
      </c>
      <c r="I399" s="188" t="str">
        <f t="shared" si="11"/>
        <v/>
      </c>
      <c r="J399" s="221"/>
    </row>
    <row r="400" spans="1:10" s="90" customFormat="1" ht="14.25" hidden="1" x14ac:dyDescent="0.3">
      <c r="A400" s="141"/>
      <c r="B400" s="160">
        <v>384</v>
      </c>
      <c r="C400" s="224"/>
      <c r="D400" s="216"/>
      <c r="E400" s="215"/>
      <c r="F400" s="217"/>
      <c r="G400" s="218"/>
      <c r="H400" s="74" t="str">
        <f t="shared" si="10"/>
        <v/>
      </c>
      <c r="I400" s="188" t="str">
        <f t="shared" si="11"/>
        <v/>
      </c>
      <c r="J400" s="221"/>
    </row>
    <row r="401" spans="1:10" s="90" customFormat="1" ht="14.25" hidden="1" x14ac:dyDescent="0.3">
      <c r="A401" s="141"/>
      <c r="B401" s="160">
        <v>385</v>
      </c>
      <c r="C401" s="224"/>
      <c r="D401" s="213"/>
      <c r="E401" s="215"/>
      <c r="F401" s="214"/>
      <c r="G401" s="214"/>
      <c r="H401" s="74" t="str">
        <f t="shared" si="10"/>
        <v/>
      </c>
      <c r="I401" s="188" t="str">
        <f t="shared" si="11"/>
        <v/>
      </c>
      <c r="J401" s="221"/>
    </row>
    <row r="402" spans="1:10" s="90" customFormat="1" ht="14.25" hidden="1" x14ac:dyDescent="0.3">
      <c r="A402" s="141"/>
      <c r="B402" s="160">
        <v>386</v>
      </c>
      <c r="C402" s="224"/>
      <c r="D402" s="213"/>
      <c r="E402" s="215"/>
      <c r="F402" s="214"/>
      <c r="G402" s="214"/>
      <c r="H402" s="74" t="str">
        <f t="shared" ref="H402:H465" si="12">ObterComplexidadeFuncao(E402,F402,G402)</f>
        <v/>
      </c>
      <c r="I402" s="188" t="str">
        <f t="shared" ref="I402:I465" si="13">ObterContribuicaoFuncao(E402,H402)</f>
        <v/>
      </c>
      <c r="J402" s="221"/>
    </row>
    <row r="403" spans="1:10" s="90" customFormat="1" ht="14.25" hidden="1" x14ac:dyDescent="0.3">
      <c r="A403" s="141"/>
      <c r="B403" s="160">
        <v>387</v>
      </c>
      <c r="C403" s="224"/>
      <c r="D403" s="216"/>
      <c r="E403" s="215"/>
      <c r="F403" s="217"/>
      <c r="G403" s="218"/>
      <c r="H403" s="74" t="str">
        <f t="shared" si="12"/>
        <v/>
      </c>
      <c r="I403" s="188" t="str">
        <f t="shared" si="13"/>
        <v/>
      </c>
      <c r="J403" s="221"/>
    </row>
    <row r="404" spans="1:10" s="90" customFormat="1" ht="14.25" hidden="1" x14ac:dyDescent="0.3">
      <c r="A404" s="141"/>
      <c r="B404" s="160">
        <v>388</v>
      </c>
      <c r="C404" s="224"/>
      <c r="D404" s="213"/>
      <c r="E404" s="215"/>
      <c r="F404" s="214"/>
      <c r="G404" s="214"/>
      <c r="H404" s="74" t="str">
        <f t="shared" si="12"/>
        <v/>
      </c>
      <c r="I404" s="188" t="str">
        <f t="shared" si="13"/>
        <v/>
      </c>
      <c r="J404" s="221"/>
    </row>
    <row r="405" spans="1:10" s="90" customFormat="1" ht="14.25" hidden="1" x14ac:dyDescent="0.3">
      <c r="A405" s="141"/>
      <c r="B405" s="160">
        <v>389</v>
      </c>
      <c r="C405" s="224"/>
      <c r="D405" s="213"/>
      <c r="E405" s="215"/>
      <c r="F405" s="214"/>
      <c r="G405" s="214"/>
      <c r="H405" s="74" t="str">
        <f t="shared" si="12"/>
        <v/>
      </c>
      <c r="I405" s="188" t="str">
        <f t="shared" si="13"/>
        <v/>
      </c>
      <c r="J405" s="221"/>
    </row>
    <row r="406" spans="1:10" s="90" customFormat="1" ht="14.25" hidden="1" x14ac:dyDescent="0.3">
      <c r="A406" s="141"/>
      <c r="B406" s="160">
        <v>390</v>
      </c>
      <c r="C406" s="224"/>
      <c r="D406" s="216"/>
      <c r="E406" s="215"/>
      <c r="F406" s="217"/>
      <c r="G406" s="218"/>
      <c r="H406" s="74" t="str">
        <f t="shared" si="12"/>
        <v/>
      </c>
      <c r="I406" s="188" t="str">
        <f t="shared" si="13"/>
        <v/>
      </c>
      <c r="J406" s="221"/>
    </row>
    <row r="407" spans="1:10" s="90" customFormat="1" ht="14.25" hidden="1" x14ac:dyDescent="0.3">
      <c r="A407" s="141"/>
      <c r="B407" s="160">
        <v>391</v>
      </c>
      <c r="C407" s="224"/>
      <c r="D407" s="213"/>
      <c r="E407" s="215"/>
      <c r="F407" s="214"/>
      <c r="G407" s="214"/>
      <c r="H407" s="74" t="str">
        <f t="shared" si="12"/>
        <v/>
      </c>
      <c r="I407" s="188" t="str">
        <f t="shared" si="13"/>
        <v/>
      </c>
      <c r="J407" s="221"/>
    </row>
    <row r="408" spans="1:10" s="90" customFormat="1" ht="14.25" hidden="1" x14ac:dyDescent="0.3">
      <c r="A408" s="141"/>
      <c r="B408" s="160">
        <v>392</v>
      </c>
      <c r="C408" s="224"/>
      <c r="D408" s="213"/>
      <c r="E408" s="215"/>
      <c r="F408" s="214"/>
      <c r="G408" s="214"/>
      <c r="H408" s="74" t="str">
        <f t="shared" si="12"/>
        <v/>
      </c>
      <c r="I408" s="188" t="str">
        <f t="shared" si="13"/>
        <v/>
      </c>
      <c r="J408" s="221"/>
    </row>
    <row r="409" spans="1:10" s="90" customFormat="1" ht="14.25" hidden="1" x14ac:dyDescent="0.3">
      <c r="A409" s="141"/>
      <c r="B409" s="160">
        <v>393</v>
      </c>
      <c r="C409" s="224"/>
      <c r="D409" s="216"/>
      <c r="E409" s="215"/>
      <c r="F409" s="217"/>
      <c r="G409" s="218"/>
      <c r="H409" s="74" t="str">
        <f t="shared" si="12"/>
        <v/>
      </c>
      <c r="I409" s="188" t="str">
        <f t="shared" si="13"/>
        <v/>
      </c>
      <c r="J409" s="221"/>
    </row>
    <row r="410" spans="1:10" s="90" customFormat="1" ht="14.25" hidden="1" x14ac:dyDescent="0.3">
      <c r="A410" s="141"/>
      <c r="B410" s="160">
        <v>394</v>
      </c>
      <c r="C410" s="224"/>
      <c r="D410" s="213"/>
      <c r="E410" s="215"/>
      <c r="F410" s="214"/>
      <c r="G410" s="214"/>
      <c r="H410" s="74" t="str">
        <f t="shared" si="12"/>
        <v/>
      </c>
      <c r="I410" s="188" t="str">
        <f t="shared" si="13"/>
        <v/>
      </c>
      <c r="J410" s="221"/>
    </row>
    <row r="411" spans="1:10" s="90" customFormat="1" ht="14.25" hidden="1" x14ac:dyDescent="0.3">
      <c r="A411" s="141"/>
      <c r="B411" s="160">
        <v>395</v>
      </c>
      <c r="C411" s="224"/>
      <c r="D411" s="213"/>
      <c r="E411" s="215"/>
      <c r="F411" s="214"/>
      <c r="G411" s="214"/>
      <c r="H411" s="74" t="str">
        <f t="shared" si="12"/>
        <v/>
      </c>
      <c r="I411" s="188" t="str">
        <f t="shared" si="13"/>
        <v/>
      </c>
      <c r="J411" s="221"/>
    </row>
    <row r="412" spans="1:10" s="90" customFormat="1" ht="14.25" hidden="1" x14ac:dyDescent="0.3">
      <c r="A412" s="141"/>
      <c r="B412" s="160">
        <v>396</v>
      </c>
      <c r="C412" s="224"/>
      <c r="D412" s="216"/>
      <c r="E412" s="215"/>
      <c r="F412" s="217"/>
      <c r="G412" s="218"/>
      <c r="H412" s="74" t="str">
        <f t="shared" si="12"/>
        <v/>
      </c>
      <c r="I412" s="188" t="str">
        <f t="shared" si="13"/>
        <v/>
      </c>
      <c r="J412" s="221"/>
    </row>
    <row r="413" spans="1:10" s="90" customFormat="1" ht="14.25" hidden="1" x14ac:dyDescent="0.3">
      <c r="A413" s="141"/>
      <c r="B413" s="160">
        <v>397</v>
      </c>
      <c r="C413" s="224"/>
      <c r="D413" s="213"/>
      <c r="E413" s="215"/>
      <c r="F413" s="214"/>
      <c r="G413" s="214"/>
      <c r="H413" s="74" t="str">
        <f t="shared" si="12"/>
        <v/>
      </c>
      <c r="I413" s="188" t="str">
        <f t="shared" si="13"/>
        <v/>
      </c>
      <c r="J413" s="221"/>
    </row>
    <row r="414" spans="1:10" s="90" customFormat="1" ht="14.25" hidden="1" x14ac:dyDescent="0.3">
      <c r="A414" s="141"/>
      <c r="B414" s="160">
        <v>398</v>
      </c>
      <c r="C414" s="224"/>
      <c r="D414" s="213"/>
      <c r="E414" s="215"/>
      <c r="F414" s="214"/>
      <c r="G414" s="214"/>
      <c r="H414" s="74" t="str">
        <f t="shared" si="12"/>
        <v/>
      </c>
      <c r="I414" s="188" t="str">
        <f t="shared" si="13"/>
        <v/>
      </c>
      <c r="J414" s="221"/>
    </row>
    <row r="415" spans="1:10" s="90" customFormat="1" ht="14.25" hidden="1" x14ac:dyDescent="0.3">
      <c r="A415" s="141"/>
      <c r="B415" s="160">
        <v>399</v>
      </c>
      <c r="C415" s="224"/>
      <c r="D415" s="216"/>
      <c r="E415" s="215"/>
      <c r="F415" s="217"/>
      <c r="G415" s="218"/>
      <c r="H415" s="74" t="str">
        <f t="shared" si="12"/>
        <v/>
      </c>
      <c r="I415" s="188" t="str">
        <f t="shared" si="13"/>
        <v/>
      </c>
      <c r="J415" s="221"/>
    </row>
    <row r="416" spans="1:10" s="90" customFormat="1" ht="14.25" hidden="1" x14ac:dyDescent="0.3">
      <c r="A416" s="141"/>
      <c r="B416" s="160">
        <v>400</v>
      </c>
      <c r="C416" s="224"/>
      <c r="D416" s="213"/>
      <c r="E416" s="215"/>
      <c r="F416" s="214"/>
      <c r="G416" s="214"/>
      <c r="H416" s="74" t="str">
        <f t="shared" si="12"/>
        <v/>
      </c>
      <c r="I416" s="188" t="str">
        <f t="shared" si="13"/>
        <v/>
      </c>
      <c r="J416" s="221"/>
    </row>
    <row r="417" spans="1:10" s="90" customFormat="1" ht="14.25" hidden="1" x14ac:dyDescent="0.3">
      <c r="A417" s="141"/>
      <c r="B417" s="160">
        <v>401</v>
      </c>
      <c r="C417" s="224"/>
      <c r="D417" s="213"/>
      <c r="E417" s="215"/>
      <c r="F417" s="214"/>
      <c r="G417" s="214"/>
      <c r="H417" s="74" t="str">
        <f t="shared" si="12"/>
        <v/>
      </c>
      <c r="I417" s="188" t="str">
        <f t="shared" si="13"/>
        <v/>
      </c>
      <c r="J417" s="221"/>
    </row>
    <row r="418" spans="1:10" s="90" customFormat="1" ht="14.25" hidden="1" x14ac:dyDescent="0.3">
      <c r="A418" s="141"/>
      <c r="B418" s="160">
        <v>402</v>
      </c>
      <c r="C418" s="224"/>
      <c r="D418" s="216"/>
      <c r="E418" s="215"/>
      <c r="F418" s="217"/>
      <c r="G418" s="218"/>
      <c r="H418" s="74" t="str">
        <f t="shared" si="12"/>
        <v/>
      </c>
      <c r="I418" s="188" t="str">
        <f t="shared" si="13"/>
        <v/>
      </c>
      <c r="J418" s="221"/>
    </row>
    <row r="419" spans="1:10" s="90" customFormat="1" ht="14.25" hidden="1" x14ac:dyDescent="0.3">
      <c r="A419" s="141"/>
      <c r="B419" s="160">
        <v>403</v>
      </c>
      <c r="C419" s="224"/>
      <c r="D419" s="213"/>
      <c r="E419" s="215"/>
      <c r="F419" s="214"/>
      <c r="G419" s="214"/>
      <c r="H419" s="74" t="str">
        <f t="shared" si="12"/>
        <v/>
      </c>
      <c r="I419" s="188" t="str">
        <f t="shared" si="13"/>
        <v/>
      </c>
      <c r="J419" s="221"/>
    </row>
    <row r="420" spans="1:10" s="90" customFormat="1" ht="14.25" hidden="1" x14ac:dyDescent="0.3">
      <c r="A420" s="141"/>
      <c r="B420" s="160">
        <v>404</v>
      </c>
      <c r="C420" s="224"/>
      <c r="D420" s="213"/>
      <c r="E420" s="215"/>
      <c r="F420" s="214"/>
      <c r="G420" s="214"/>
      <c r="H420" s="74" t="str">
        <f t="shared" si="12"/>
        <v/>
      </c>
      <c r="I420" s="188" t="str">
        <f t="shared" si="13"/>
        <v/>
      </c>
      <c r="J420" s="221"/>
    </row>
    <row r="421" spans="1:10" s="90" customFormat="1" ht="14.25" hidden="1" x14ac:dyDescent="0.3">
      <c r="A421" s="141"/>
      <c r="B421" s="160">
        <v>405</v>
      </c>
      <c r="C421" s="224"/>
      <c r="D421" s="216"/>
      <c r="E421" s="215"/>
      <c r="F421" s="217"/>
      <c r="G421" s="218"/>
      <c r="H421" s="74" t="str">
        <f t="shared" si="12"/>
        <v/>
      </c>
      <c r="I421" s="188" t="str">
        <f t="shared" si="13"/>
        <v/>
      </c>
      <c r="J421" s="221"/>
    </row>
    <row r="422" spans="1:10" s="90" customFormat="1" ht="14.25" hidden="1" x14ac:dyDescent="0.3">
      <c r="A422" s="141"/>
      <c r="B422" s="160">
        <v>406</v>
      </c>
      <c r="C422" s="224"/>
      <c r="D422" s="213"/>
      <c r="E422" s="215"/>
      <c r="F422" s="214"/>
      <c r="G422" s="214"/>
      <c r="H422" s="74" t="str">
        <f t="shared" si="12"/>
        <v/>
      </c>
      <c r="I422" s="188" t="str">
        <f t="shared" si="13"/>
        <v/>
      </c>
      <c r="J422" s="221"/>
    </row>
    <row r="423" spans="1:10" s="90" customFormat="1" ht="14.25" hidden="1" x14ac:dyDescent="0.3">
      <c r="A423" s="141"/>
      <c r="B423" s="160">
        <v>407</v>
      </c>
      <c r="C423" s="224"/>
      <c r="D423" s="213"/>
      <c r="E423" s="215"/>
      <c r="F423" s="214"/>
      <c r="G423" s="214"/>
      <c r="H423" s="74" t="str">
        <f t="shared" si="12"/>
        <v/>
      </c>
      <c r="I423" s="188" t="str">
        <f t="shared" si="13"/>
        <v/>
      </c>
      <c r="J423" s="221"/>
    </row>
    <row r="424" spans="1:10" s="90" customFormat="1" ht="14.25" hidden="1" x14ac:dyDescent="0.3">
      <c r="A424" s="141"/>
      <c r="B424" s="160">
        <v>408</v>
      </c>
      <c r="C424" s="224"/>
      <c r="D424" s="216"/>
      <c r="E424" s="215"/>
      <c r="F424" s="217"/>
      <c r="G424" s="218"/>
      <c r="H424" s="74" t="str">
        <f t="shared" si="12"/>
        <v/>
      </c>
      <c r="I424" s="188" t="str">
        <f t="shared" si="13"/>
        <v/>
      </c>
      <c r="J424" s="221"/>
    </row>
    <row r="425" spans="1:10" s="90" customFormat="1" ht="14.25" hidden="1" x14ac:dyDescent="0.3">
      <c r="A425" s="141"/>
      <c r="B425" s="160">
        <v>409</v>
      </c>
      <c r="C425" s="224"/>
      <c r="D425" s="213"/>
      <c r="E425" s="215"/>
      <c r="F425" s="214"/>
      <c r="G425" s="214"/>
      <c r="H425" s="74" t="str">
        <f t="shared" si="12"/>
        <v/>
      </c>
      <c r="I425" s="188" t="str">
        <f t="shared" si="13"/>
        <v/>
      </c>
      <c r="J425" s="221"/>
    </row>
    <row r="426" spans="1:10" s="90" customFormat="1" ht="14.25" hidden="1" x14ac:dyDescent="0.3">
      <c r="A426" s="141"/>
      <c r="B426" s="160">
        <v>410</v>
      </c>
      <c r="C426" s="224"/>
      <c r="D426" s="213"/>
      <c r="E426" s="215"/>
      <c r="F426" s="214"/>
      <c r="G426" s="214"/>
      <c r="H426" s="74" t="str">
        <f t="shared" si="12"/>
        <v/>
      </c>
      <c r="I426" s="188" t="str">
        <f t="shared" si="13"/>
        <v/>
      </c>
      <c r="J426" s="221"/>
    </row>
    <row r="427" spans="1:10" s="90" customFormat="1" ht="14.25" hidden="1" x14ac:dyDescent="0.3">
      <c r="A427" s="141"/>
      <c r="B427" s="160">
        <v>411</v>
      </c>
      <c r="C427" s="224"/>
      <c r="D427" s="216"/>
      <c r="E427" s="215"/>
      <c r="F427" s="217"/>
      <c r="G427" s="218"/>
      <c r="H427" s="74" t="str">
        <f t="shared" si="12"/>
        <v/>
      </c>
      <c r="I427" s="188" t="str">
        <f t="shared" si="13"/>
        <v/>
      </c>
      <c r="J427" s="221"/>
    </row>
    <row r="428" spans="1:10" s="90" customFormat="1" ht="14.25" hidden="1" x14ac:dyDescent="0.3">
      <c r="A428" s="141"/>
      <c r="B428" s="160">
        <v>412</v>
      </c>
      <c r="C428" s="224"/>
      <c r="D428" s="213"/>
      <c r="E428" s="215"/>
      <c r="F428" s="214"/>
      <c r="G428" s="214"/>
      <c r="H428" s="74" t="str">
        <f t="shared" si="12"/>
        <v/>
      </c>
      <c r="I428" s="188" t="str">
        <f t="shared" si="13"/>
        <v/>
      </c>
      <c r="J428" s="221"/>
    </row>
    <row r="429" spans="1:10" s="90" customFormat="1" ht="14.25" hidden="1" x14ac:dyDescent="0.3">
      <c r="A429" s="141"/>
      <c r="B429" s="160">
        <v>413</v>
      </c>
      <c r="C429" s="224"/>
      <c r="D429" s="213"/>
      <c r="E429" s="215"/>
      <c r="F429" s="214"/>
      <c r="G429" s="214"/>
      <c r="H429" s="74" t="str">
        <f t="shared" si="12"/>
        <v/>
      </c>
      <c r="I429" s="188" t="str">
        <f t="shared" si="13"/>
        <v/>
      </c>
      <c r="J429" s="221"/>
    </row>
    <row r="430" spans="1:10" s="90" customFormat="1" ht="14.25" hidden="1" x14ac:dyDescent="0.3">
      <c r="A430" s="141"/>
      <c r="B430" s="160">
        <v>414</v>
      </c>
      <c r="C430" s="224"/>
      <c r="D430" s="216"/>
      <c r="E430" s="215"/>
      <c r="F430" s="217"/>
      <c r="G430" s="218"/>
      <c r="H430" s="74" t="str">
        <f t="shared" si="12"/>
        <v/>
      </c>
      <c r="I430" s="188" t="str">
        <f t="shared" si="13"/>
        <v/>
      </c>
      <c r="J430" s="221"/>
    </row>
    <row r="431" spans="1:10" s="90" customFormat="1" ht="14.25" hidden="1" x14ac:dyDescent="0.3">
      <c r="A431" s="141"/>
      <c r="B431" s="160">
        <v>415</v>
      </c>
      <c r="C431" s="224"/>
      <c r="D431" s="213"/>
      <c r="E431" s="215"/>
      <c r="F431" s="214"/>
      <c r="G431" s="214"/>
      <c r="H431" s="74" t="str">
        <f t="shared" si="12"/>
        <v/>
      </c>
      <c r="I431" s="188" t="str">
        <f t="shared" si="13"/>
        <v/>
      </c>
      <c r="J431" s="221"/>
    </row>
    <row r="432" spans="1:10" s="90" customFormat="1" ht="14.25" hidden="1" x14ac:dyDescent="0.3">
      <c r="A432" s="141"/>
      <c r="B432" s="160">
        <v>416</v>
      </c>
      <c r="C432" s="224"/>
      <c r="D432" s="213"/>
      <c r="E432" s="215"/>
      <c r="F432" s="214"/>
      <c r="G432" s="214"/>
      <c r="H432" s="74" t="str">
        <f t="shared" si="12"/>
        <v/>
      </c>
      <c r="I432" s="188" t="str">
        <f t="shared" si="13"/>
        <v/>
      </c>
      <c r="J432" s="221"/>
    </row>
    <row r="433" spans="1:10" s="90" customFormat="1" ht="14.25" hidden="1" x14ac:dyDescent="0.3">
      <c r="A433" s="141"/>
      <c r="B433" s="160">
        <v>417</v>
      </c>
      <c r="C433" s="224"/>
      <c r="D433" s="216"/>
      <c r="E433" s="215"/>
      <c r="F433" s="217"/>
      <c r="G433" s="218"/>
      <c r="H433" s="74" t="str">
        <f t="shared" si="12"/>
        <v/>
      </c>
      <c r="I433" s="188" t="str">
        <f t="shared" si="13"/>
        <v/>
      </c>
      <c r="J433" s="221"/>
    </row>
    <row r="434" spans="1:10" s="90" customFormat="1" ht="14.25" hidden="1" x14ac:dyDescent="0.3">
      <c r="A434" s="141"/>
      <c r="B434" s="160">
        <v>418</v>
      </c>
      <c r="C434" s="224"/>
      <c r="D434" s="213"/>
      <c r="E434" s="215"/>
      <c r="F434" s="214"/>
      <c r="G434" s="214"/>
      <c r="H434" s="74" t="str">
        <f t="shared" si="12"/>
        <v/>
      </c>
      <c r="I434" s="188" t="str">
        <f t="shared" si="13"/>
        <v/>
      </c>
      <c r="J434" s="221"/>
    </row>
    <row r="435" spans="1:10" s="90" customFormat="1" ht="14.25" hidden="1" x14ac:dyDescent="0.3">
      <c r="A435" s="141"/>
      <c r="B435" s="160">
        <v>419</v>
      </c>
      <c r="C435" s="224"/>
      <c r="D435" s="213"/>
      <c r="E435" s="215"/>
      <c r="F435" s="214"/>
      <c r="G435" s="214"/>
      <c r="H435" s="74" t="str">
        <f t="shared" si="12"/>
        <v/>
      </c>
      <c r="I435" s="188" t="str">
        <f t="shared" si="13"/>
        <v/>
      </c>
      <c r="J435" s="221"/>
    </row>
    <row r="436" spans="1:10" s="90" customFormat="1" ht="14.25" hidden="1" x14ac:dyDescent="0.3">
      <c r="A436" s="141"/>
      <c r="B436" s="160">
        <v>420</v>
      </c>
      <c r="C436" s="224"/>
      <c r="D436" s="216"/>
      <c r="E436" s="215"/>
      <c r="F436" s="217"/>
      <c r="G436" s="218"/>
      <c r="H436" s="74" t="str">
        <f t="shared" si="12"/>
        <v/>
      </c>
      <c r="I436" s="188" t="str">
        <f t="shared" si="13"/>
        <v/>
      </c>
      <c r="J436" s="221"/>
    </row>
    <row r="437" spans="1:10" s="90" customFormat="1" ht="14.25" hidden="1" x14ac:dyDescent="0.3">
      <c r="A437" s="141"/>
      <c r="B437" s="160">
        <v>421</v>
      </c>
      <c r="C437" s="224"/>
      <c r="D437" s="213"/>
      <c r="E437" s="215"/>
      <c r="F437" s="214"/>
      <c r="G437" s="214"/>
      <c r="H437" s="74" t="str">
        <f t="shared" si="12"/>
        <v/>
      </c>
      <c r="I437" s="188" t="str">
        <f t="shared" si="13"/>
        <v/>
      </c>
      <c r="J437" s="221"/>
    </row>
    <row r="438" spans="1:10" s="90" customFormat="1" ht="14.25" hidden="1" x14ac:dyDescent="0.3">
      <c r="A438" s="141"/>
      <c r="B438" s="160">
        <v>422</v>
      </c>
      <c r="C438" s="224"/>
      <c r="D438" s="213"/>
      <c r="E438" s="215"/>
      <c r="F438" s="214"/>
      <c r="G438" s="214"/>
      <c r="H438" s="74" t="str">
        <f t="shared" si="12"/>
        <v/>
      </c>
      <c r="I438" s="188" t="str">
        <f t="shared" si="13"/>
        <v/>
      </c>
      <c r="J438" s="221"/>
    </row>
    <row r="439" spans="1:10" s="90" customFormat="1" ht="14.25" hidden="1" x14ac:dyDescent="0.3">
      <c r="A439" s="141"/>
      <c r="B439" s="160">
        <v>423</v>
      </c>
      <c r="C439" s="224"/>
      <c r="D439" s="216"/>
      <c r="E439" s="215"/>
      <c r="F439" s="217"/>
      <c r="G439" s="218"/>
      <c r="H439" s="74" t="str">
        <f t="shared" si="12"/>
        <v/>
      </c>
      <c r="I439" s="188" t="str">
        <f t="shared" si="13"/>
        <v/>
      </c>
      <c r="J439" s="221"/>
    </row>
    <row r="440" spans="1:10" s="90" customFormat="1" ht="14.25" hidden="1" x14ac:dyDescent="0.3">
      <c r="A440" s="141"/>
      <c r="B440" s="160">
        <v>424</v>
      </c>
      <c r="C440" s="224"/>
      <c r="D440" s="213"/>
      <c r="E440" s="215"/>
      <c r="F440" s="214"/>
      <c r="G440" s="214"/>
      <c r="H440" s="74" t="str">
        <f t="shared" si="12"/>
        <v/>
      </c>
      <c r="I440" s="188" t="str">
        <f t="shared" si="13"/>
        <v/>
      </c>
      <c r="J440" s="221"/>
    </row>
    <row r="441" spans="1:10" s="90" customFormat="1" ht="14.25" hidden="1" x14ac:dyDescent="0.3">
      <c r="A441" s="141"/>
      <c r="B441" s="160">
        <v>425</v>
      </c>
      <c r="C441" s="224"/>
      <c r="D441" s="213"/>
      <c r="E441" s="215"/>
      <c r="F441" s="214"/>
      <c r="G441" s="214"/>
      <c r="H441" s="74" t="str">
        <f t="shared" si="12"/>
        <v/>
      </c>
      <c r="I441" s="188" t="str">
        <f t="shared" si="13"/>
        <v/>
      </c>
      <c r="J441" s="221"/>
    </row>
    <row r="442" spans="1:10" s="90" customFormat="1" ht="14.25" hidden="1" x14ac:dyDescent="0.3">
      <c r="A442" s="141"/>
      <c r="B442" s="160">
        <v>426</v>
      </c>
      <c r="C442" s="224"/>
      <c r="D442" s="216"/>
      <c r="E442" s="215"/>
      <c r="F442" s="217"/>
      <c r="G442" s="218"/>
      <c r="H442" s="74" t="str">
        <f t="shared" si="12"/>
        <v/>
      </c>
      <c r="I442" s="188" t="str">
        <f t="shared" si="13"/>
        <v/>
      </c>
      <c r="J442" s="221"/>
    </row>
    <row r="443" spans="1:10" s="90" customFormat="1" ht="14.25" hidden="1" x14ac:dyDescent="0.3">
      <c r="A443" s="141"/>
      <c r="B443" s="160">
        <v>427</v>
      </c>
      <c r="C443" s="224"/>
      <c r="D443" s="213"/>
      <c r="E443" s="215"/>
      <c r="F443" s="214"/>
      <c r="G443" s="214"/>
      <c r="H443" s="74" t="str">
        <f t="shared" si="12"/>
        <v/>
      </c>
      <c r="I443" s="188" t="str">
        <f t="shared" si="13"/>
        <v/>
      </c>
      <c r="J443" s="221"/>
    </row>
    <row r="444" spans="1:10" s="90" customFormat="1" ht="14.25" hidden="1" x14ac:dyDescent="0.3">
      <c r="A444" s="141"/>
      <c r="B444" s="160">
        <v>428</v>
      </c>
      <c r="C444" s="224"/>
      <c r="D444" s="213"/>
      <c r="E444" s="215"/>
      <c r="F444" s="214"/>
      <c r="G444" s="214"/>
      <c r="H444" s="74" t="str">
        <f t="shared" si="12"/>
        <v/>
      </c>
      <c r="I444" s="188" t="str">
        <f t="shared" si="13"/>
        <v/>
      </c>
      <c r="J444" s="221"/>
    </row>
    <row r="445" spans="1:10" s="90" customFormat="1" ht="14.25" hidden="1" x14ac:dyDescent="0.3">
      <c r="A445" s="141"/>
      <c r="B445" s="160">
        <v>429</v>
      </c>
      <c r="C445" s="224"/>
      <c r="D445" s="216"/>
      <c r="E445" s="215"/>
      <c r="F445" s="217"/>
      <c r="G445" s="218"/>
      <c r="H445" s="74" t="str">
        <f t="shared" si="12"/>
        <v/>
      </c>
      <c r="I445" s="188" t="str">
        <f t="shared" si="13"/>
        <v/>
      </c>
      <c r="J445" s="221"/>
    </row>
    <row r="446" spans="1:10" s="90" customFormat="1" ht="14.25" hidden="1" x14ac:dyDescent="0.3">
      <c r="A446" s="141"/>
      <c r="B446" s="160">
        <v>430</v>
      </c>
      <c r="C446" s="224"/>
      <c r="D446" s="213"/>
      <c r="E446" s="215"/>
      <c r="F446" s="214"/>
      <c r="G446" s="214"/>
      <c r="H446" s="74" t="str">
        <f t="shared" si="12"/>
        <v/>
      </c>
      <c r="I446" s="188" t="str">
        <f t="shared" si="13"/>
        <v/>
      </c>
      <c r="J446" s="221"/>
    </row>
    <row r="447" spans="1:10" s="90" customFormat="1" ht="14.25" hidden="1" x14ac:dyDescent="0.3">
      <c r="A447" s="141"/>
      <c r="B447" s="160">
        <v>431</v>
      </c>
      <c r="C447" s="224"/>
      <c r="D447" s="213"/>
      <c r="E447" s="215"/>
      <c r="F447" s="214"/>
      <c r="G447" s="214"/>
      <c r="H447" s="74" t="str">
        <f t="shared" si="12"/>
        <v/>
      </c>
      <c r="I447" s="188" t="str">
        <f t="shared" si="13"/>
        <v/>
      </c>
      <c r="J447" s="221"/>
    </row>
    <row r="448" spans="1:10" s="90" customFormat="1" ht="14.25" hidden="1" x14ac:dyDescent="0.3">
      <c r="A448" s="141"/>
      <c r="B448" s="160">
        <v>432</v>
      </c>
      <c r="C448" s="224"/>
      <c r="D448" s="216"/>
      <c r="E448" s="215"/>
      <c r="F448" s="217"/>
      <c r="G448" s="218"/>
      <c r="H448" s="74" t="str">
        <f t="shared" si="12"/>
        <v/>
      </c>
      <c r="I448" s="188" t="str">
        <f t="shared" si="13"/>
        <v/>
      </c>
      <c r="J448" s="221"/>
    </row>
    <row r="449" spans="1:10" s="90" customFormat="1" ht="14.25" hidden="1" x14ac:dyDescent="0.3">
      <c r="A449" s="141"/>
      <c r="B449" s="160">
        <v>433</v>
      </c>
      <c r="C449" s="224"/>
      <c r="D449" s="213"/>
      <c r="E449" s="215"/>
      <c r="F449" s="214"/>
      <c r="G449" s="214"/>
      <c r="H449" s="74" t="str">
        <f t="shared" si="12"/>
        <v/>
      </c>
      <c r="I449" s="188" t="str">
        <f t="shared" si="13"/>
        <v/>
      </c>
      <c r="J449" s="221"/>
    </row>
    <row r="450" spans="1:10" s="90" customFormat="1" ht="14.25" hidden="1" x14ac:dyDescent="0.3">
      <c r="A450" s="141"/>
      <c r="B450" s="160">
        <v>434</v>
      </c>
      <c r="C450" s="224"/>
      <c r="D450" s="213"/>
      <c r="E450" s="215"/>
      <c r="F450" s="214"/>
      <c r="G450" s="214"/>
      <c r="H450" s="74" t="str">
        <f t="shared" si="12"/>
        <v/>
      </c>
      <c r="I450" s="188" t="str">
        <f t="shared" si="13"/>
        <v/>
      </c>
      <c r="J450" s="221"/>
    </row>
    <row r="451" spans="1:10" s="90" customFormat="1" ht="14.25" hidden="1" x14ac:dyDescent="0.3">
      <c r="A451" s="141"/>
      <c r="B451" s="160">
        <v>435</v>
      </c>
      <c r="C451" s="224"/>
      <c r="D451" s="216"/>
      <c r="E451" s="215"/>
      <c r="F451" s="217"/>
      <c r="G451" s="218"/>
      <c r="H451" s="74" t="str">
        <f t="shared" si="12"/>
        <v/>
      </c>
      <c r="I451" s="188" t="str">
        <f t="shared" si="13"/>
        <v/>
      </c>
      <c r="J451" s="221"/>
    </row>
    <row r="452" spans="1:10" s="90" customFormat="1" ht="14.25" hidden="1" x14ac:dyDescent="0.3">
      <c r="A452" s="141"/>
      <c r="B452" s="160">
        <v>436</v>
      </c>
      <c r="C452" s="224"/>
      <c r="D452" s="213"/>
      <c r="E452" s="215"/>
      <c r="F452" s="214"/>
      <c r="G452" s="214"/>
      <c r="H452" s="74" t="str">
        <f t="shared" si="12"/>
        <v/>
      </c>
      <c r="I452" s="188" t="str">
        <f t="shared" si="13"/>
        <v/>
      </c>
      <c r="J452" s="221"/>
    </row>
    <row r="453" spans="1:10" s="90" customFormat="1" ht="14.25" hidden="1" x14ac:dyDescent="0.3">
      <c r="A453" s="141"/>
      <c r="B453" s="160">
        <v>437</v>
      </c>
      <c r="C453" s="224"/>
      <c r="D453" s="213"/>
      <c r="E453" s="215"/>
      <c r="F453" s="214"/>
      <c r="G453" s="214"/>
      <c r="H453" s="74" t="str">
        <f t="shared" si="12"/>
        <v/>
      </c>
      <c r="I453" s="188" t="str">
        <f t="shared" si="13"/>
        <v/>
      </c>
      <c r="J453" s="221"/>
    </row>
    <row r="454" spans="1:10" s="90" customFormat="1" ht="14.25" hidden="1" x14ac:dyDescent="0.3">
      <c r="A454" s="141"/>
      <c r="B454" s="160">
        <v>438</v>
      </c>
      <c r="C454" s="224"/>
      <c r="D454" s="216"/>
      <c r="E454" s="215"/>
      <c r="F454" s="217"/>
      <c r="G454" s="218"/>
      <c r="H454" s="74" t="str">
        <f t="shared" si="12"/>
        <v/>
      </c>
      <c r="I454" s="188" t="str">
        <f t="shared" si="13"/>
        <v/>
      </c>
      <c r="J454" s="221"/>
    </row>
    <row r="455" spans="1:10" s="90" customFormat="1" ht="14.25" hidden="1" x14ac:dyDescent="0.3">
      <c r="A455" s="141"/>
      <c r="B455" s="160">
        <v>439</v>
      </c>
      <c r="C455" s="224"/>
      <c r="D455" s="213"/>
      <c r="E455" s="215"/>
      <c r="F455" s="214"/>
      <c r="G455" s="214"/>
      <c r="H455" s="74" t="str">
        <f t="shared" si="12"/>
        <v/>
      </c>
      <c r="I455" s="188" t="str">
        <f t="shared" si="13"/>
        <v/>
      </c>
      <c r="J455" s="221"/>
    </row>
    <row r="456" spans="1:10" s="90" customFormat="1" ht="14.25" hidden="1" x14ac:dyDescent="0.3">
      <c r="A456" s="141"/>
      <c r="B456" s="160">
        <v>440</v>
      </c>
      <c r="C456" s="224"/>
      <c r="D456" s="213"/>
      <c r="E456" s="215"/>
      <c r="F456" s="214"/>
      <c r="G456" s="214"/>
      <c r="H456" s="74" t="str">
        <f t="shared" si="12"/>
        <v/>
      </c>
      <c r="I456" s="188" t="str">
        <f t="shared" si="13"/>
        <v/>
      </c>
      <c r="J456" s="221"/>
    </row>
    <row r="457" spans="1:10" s="90" customFormat="1" ht="14.25" hidden="1" x14ac:dyDescent="0.3">
      <c r="A457" s="141"/>
      <c r="B457" s="160">
        <v>441</v>
      </c>
      <c r="C457" s="224"/>
      <c r="D457" s="216"/>
      <c r="E457" s="215"/>
      <c r="F457" s="217"/>
      <c r="G457" s="218"/>
      <c r="H457" s="74" t="str">
        <f t="shared" si="12"/>
        <v/>
      </c>
      <c r="I457" s="188" t="str">
        <f t="shared" si="13"/>
        <v/>
      </c>
      <c r="J457" s="221"/>
    </row>
    <row r="458" spans="1:10" s="90" customFormat="1" ht="14.25" hidden="1" x14ac:dyDescent="0.3">
      <c r="A458" s="141"/>
      <c r="B458" s="160">
        <v>442</v>
      </c>
      <c r="C458" s="224"/>
      <c r="D458" s="213"/>
      <c r="E458" s="215"/>
      <c r="F458" s="214"/>
      <c r="G458" s="214"/>
      <c r="H458" s="74" t="str">
        <f t="shared" si="12"/>
        <v/>
      </c>
      <c r="I458" s="188" t="str">
        <f t="shared" si="13"/>
        <v/>
      </c>
      <c r="J458" s="221"/>
    </row>
    <row r="459" spans="1:10" s="90" customFormat="1" ht="14.25" hidden="1" x14ac:dyDescent="0.3">
      <c r="A459" s="141"/>
      <c r="B459" s="160">
        <v>443</v>
      </c>
      <c r="C459" s="224"/>
      <c r="D459" s="213"/>
      <c r="E459" s="215"/>
      <c r="F459" s="214"/>
      <c r="G459" s="214"/>
      <c r="H459" s="74" t="str">
        <f t="shared" si="12"/>
        <v/>
      </c>
      <c r="I459" s="188" t="str">
        <f t="shared" si="13"/>
        <v/>
      </c>
      <c r="J459" s="221"/>
    </row>
    <row r="460" spans="1:10" s="90" customFormat="1" ht="14.25" hidden="1" x14ac:dyDescent="0.3">
      <c r="A460" s="141"/>
      <c r="B460" s="160">
        <v>444</v>
      </c>
      <c r="C460" s="224"/>
      <c r="D460" s="216"/>
      <c r="E460" s="215"/>
      <c r="F460" s="217"/>
      <c r="G460" s="218"/>
      <c r="H460" s="74" t="str">
        <f t="shared" si="12"/>
        <v/>
      </c>
      <c r="I460" s="188" t="str">
        <f t="shared" si="13"/>
        <v/>
      </c>
      <c r="J460" s="221"/>
    </row>
    <row r="461" spans="1:10" s="90" customFormat="1" ht="14.25" hidden="1" x14ac:dyDescent="0.3">
      <c r="A461" s="141"/>
      <c r="B461" s="160">
        <v>445</v>
      </c>
      <c r="C461" s="224"/>
      <c r="D461" s="213"/>
      <c r="E461" s="215"/>
      <c r="F461" s="214"/>
      <c r="G461" s="214"/>
      <c r="H461" s="74" t="str">
        <f t="shared" si="12"/>
        <v/>
      </c>
      <c r="I461" s="188" t="str">
        <f t="shared" si="13"/>
        <v/>
      </c>
      <c r="J461" s="221"/>
    </row>
    <row r="462" spans="1:10" s="90" customFormat="1" ht="14.25" hidden="1" x14ac:dyDescent="0.3">
      <c r="A462" s="141"/>
      <c r="B462" s="160">
        <v>446</v>
      </c>
      <c r="C462" s="224"/>
      <c r="D462" s="213"/>
      <c r="E462" s="215"/>
      <c r="F462" s="214"/>
      <c r="G462" s="214"/>
      <c r="H462" s="74" t="str">
        <f t="shared" si="12"/>
        <v/>
      </c>
      <c r="I462" s="188" t="str">
        <f t="shared" si="13"/>
        <v/>
      </c>
      <c r="J462" s="221"/>
    </row>
    <row r="463" spans="1:10" s="90" customFormat="1" ht="14.25" hidden="1" x14ac:dyDescent="0.3">
      <c r="A463" s="141"/>
      <c r="B463" s="160">
        <v>447</v>
      </c>
      <c r="C463" s="224"/>
      <c r="D463" s="216"/>
      <c r="E463" s="215"/>
      <c r="F463" s="217"/>
      <c r="G463" s="218"/>
      <c r="H463" s="74" t="str">
        <f t="shared" si="12"/>
        <v/>
      </c>
      <c r="I463" s="188" t="str">
        <f t="shared" si="13"/>
        <v/>
      </c>
      <c r="J463" s="221"/>
    </row>
    <row r="464" spans="1:10" s="90" customFormat="1" ht="14.25" hidden="1" x14ac:dyDescent="0.3">
      <c r="A464" s="141"/>
      <c r="B464" s="160">
        <v>448</v>
      </c>
      <c r="C464" s="224"/>
      <c r="D464" s="213"/>
      <c r="E464" s="215"/>
      <c r="F464" s="214"/>
      <c r="G464" s="214"/>
      <c r="H464" s="74" t="str">
        <f t="shared" si="12"/>
        <v/>
      </c>
      <c r="I464" s="188" t="str">
        <f t="shared" si="13"/>
        <v/>
      </c>
      <c r="J464" s="221"/>
    </row>
    <row r="465" spans="1:10" s="90" customFormat="1" ht="14.25" hidden="1" x14ac:dyDescent="0.3">
      <c r="A465" s="141"/>
      <c r="B465" s="160">
        <v>449</v>
      </c>
      <c r="C465" s="224"/>
      <c r="D465" s="213"/>
      <c r="E465" s="215"/>
      <c r="F465" s="214"/>
      <c r="G465" s="214"/>
      <c r="H465" s="74" t="str">
        <f t="shared" si="12"/>
        <v/>
      </c>
      <c r="I465" s="188" t="str">
        <f t="shared" si="13"/>
        <v/>
      </c>
      <c r="J465" s="221"/>
    </row>
    <row r="466" spans="1:10" s="90" customFormat="1" ht="14.25" hidden="1" x14ac:dyDescent="0.3">
      <c r="A466" s="141"/>
      <c r="B466" s="160">
        <v>450</v>
      </c>
      <c r="C466" s="224"/>
      <c r="D466" s="216"/>
      <c r="E466" s="215"/>
      <c r="F466" s="217"/>
      <c r="G466" s="218"/>
      <c r="H466" s="74" t="str">
        <f t="shared" ref="H466:H529" si="14">ObterComplexidadeFuncao(E466,F466,G466)</f>
        <v/>
      </c>
      <c r="I466" s="188" t="str">
        <f t="shared" ref="I466:I529" si="15">ObterContribuicaoFuncao(E466,H466)</f>
        <v/>
      </c>
      <c r="J466" s="221"/>
    </row>
    <row r="467" spans="1:10" s="90" customFormat="1" ht="14.25" hidden="1" x14ac:dyDescent="0.3">
      <c r="A467" s="141"/>
      <c r="B467" s="160">
        <v>451</v>
      </c>
      <c r="C467" s="224"/>
      <c r="D467" s="213"/>
      <c r="E467" s="215"/>
      <c r="F467" s="214"/>
      <c r="G467" s="214"/>
      <c r="H467" s="74" t="str">
        <f t="shared" si="14"/>
        <v/>
      </c>
      <c r="I467" s="188" t="str">
        <f t="shared" si="15"/>
        <v/>
      </c>
      <c r="J467" s="221"/>
    </row>
    <row r="468" spans="1:10" s="90" customFormat="1" ht="14.25" hidden="1" x14ac:dyDescent="0.3">
      <c r="A468" s="141"/>
      <c r="B468" s="160">
        <v>452</v>
      </c>
      <c r="C468" s="224"/>
      <c r="D468" s="213"/>
      <c r="E468" s="215"/>
      <c r="F468" s="214"/>
      <c r="G468" s="214"/>
      <c r="H468" s="74" t="str">
        <f t="shared" si="14"/>
        <v/>
      </c>
      <c r="I468" s="188" t="str">
        <f t="shared" si="15"/>
        <v/>
      </c>
      <c r="J468" s="221"/>
    </row>
    <row r="469" spans="1:10" s="90" customFormat="1" ht="14.25" hidden="1" x14ac:dyDescent="0.3">
      <c r="A469" s="141"/>
      <c r="B469" s="160">
        <v>453</v>
      </c>
      <c r="C469" s="224"/>
      <c r="D469" s="216"/>
      <c r="E469" s="215"/>
      <c r="F469" s="217"/>
      <c r="G469" s="218"/>
      <c r="H469" s="74" t="str">
        <f t="shared" si="14"/>
        <v/>
      </c>
      <c r="I469" s="188" t="str">
        <f t="shared" si="15"/>
        <v/>
      </c>
      <c r="J469" s="221"/>
    </row>
    <row r="470" spans="1:10" s="90" customFormat="1" ht="14.25" hidden="1" x14ac:dyDescent="0.3">
      <c r="A470" s="141"/>
      <c r="B470" s="160">
        <v>454</v>
      </c>
      <c r="C470" s="224"/>
      <c r="D470" s="213"/>
      <c r="E470" s="215"/>
      <c r="F470" s="214"/>
      <c r="G470" s="214"/>
      <c r="H470" s="74" t="str">
        <f t="shared" si="14"/>
        <v/>
      </c>
      <c r="I470" s="188" t="str">
        <f t="shared" si="15"/>
        <v/>
      </c>
      <c r="J470" s="221"/>
    </row>
    <row r="471" spans="1:10" s="90" customFormat="1" ht="14.25" hidden="1" x14ac:dyDescent="0.3">
      <c r="A471" s="141"/>
      <c r="B471" s="160">
        <v>455</v>
      </c>
      <c r="C471" s="224"/>
      <c r="D471" s="213"/>
      <c r="E471" s="215"/>
      <c r="F471" s="214"/>
      <c r="G471" s="214"/>
      <c r="H471" s="74" t="str">
        <f t="shared" si="14"/>
        <v/>
      </c>
      <c r="I471" s="188" t="str">
        <f t="shared" si="15"/>
        <v/>
      </c>
      <c r="J471" s="221"/>
    </row>
    <row r="472" spans="1:10" s="90" customFormat="1" ht="14.25" hidden="1" x14ac:dyDescent="0.3">
      <c r="A472" s="141"/>
      <c r="B472" s="160">
        <v>456</v>
      </c>
      <c r="C472" s="224"/>
      <c r="D472" s="216"/>
      <c r="E472" s="215"/>
      <c r="F472" s="217"/>
      <c r="G472" s="218"/>
      <c r="H472" s="74" t="str">
        <f t="shared" si="14"/>
        <v/>
      </c>
      <c r="I472" s="188" t="str">
        <f t="shared" si="15"/>
        <v/>
      </c>
      <c r="J472" s="221"/>
    </row>
    <row r="473" spans="1:10" s="90" customFormat="1" ht="14.25" hidden="1" x14ac:dyDescent="0.3">
      <c r="A473" s="141"/>
      <c r="B473" s="160">
        <v>457</v>
      </c>
      <c r="C473" s="224"/>
      <c r="D473" s="213"/>
      <c r="E473" s="215"/>
      <c r="F473" s="214"/>
      <c r="G473" s="214"/>
      <c r="H473" s="74" t="str">
        <f t="shared" si="14"/>
        <v/>
      </c>
      <c r="I473" s="188" t="str">
        <f t="shared" si="15"/>
        <v/>
      </c>
      <c r="J473" s="221"/>
    </row>
    <row r="474" spans="1:10" s="90" customFormat="1" ht="14.25" hidden="1" x14ac:dyDescent="0.3">
      <c r="A474" s="141"/>
      <c r="B474" s="160">
        <v>458</v>
      </c>
      <c r="C474" s="224"/>
      <c r="D474" s="213"/>
      <c r="E474" s="215"/>
      <c r="F474" s="214"/>
      <c r="G474" s="214"/>
      <c r="H474" s="74" t="str">
        <f t="shared" si="14"/>
        <v/>
      </c>
      <c r="I474" s="188" t="str">
        <f t="shared" si="15"/>
        <v/>
      </c>
      <c r="J474" s="221"/>
    </row>
    <row r="475" spans="1:10" s="90" customFormat="1" ht="14.25" hidden="1" x14ac:dyDescent="0.3">
      <c r="A475" s="141"/>
      <c r="B475" s="160">
        <v>459</v>
      </c>
      <c r="C475" s="224"/>
      <c r="D475" s="216"/>
      <c r="E475" s="215"/>
      <c r="F475" s="217"/>
      <c r="G475" s="218"/>
      <c r="H475" s="74" t="str">
        <f t="shared" si="14"/>
        <v/>
      </c>
      <c r="I475" s="188" t="str">
        <f t="shared" si="15"/>
        <v/>
      </c>
      <c r="J475" s="221"/>
    </row>
    <row r="476" spans="1:10" s="90" customFormat="1" ht="14.25" hidden="1" x14ac:dyDescent="0.3">
      <c r="A476" s="141"/>
      <c r="B476" s="160">
        <v>460</v>
      </c>
      <c r="C476" s="224"/>
      <c r="D476" s="213"/>
      <c r="E476" s="215"/>
      <c r="F476" s="214"/>
      <c r="G476" s="214"/>
      <c r="H476" s="74" t="str">
        <f t="shared" si="14"/>
        <v/>
      </c>
      <c r="I476" s="188" t="str">
        <f t="shared" si="15"/>
        <v/>
      </c>
      <c r="J476" s="221"/>
    </row>
    <row r="477" spans="1:10" s="90" customFormat="1" ht="14.25" hidden="1" x14ac:dyDescent="0.3">
      <c r="A477" s="141"/>
      <c r="B477" s="160">
        <v>461</v>
      </c>
      <c r="C477" s="224"/>
      <c r="D477" s="213"/>
      <c r="E477" s="215"/>
      <c r="F477" s="214"/>
      <c r="G477" s="214"/>
      <c r="H477" s="74" t="str">
        <f t="shared" si="14"/>
        <v/>
      </c>
      <c r="I477" s="188" t="str">
        <f t="shared" si="15"/>
        <v/>
      </c>
      <c r="J477" s="221"/>
    </row>
    <row r="478" spans="1:10" s="90" customFormat="1" ht="14.25" hidden="1" x14ac:dyDescent="0.3">
      <c r="A478" s="141"/>
      <c r="B478" s="160">
        <v>462</v>
      </c>
      <c r="C478" s="224"/>
      <c r="D478" s="216"/>
      <c r="E478" s="215"/>
      <c r="F478" s="217"/>
      <c r="G478" s="218"/>
      <c r="H478" s="74" t="str">
        <f t="shared" si="14"/>
        <v/>
      </c>
      <c r="I478" s="188" t="str">
        <f t="shared" si="15"/>
        <v/>
      </c>
      <c r="J478" s="221"/>
    </row>
    <row r="479" spans="1:10" s="90" customFormat="1" ht="14.25" hidden="1" x14ac:dyDescent="0.3">
      <c r="A479" s="141"/>
      <c r="B479" s="160">
        <v>463</v>
      </c>
      <c r="C479" s="224"/>
      <c r="D479" s="213"/>
      <c r="E479" s="215"/>
      <c r="F479" s="214"/>
      <c r="G479" s="214"/>
      <c r="H479" s="74" t="str">
        <f t="shared" si="14"/>
        <v/>
      </c>
      <c r="I479" s="188" t="str">
        <f t="shared" si="15"/>
        <v/>
      </c>
      <c r="J479" s="221"/>
    </row>
    <row r="480" spans="1:10" s="90" customFormat="1" ht="14.25" hidden="1" x14ac:dyDescent="0.3">
      <c r="A480" s="141"/>
      <c r="B480" s="160">
        <v>464</v>
      </c>
      <c r="C480" s="224"/>
      <c r="D480" s="213"/>
      <c r="E480" s="215"/>
      <c r="F480" s="214"/>
      <c r="G480" s="214"/>
      <c r="H480" s="74" t="str">
        <f t="shared" si="14"/>
        <v/>
      </c>
      <c r="I480" s="188" t="str">
        <f t="shared" si="15"/>
        <v/>
      </c>
      <c r="J480" s="221"/>
    </row>
    <row r="481" spans="1:10" s="90" customFormat="1" ht="14.25" hidden="1" x14ac:dyDescent="0.3">
      <c r="A481" s="141"/>
      <c r="B481" s="160">
        <v>465</v>
      </c>
      <c r="C481" s="224"/>
      <c r="D481" s="216"/>
      <c r="E481" s="215"/>
      <c r="F481" s="217"/>
      <c r="G481" s="218"/>
      <c r="H481" s="74" t="str">
        <f t="shared" si="14"/>
        <v/>
      </c>
      <c r="I481" s="188" t="str">
        <f t="shared" si="15"/>
        <v/>
      </c>
      <c r="J481" s="221"/>
    </row>
    <row r="482" spans="1:10" s="90" customFormat="1" ht="14.25" hidden="1" x14ac:dyDescent="0.3">
      <c r="A482" s="141"/>
      <c r="B482" s="160">
        <v>466</v>
      </c>
      <c r="C482" s="224"/>
      <c r="D482" s="213"/>
      <c r="E482" s="215"/>
      <c r="F482" s="214"/>
      <c r="G482" s="214"/>
      <c r="H482" s="74" t="str">
        <f t="shared" si="14"/>
        <v/>
      </c>
      <c r="I482" s="188" t="str">
        <f t="shared" si="15"/>
        <v/>
      </c>
      <c r="J482" s="221"/>
    </row>
    <row r="483" spans="1:10" s="90" customFormat="1" ht="14.25" hidden="1" x14ac:dyDescent="0.3">
      <c r="A483" s="141"/>
      <c r="B483" s="160">
        <v>467</v>
      </c>
      <c r="C483" s="224"/>
      <c r="D483" s="213"/>
      <c r="E483" s="215"/>
      <c r="F483" s="214"/>
      <c r="G483" s="214"/>
      <c r="H483" s="74" t="str">
        <f t="shared" si="14"/>
        <v/>
      </c>
      <c r="I483" s="188" t="str">
        <f t="shared" si="15"/>
        <v/>
      </c>
      <c r="J483" s="221"/>
    </row>
    <row r="484" spans="1:10" s="90" customFormat="1" ht="14.25" hidden="1" x14ac:dyDescent="0.3">
      <c r="A484" s="141"/>
      <c r="B484" s="160">
        <v>468</v>
      </c>
      <c r="C484" s="224"/>
      <c r="D484" s="216"/>
      <c r="E484" s="215"/>
      <c r="F484" s="217"/>
      <c r="G484" s="218"/>
      <c r="H484" s="74" t="str">
        <f t="shared" si="14"/>
        <v/>
      </c>
      <c r="I484" s="188" t="str">
        <f t="shared" si="15"/>
        <v/>
      </c>
      <c r="J484" s="221"/>
    </row>
    <row r="485" spans="1:10" s="90" customFormat="1" ht="14.25" hidden="1" x14ac:dyDescent="0.3">
      <c r="A485" s="141"/>
      <c r="B485" s="160">
        <v>469</v>
      </c>
      <c r="C485" s="224"/>
      <c r="D485" s="213"/>
      <c r="E485" s="215"/>
      <c r="F485" s="214"/>
      <c r="G485" s="214"/>
      <c r="H485" s="74" t="str">
        <f t="shared" si="14"/>
        <v/>
      </c>
      <c r="I485" s="188" t="str">
        <f t="shared" si="15"/>
        <v/>
      </c>
      <c r="J485" s="221"/>
    </row>
    <row r="486" spans="1:10" s="90" customFormat="1" ht="14.25" hidden="1" x14ac:dyDescent="0.3">
      <c r="A486" s="141"/>
      <c r="B486" s="160">
        <v>470</v>
      </c>
      <c r="C486" s="224"/>
      <c r="D486" s="213"/>
      <c r="E486" s="215"/>
      <c r="F486" s="214"/>
      <c r="G486" s="214"/>
      <c r="H486" s="74" t="str">
        <f t="shared" si="14"/>
        <v/>
      </c>
      <c r="I486" s="188" t="str">
        <f t="shared" si="15"/>
        <v/>
      </c>
      <c r="J486" s="221"/>
    </row>
    <row r="487" spans="1:10" s="90" customFormat="1" ht="14.25" hidden="1" x14ac:dyDescent="0.3">
      <c r="A487" s="141"/>
      <c r="B487" s="160">
        <v>471</v>
      </c>
      <c r="C487" s="224"/>
      <c r="D487" s="216"/>
      <c r="E487" s="215"/>
      <c r="F487" s="217"/>
      <c r="G487" s="218"/>
      <c r="H487" s="74" t="str">
        <f t="shared" si="14"/>
        <v/>
      </c>
      <c r="I487" s="188" t="str">
        <f t="shared" si="15"/>
        <v/>
      </c>
      <c r="J487" s="221"/>
    </row>
    <row r="488" spans="1:10" s="90" customFormat="1" ht="14.25" hidden="1" x14ac:dyDescent="0.3">
      <c r="A488" s="141"/>
      <c r="B488" s="160">
        <v>472</v>
      </c>
      <c r="C488" s="224"/>
      <c r="D488" s="213"/>
      <c r="E488" s="215"/>
      <c r="F488" s="214"/>
      <c r="G488" s="214"/>
      <c r="H488" s="74" t="str">
        <f t="shared" si="14"/>
        <v/>
      </c>
      <c r="I488" s="188" t="str">
        <f t="shared" si="15"/>
        <v/>
      </c>
      <c r="J488" s="221"/>
    </row>
    <row r="489" spans="1:10" s="90" customFormat="1" ht="14.25" hidden="1" x14ac:dyDescent="0.3">
      <c r="A489" s="141"/>
      <c r="B489" s="160">
        <v>473</v>
      </c>
      <c r="C489" s="224"/>
      <c r="D489" s="213"/>
      <c r="E489" s="215"/>
      <c r="F489" s="214"/>
      <c r="G489" s="214"/>
      <c r="H489" s="74" t="str">
        <f t="shared" si="14"/>
        <v/>
      </c>
      <c r="I489" s="188" t="str">
        <f t="shared" si="15"/>
        <v/>
      </c>
      <c r="J489" s="221"/>
    </row>
    <row r="490" spans="1:10" s="90" customFormat="1" ht="14.25" hidden="1" x14ac:dyDescent="0.3">
      <c r="A490" s="141"/>
      <c r="B490" s="160">
        <v>474</v>
      </c>
      <c r="C490" s="224"/>
      <c r="D490" s="216"/>
      <c r="E490" s="215"/>
      <c r="F490" s="217"/>
      <c r="G490" s="218"/>
      <c r="H490" s="74" t="str">
        <f t="shared" si="14"/>
        <v/>
      </c>
      <c r="I490" s="188" t="str">
        <f t="shared" si="15"/>
        <v/>
      </c>
      <c r="J490" s="221"/>
    </row>
    <row r="491" spans="1:10" s="90" customFormat="1" ht="14.25" hidden="1" x14ac:dyDescent="0.3">
      <c r="A491" s="141"/>
      <c r="B491" s="160">
        <v>475</v>
      </c>
      <c r="C491" s="224"/>
      <c r="D491" s="213"/>
      <c r="E491" s="215"/>
      <c r="F491" s="214"/>
      <c r="G491" s="214"/>
      <c r="H491" s="74" t="str">
        <f t="shared" si="14"/>
        <v/>
      </c>
      <c r="I491" s="188" t="str">
        <f t="shared" si="15"/>
        <v/>
      </c>
      <c r="J491" s="221"/>
    </row>
    <row r="492" spans="1:10" s="90" customFormat="1" ht="14.25" hidden="1" x14ac:dyDescent="0.3">
      <c r="A492" s="141"/>
      <c r="B492" s="160">
        <v>476</v>
      </c>
      <c r="C492" s="224"/>
      <c r="D492" s="213"/>
      <c r="E492" s="215"/>
      <c r="F492" s="214"/>
      <c r="G492" s="214"/>
      <c r="H492" s="74" t="str">
        <f t="shared" si="14"/>
        <v/>
      </c>
      <c r="I492" s="188" t="str">
        <f t="shared" si="15"/>
        <v/>
      </c>
      <c r="J492" s="221"/>
    </row>
    <row r="493" spans="1:10" s="90" customFormat="1" ht="14.25" hidden="1" x14ac:dyDescent="0.3">
      <c r="A493" s="141"/>
      <c r="B493" s="160">
        <v>477</v>
      </c>
      <c r="C493" s="224"/>
      <c r="D493" s="216"/>
      <c r="E493" s="215"/>
      <c r="F493" s="217"/>
      <c r="G493" s="218"/>
      <c r="H493" s="74" t="str">
        <f t="shared" si="14"/>
        <v/>
      </c>
      <c r="I493" s="188" t="str">
        <f t="shared" si="15"/>
        <v/>
      </c>
      <c r="J493" s="221"/>
    </row>
    <row r="494" spans="1:10" s="90" customFormat="1" ht="14.25" hidden="1" x14ac:dyDescent="0.3">
      <c r="A494" s="141"/>
      <c r="B494" s="160">
        <v>478</v>
      </c>
      <c r="C494" s="224"/>
      <c r="D494" s="213"/>
      <c r="E494" s="215"/>
      <c r="F494" s="214"/>
      <c r="G494" s="214"/>
      <c r="H494" s="74" t="str">
        <f t="shared" si="14"/>
        <v/>
      </c>
      <c r="I494" s="188" t="str">
        <f t="shared" si="15"/>
        <v/>
      </c>
      <c r="J494" s="221"/>
    </row>
    <row r="495" spans="1:10" s="90" customFormat="1" ht="14.25" hidden="1" x14ac:dyDescent="0.3">
      <c r="A495" s="141"/>
      <c r="B495" s="160">
        <v>479</v>
      </c>
      <c r="C495" s="224"/>
      <c r="D495" s="213"/>
      <c r="E495" s="215"/>
      <c r="F495" s="214"/>
      <c r="G495" s="214"/>
      <c r="H495" s="74" t="str">
        <f t="shared" si="14"/>
        <v/>
      </c>
      <c r="I495" s="188" t="str">
        <f t="shared" si="15"/>
        <v/>
      </c>
      <c r="J495" s="221"/>
    </row>
    <row r="496" spans="1:10" s="90" customFormat="1" ht="14.25" hidden="1" x14ac:dyDescent="0.3">
      <c r="A496" s="141"/>
      <c r="B496" s="160">
        <v>480</v>
      </c>
      <c r="C496" s="224"/>
      <c r="D496" s="216"/>
      <c r="E496" s="215"/>
      <c r="F496" s="217"/>
      <c r="G496" s="218"/>
      <c r="H496" s="74" t="str">
        <f t="shared" si="14"/>
        <v/>
      </c>
      <c r="I496" s="188" t="str">
        <f t="shared" si="15"/>
        <v/>
      </c>
      <c r="J496" s="221"/>
    </row>
    <row r="497" spans="1:10" s="90" customFormat="1" ht="14.25" hidden="1" x14ac:dyDescent="0.3">
      <c r="A497" s="141"/>
      <c r="B497" s="160">
        <v>481</v>
      </c>
      <c r="C497" s="224"/>
      <c r="D497" s="213"/>
      <c r="E497" s="215"/>
      <c r="F497" s="214"/>
      <c r="G497" s="214"/>
      <c r="H497" s="74" t="str">
        <f t="shared" si="14"/>
        <v/>
      </c>
      <c r="I497" s="188" t="str">
        <f t="shared" si="15"/>
        <v/>
      </c>
      <c r="J497" s="221"/>
    </row>
    <row r="498" spans="1:10" s="90" customFormat="1" ht="14.25" hidden="1" x14ac:dyDescent="0.3">
      <c r="A498" s="141"/>
      <c r="B498" s="160">
        <v>482</v>
      </c>
      <c r="C498" s="224"/>
      <c r="D498" s="213"/>
      <c r="E498" s="215"/>
      <c r="F498" s="214"/>
      <c r="G498" s="214"/>
      <c r="H498" s="74" t="str">
        <f t="shared" si="14"/>
        <v/>
      </c>
      <c r="I498" s="188" t="str">
        <f t="shared" si="15"/>
        <v/>
      </c>
      <c r="J498" s="221"/>
    </row>
    <row r="499" spans="1:10" s="90" customFormat="1" ht="14.25" hidden="1" x14ac:dyDescent="0.3">
      <c r="A499" s="141"/>
      <c r="B499" s="160">
        <v>483</v>
      </c>
      <c r="C499" s="224"/>
      <c r="D499" s="216"/>
      <c r="E499" s="215"/>
      <c r="F499" s="217"/>
      <c r="G499" s="218"/>
      <c r="H499" s="74" t="str">
        <f t="shared" si="14"/>
        <v/>
      </c>
      <c r="I499" s="188" t="str">
        <f t="shared" si="15"/>
        <v/>
      </c>
      <c r="J499" s="221"/>
    </row>
    <row r="500" spans="1:10" s="90" customFormat="1" ht="14.25" hidden="1" x14ac:dyDescent="0.3">
      <c r="A500" s="141"/>
      <c r="B500" s="160">
        <v>484</v>
      </c>
      <c r="C500" s="224"/>
      <c r="D500" s="213"/>
      <c r="E500" s="215"/>
      <c r="F500" s="214"/>
      <c r="G500" s="214"/>
      <c r="H500" s="74" t="str">
        <f t="shared" si="14"/>
        <v/>
      </c>
      <c r="I500" s="188" t="str">
        <f t="shared" si="15"/>
        <v/>
      </c>
      <c r="J500" s="221"/>
    </row>
    <row r="501" spans="1:10" s="90" customFormat="1" ht="14.25" hidden="1" x14ac:dyDescent="0.3">
      <c r="A501" s="141"/>
      <c r="B501" s="160">
        <v>485</v>
      </c>
      <c r="C501" s="224"/>
      <c r="D501" s="213"/>
      <c r="E501" s="215"/>
      <c r="F501" s="214"/>
      <c r="G501" s="214"/>
      <c r="H501" s="74" t="str">
        <f t="shared" si="14"/>
        <v/>
      </c>
      <c r="I501" s="188" t="str">
        <f t="shared" si="15"/>
        <v/>
      </c>
      <c r="J501" s="221"/>
    </row>
    <row r="502" spans="1:10" s="90" customFormat="1" ht="14.25" hidden="1" x14ac:dyDescent="0.3">
      <c r="A502" s="141"/>
      <c r="B502" s="160">
        <v>486</v>
      </c>
      <c r="C502" s="224"/>
      <c r="D502" s="216"/>
      <c r="E502" s="215"/>
      <c r="F502" s="217"/>
      <c r="G502" s="218"/>
      <c r="H502" s="74" t="str">
        <f t="shared" si="14"/>
        <v/>
      </c>
      <c r="I502" s="188" t="str">
        <f t="shared" si="15"/>
        <v/>
      </c>
      <c r="J502" s="221"/>
    </row>
    <row r="503" spans="1:10" s="90" customFormat="1" ht="14.25" hidden="1" x14ac:dyDescent="0.3">
      <c r="A503" s="141"/>
      <c r="B503" s="160">
        <v>487</v>
      </c>
      <c r="C503" s="224"/>
      <c r="D503" s="213"/>
      <c r="E503" s="215"/>
      <c r="F503" s="214"/>
      <c r="G503" s="214"/>
      <c r="H503" s="74" t="str">
        <f t="shared" si="14"/>
        <v/>
      </c>
      <c r="I503" s="188" t="str">
        <f t="shared" si="15"/>
        <v/>
      </c>
      <c r="J503" s="221"/>
    </row>
    <row r="504" spans="1:10" s="90" customFormat="1" ht="14.25" hidden="1" x14ac:dyDescent="0.3">
      <c r="A504" s="141"/>
      <c r="B504" s="160">
        <v>488</v>
      </c>
      <c r="C504" s="224"/>
      <c r="D504" s="213"/>
      <c r="E504" s="215"/>
      <c r="F504" s="214"/>
      <c r="G504" s="214"/>
      <c r="H504" s="74" t="str">
        <f t="shared" si="14"/>
        <v/>
      </c>
      <c r="I504" s="188" t="str">
        <f t="shared" si="15"/>
        <v/>
      </c>
      <c r="J504" s="221"/>
    </row>
    <row r="505" spans="1:10" s="90" customFormat="1" ht="14.25" hidden="1" x14ac:dyDescent="0.3">
      <c r="A505" s="141"/>
      <c r="B505" s="160">
        <v>489</v>
      </c>
      <c r="C505" s="224"/>
      <c r="D505" s="216"/>
      <c r="E505" s="215"/>
      <c r="F505" s="217"/>
      <c r="G505" s="218"/>
      <c r="H505" s="74" t="str">
        <f t="shared" si="14"/>
        <v/>
      </c>
      <c r="I505" s="188" t="str">
        <f t="shared" si="15"/>
        <v/>
      </c>
      <c r="J505" s="221"/>
    </row>
    <row r="506" spans="1:10" s="90" customFormat="1" ht="14.25" hidden="1" x14ac:dyDescent="0.3">
      <c r="A506" s="141"/>
      <c r="B506" s="160">
        <v>490</v>
      </c>
      <c r="C506" s="224"/>
      <c r="D506" s="213"/>
      <c r="E506" s="215"/>
      <c r="F506" s="214"/>
      <c r="G506" s="214"/>
      <c r="H506" s="74" t="str">
        <f t="shared" si="14"/>
        <v/>
      </c>
      <c r="I506" s="188" t="str">
        <f t="shared" si="15"/>
        <v/>
      </c>
      <c r="J506" s="221"/>
    </row>
    <row r="507" spans="1:10" s="90" customFormat="1" ht="14.25" hidden="1" x14ac:dyDescent="0.3">
      <c r="A507" s="141"/>
      <c r="B507" s="160">
        <v>491</v>
      </c>
      <c r="C507" s="224"/>
      <c r="D507" s="213"/>
      <c r="E507" s="215"/>
      <c r="F507" s="214"/>
      <c r="G507" s="214"/>
      <c r="H507" s="74" t="str">
        <f t="shared" si="14"/>
        <v/>
      </c>
      <c r="I507" s="188" t="str">
        <f t="shared" si="15"/>
        <v/>
      </c>
      <c r="J507" s="221"/>
    </row>
    <row r="508" spans="1:10" s="90" customFormat="1" ht="14.25" hidden="1" x14ac:dyDescent="0.3">
      <c r="A508" s="141"/>
      <c r="B508" s="160">
        <v>492</v>
      </c>
      <c r="C508" s="224"/>
      <c r="D508" s="216"/>
      <c r="E508" s="215"/>
      <c r="F508" s="217"/>
      <c r="G508" s="218"/>
      <c r="H508" s="74" t="str">
        <f t="shared" si="14"/>
        <v/>
      </c>
      <c r="I508" s="188" t="str">
        <f t="shared" si="15"/>
        <v/>
      </c>
      <c r="J508" s="221"/>
    </row>
    <row r="509" spans="1:10" s="90" customFormat="1" ht="14.25" hidden="1" x14ac:dyDescent="0.3">
      <c r="A509" s="141"/>
      <c r="B509" s="160">
        <v>493</v>
      </c>
      <c r="C509" s="224"/>
      <c r="D509" s="213"/>
      <c r="E509" s="215"/>
      <c r="F509" s="214"/>
      <c r="G509" s="214"/>
      <c r="H509" s="74" t="str">
        <f t="shared" si="14"/>
        <v/>
      </c>
      <c r="I509" s="188" t="str">
        <f t="shared" si="15"/>
        <v/>
      </c>
      <c r="J509" s="221"/>
    </row>
    <row r="510" spans="1:10" s="90" customFormat="1" ht="14.25" hidden="1" x14ac:dyDescent="0.3">
      <c r="A510" s="141"/>
      <c r="B510" s="160">
        <v>494</v>
      </c>
      <c r="C510" s="224"/>
      <c r="D510" s="213"/>
      <c r="E510" s="215"/>
      <c r="F510" s="214"/>
      <c r="G510" s="214"/>
      <c r="H510" s="74" t="str">
        <f t="shared" si="14"/>
        <v/>
      </c>
      <c r="I510" s="188" t="str">
        <f t="shared" si="15"/>
        <v/>
      </c>
      <c r="J510" s="221"/>
    </row>
    <row r="511" spans="1:10" s="90" customFormat="1" ht="14.25" hidden="1" x14ac:dyDescent="0.3">
      <c r="A511" s="141"/>
      <c r="B511" s="160">
        <v>495</v>
      </c>
      <c r="C511" s="224"/>
      <c r="D511" s="216"/>
      <c r="E511" s="215"/>
      <c r="F511" s="217"/>
      <c r="G511" s="218"/>
      <c r="H511" s="74" t="str">
        <f t="shared" si="14"/>
        <v/>
      </c>
      <c r="I511" s="188" t="str">
        <f t="shared" si="15"/>
        <v/>
      </c>
      <c r="J511" s="221"/>
    </row>
    <row r="512" spans="1:10" s="90" customFormat="1" ht="14.25" hidden="1" x14ac:dyDescent="0.3">
      <c r="A512" s="141"/>
      <c r="B512" s="160">
        <v>496</v>
      </c>
      <c r="C512" s="224"/>
      <c r="D512" s="213"/>
      <c r="E512" s="215"/>
      <c r="F512" s="214"/>
      <c r="G512" s="214"/>
      <c r="H512" s="74" t="str">
        <f t="shared" si="14"/>
        <v/>
      </c>
      <c r="I512" s="188" t="str">
        <f t="shared" si="15"/>
        <v/>
      </c>
      <c r="J512" s="221"/>
    </row>
    <row r="513" spans="1:10" s="90" customFormat="1" ht="14.25" hidden="1" x14ac:dyDescent="0.3">
      <c r="A513" s="141"/>
      <c r="B513" s="160">
        <v>497</v>
      </c>
      <c r="C513" s="224"/>
      <c r="D513" s="213"/>
      <c r="E513" s="215"/>
      <c r="F513" s="214"/>
      <c r="G513" s="214"/>
      <c r="H513" s="74" t="str">
        <f t="shared" si="14"/>
        <v/>
      </c>
      <c r="I513" s="188" t="str">
        <f t="shared" si="15"/>
        <v/>
      </c>
      <c r="J513" s="221"/>
    </row>
    <row r="514" spans="1:10" s="90" customFormat="1" ht="14.25" hidden="1" x14ac:dyDescent="0.3">
      <c r="A514" s="141"/>
      <c r="B514" s="160">
        <v>498</v>
      </c>
      <c r="C514" s="224"/>
      <c r="D514" s="216"/>
      <c r="E514" s="215"/>
      <c r="F514" s="217"/>
      <c r="G514" s="218"/>
      <c r="H514" s="74" t="str">
        <f t="shared" si="14"/>
        <v/>
      </c>
      <c r="I514" s="188" t="str">
        <f t="shared" si="15"/>
        <v/>
      </c>
      <c r="J514" s="221"/>
    </row>
    <row r="515" spans="1:10" s="90" customFormat="1" ht="14.25" hidden="1" x14ac:dyDescent="0.3">
      <c r="A515" s="141"/>
      <c r="B515" s="160">
        <v>499</v>
      </c>
      <c r="C515" s="224"/>
      <c r="D515" s="213"/>
      <c r="E515" s="215"/>
      <c r="F515" s="214"/>
      <c r="G515" s="214"/>
      <c r="H515" s="74" t="str">
        <f t="shared" si="14"/>
        <v/>
      </c>
      <c r="I515" s="188" t="str">
        <f t="shared" si="15"/>
        <v/>
      </c>
      <c r="J515" s="221"/>
    </row>
    <row r="516" spans="1:10" s="90" customFormat="1" ht="14.25" hidden="1" x14ac:dyDescent="0.3">
      <c r="A516" s="141"/>
      <c r="B516" s="160">
        <v>500</v>
      </c>
      <c r="C516" s="224"/>
      <c r="D516" s="213"/>
      <c r="E516" s="215"/>
      <c r="F516" s="214"/>
      <c r="G516" s="214"/>
      <c r="H516" s="74" t="str">
        <f t="shared" si="14"/>
        <v/>
      </c>
      <c r="I516" s="188" t="str">
        <f t="shared" si="15"/>
        <v/>
      </c>
      <c r="J516" s="221"/>
    </row>
    <row r="517" spans="1:10" s="90" customFormat="1" ht="14.25" hidden="1" x14ac:dyDescent="0.3">
      <c r="A517" s="141"/>
      <c r="B517" s="160">
        <v>501</v>
      </c>
      <c r="C517" s="224"/>
      <c r="D517" s="216"/>
      <c r="E517" s="215"/>
      <c r="F517" s="217"/>
      <c r="G517" s="218"/>
      <c r="H517" s="74" t="str">
        <f t="shared" si="14"/>
        <v/>
      </c>
      <c r="I517" s="188" t="str">
        <f t="shared" si="15"/>
        <v/>
      </c>
      <c r="J517" s="221"/>
    </row>
    <row r="518" spans="1:10" s="90" customFormat="1" ht="14.25" hidden="1" x14ac:dyDescent="0.3">
      <c r="A518" s="141"/>
      <c r="B518" s="160">
        <v>502</v>
      </c>
      <c r="C518" s="224"/>
      <c r="D518" s="213"/>
      <c r="E518" s="215"/>
      <c r="F518" s="214"/>
      <c r="G518" s="214"/>
      <c r="H518" s="74" t="str">
        <f t="shared" si="14"/>
        <v/>
      </c>
      <c r="I518" s="188" t="str">
        <f t="shared" si="15"/>
        <v/>
      </c>
      <c r="J518" s="221"/>
    </row>
    <row r="519" spans="1:10" s="90" customFormat="1" ht="14.25" hidden="1" x14ac:dyDescent="0.3">
      <c r="A519" s="141"/>
      <c r="B519" s="160">
        <v>503</v>
      </c>
      <c r="C519" s="224"/>
      <c r="D519" s="213"/>
      <c r="E519" s="215"/>
      <c r="F519" s="214"/>
      <c r="G519" s="214"/>
      <c r="H519" s="74" t="str">
        <f t="shared" si="14"/>
        <v/>
      </c>
      <c r="I519" s="188" t="str">
        <f t="shared" si="15"/>
        <v/>
      </c>
      <c r="J519" s="221"/>
    </row>
    <row r="520" spans="1:10" s="90" customFormat="1" ht="14.25" hidden="1" x14ac:dyDescent="0.3">
      <c r="A520" s="141"/>
      <c r="B520" s="160">
        <v>504</v>
      </c>
      <c r="C520" s="224"/>
      <c r="D520" s="216"/>
      <c r="E520" s="215"/>
      <c r="F520" s="217"/>
      <c r="G520" s="218"/>
      <c r="H520" s="74" t="str">
        <f t="shared" si="14"/>
        <v/>
      </c>
      <c r="I520" s="188" t="str">
        <f t="shared" si="15"/>
        <v/>
      </c>
      <c r="J520" s="221"/>
    </row>
    <row r="521" spans="1:10" s="90" customFormat="1" ht="14.25" hidden="1" x14ac:dyDescent="0.3">
      <c r="A521" s="141"/>
      <c r="B521" s="160">
        <v>505</v>
      </c>
      <c r="C521" s="224"/>
      <c r="D521" s="213"/>
      <c r="E521" s="215"/>
      <c r="F521" s="214"/>
      <c r="G521" s="214"/>
      <c r="H521" s="74" t="str">
        <f t="shared" si="14"/>
        <v/>
      </c>
      <c r="I521" s="188" t="str">
        <f t="shared" si="15"/>
        <v/>
      </c>
      <c r="J521" s="221"/>
    </row>
    <row r="522" spans="1:10" s="90" customFormat="1" ht="14.25" hidden="1" x14ac:dyDescent="0.3">
      <c r="A522" s="141"/>
      <c r="B522" s="160">
        <v>506</v>
      </c>
      <c r="C522" s="224"/>
      <c r="D522" s="213"/>
      <c r="E522" s="215"/>
      <c r="F522" s="214"/>
      <c r="G522" s="214"/>
      <c r="H522" s="74" t="str">
        <f t="shared" si="14"/>
        <v/>
      </c>
      <c r="I522" s="188" t="str">
        <f t="shared" si="15"/>
        <v/>
      </c>
      <c r="J522" s="221"/>
    </row>
    <row r="523" spans="1:10" s="90" customFormat="1" ht="14.25" hidden="1" x14ac:dyDescent="0.3">
      <c r="A523" s="141"/>
      <c r="B523" s="160">
        <v>507</v>
      </c>
      <c r="C523" s="224"/>
      <c r="D523" s="216"/>
      <c r="E523" s="215"/>
      <c r="F523" s="217"/>
      <c r="G523" s="218"/>
      <c r="H523" s="74" t="str">
        <f t="shared" si="14"/>
        <v/>
      </c>
      <c r="I523" s="188" t="str">
        <f t="shared" si="15"/>
        <v/>
      </c>
      <c r="J523" s="221"/>
    </row>
    <row r="524" spans="1:10" s="90" customFormat="1" ht="14.25" hidden="1" x14ac:dyDescent="0.3">
      <c r="A524" s="141"/>
      <c r="B524" s="160">
        <v>508</v>
      </c>
      <c r="C524" s="224"/>
      <c r="D524" s="213"/>
      <c r="E524" s="215"/>
      <c r="F524" s="214"/>
      <c r="G524" s="214"/>
      <c r="H524" s="74" t="str">
        <f t="shared" si="14"/>
        <v/>
      </c>
      <c r="I524" s="188" t="str">
        <f t="shared" si="15"/>
        <v/>
      </c>
      <c r="J524" s="221"/>
    </row>
    <row r="525" spans="1:10" s="90" customFormat="1" ht="14.25" hidden="1" x14ac:dyDescent="0.3">
      <c r="A525" s="141"/>
      <c r="B525" s="160">
        <v>509</v>
      </c>
      <c r="C525" s="224"/>
      <c r="D525" s="213"/>
      <c r="E525" s="215"/>
      <c r="F525" s="214"/>
      <c r="G525" s="214"/>
      <c r="H525" s="74" t="str">
        <f t="shared" si="14"/>
        <v/>
      </c>
      <c r="I525" s="188" t="str">
        <f t="shared" si="15"/>
        <v/>
      </c>
      <c r="J525" s="221"/>
    </row>
    <row r="526" spans="1:10" s="90" customFormat="1" ht="14.25" hidden="1" x14ac:dyDescent="0.3">
      <c r="A526" s="141"/>
      <c r="B526" s="160">
        <v>510</v>
      </c>
      <c r="C526" s="224"/>
      <c r="D526" s="216"/>
      <c r="E526" s="215"/>
      <c r="F526" s="217"/>
      <c r="G526" s="218"/>
      <c r="H526" s="74" t="str">
        <f t="shared" si="14"/>
        <v/>
      </c>
      <c r="I526" s="188" t="str">
        <f t="shared" si="15"/>
        <v/>
      </c>
      <c r="J526" s="221"/>
    </row>
    <row r="527" spans="1:10" s="90" customFormat="1" ht="14.25" hidden="1" x14ac:dyDescent="0.3">
      <c r="A527" s="141"/>
      <c r="B527" s="160">
        <v>511</v>
      </c>
      <c r="C527" s="224"/>
      <c r="D527" s="213"/>
      <c r="E527" s="215"/>
      <c r="F527" s="214"/>
      <c r="G527" s="214"/>
      <c r="H527" s="74" t="str">
        <f t="shared" si="14"/>
        <v/>
      </c>
      <c r="I527" s="188" t="str">
        <f t="shared" si="15"/>
        <v/>
      </c>
      <c r="J527" s="221"/>
    </row>
    <row r="528" spans="1:10" s="90" customFormat="1" ht="14.25" hidden="1" x14ac:dyDescent="0.3">
      <c r="A528" s="141"/>
      <c r="B528" s="160">
        <v>512</v>
      </c>
      <c r="C528" s="224"/>
      <c r="D528" s="213"/>
      <c r="E528" s="215"/>
      <c r="F528" s="214"/>
      <c r="G528" s="214"/>
      <c r="H528" s="74" t="str">
        <f t="shared" si="14"/>
        <v/>
      </c>
      <c r="I528" s="188" t="str">
        <f t="shared" si="15"/>
        <v/>
      </c>
      <c r="J528" s="221"/>
    </row>
    <row r="529" spans="1:10" s="90" customFormat="1" ht="14.25" hidden="1" x14ac:dyDescent="0.3">
      <c r="A529" s="141"/>
      <c r="B529" s="160">
        <v>513</v>
      </c>
      <c r="C529" s="224"/>
      <c r="D529" s="216"/>
      <c r="E529" s="215"/>
      <c r="F529" s="217"/>
      <c r="G529" s="218"/>
      <c r="H529" s="74" t="str">
        <f t="shared" si="14"/>
        <v/>
      </c>
      <c r="I529" s="188" t="str">
        <f t="shared" si="15"/>
        <v/>
      </c>
      <c r="J529" s="221"/>
    </row>
    <row r="530" spans="1:10" s="90" customFormat="1" ht="14.25" hidden="1" x14ac:dyDescent="0.3">
      <c r="A530" s="141"/>
      <c r="B530" s="160">
        <v>514</v>
      </c>
      <c r="C530" s="224"/>
      <c r="D530" s="213"/>
      <c r="E530" s="215"/>
      <c r="F530" s="214"/>
      <c r="G530" s="214"/>
      <c r="H530" s="74" t="str">
        <f t="shared" ref="H530:H593" si="16">ObterComplexidadeFuncao(E530,F530,G530)</f>
        <v/>
      </c>
      <c r="I530" s="188" t="str">
        <f t="shared" ref="I530:I593" si="17">ObterContribuicaoFuncao(E530,H530)</f>
        <v/>
      </c>
      <c r="J530" s="221"/>
    </row>
    <row r="531" spans="1:10" s="90" customFormat="1" ht="14.25" hidden="1" x14ac:dyDescent="0.3">
      <c r="A531" s="141"/>
      <c r="B531" s="160">
        <v>515</v>
      </c>
      <c r="C531" s="224"/>
      <c r="D531" s="213"/>
      <c r="E531" s="215"/>
      <c r="F531" s="214"/>
      <c r="G531" s="214"/>
      <c r="H531" s="74" t="str">
        <f t="shared" si="16"/>
        <v/>
      </c>
      <c r="I531" s="188" t="str">
        <f t="shared" si="17"/>
        <v/>
      </c>
      <c r="J531" s="221"/>
    </row>
    <row r="532" spans="1:10" s="90" customFormat="1" ht="14.25" hidden="1" x14ac:dyDescent="0.3">
      <c r="A532" s="141"/>
      <c r="B532" s="160">
        <v>516</v>
      </c>
      <c r="C532" s="224"/>
      <c r="D532" s="216"/>
      <c r="E532" s="215"/>
      <c r="F532" s="217"/>
      <c r="G532" s="218"/>
      <c r="H532" s="74" t="str">
        <f t="shared" si="16"/>
        <v/>
      </c>
      <c r="I532" s="188" t="str">
        <f t="shared" si="17"/>
        <v/>
      </c>
      <c r="J532" s="221"/>
    </row>
    <row r="533" spans="1:10" s="90" customFormat="1" ht="14.25" hidden="1" x14ac:dyDescent="0.3">
      <c r="A533" s="141"/>
      <c r="B533" s="160">
        <v>517</v>
      </c>
      <c r="C533" s="224"/>
      <c r="D533" s="213"/>
      <c r="E533" s="215"/>
      <c r="F533" s="214"/>
      <c r="G533" s="214"/>
      <c r="H533" s="74" t="str">
        <f t="shared" si="16"/>
        <v/>
      </c>
      <c r="I533" s="188" t="str">
        <f t="shared" si="17"/>
        <v/>
      </c>
      <c r="J533" s="221"/>
    </row>
    <row r="534" spans="1:10" s="90" customFormat="1" ht="14.25" hidden="1" x14ac:dyDescent="0.3">
      <c r="A534" s="141"/>
      <c r="B534" s="160">
        <v>518</v>
      </c>
      <c r="C534" s="224"/>
      <c r="D534" s="213"/>
      <c r="E534" s="215"/>
      <c r="F534" s="214"/>
      <c r="G534" s="214"/>
      <c r="H534" s="74" t="str">
        <f t="shared" si="16"/>
        <v/>
      </c>
      <c r="I534" s="188" t="str">
        <f t="shared" si="17"/>
        <v/>
      </c>
      <c r="J534" s="221"/>
    </row>
    <row r="535" spans="1:10" s="90" customFormat="1" ht="14.25" hidden="1" x14ac:dyDescent="0.3">
      <c r="A535" s="141"/>
      <c r="B535" s="160">
        <v>519</v>
      </c>
      <c r="C535" s="224"/>
      <c r="D535" s="216"/>
      <c r="E535" s="215"/>
      <c r="F535" s="217"/>
      <c r="G535" s="218"/>
      <c r="H535" s="74" t="str">
        <f t="shared" si="16"/>
        <v/>
      </c>
      <c r="I535" s="188" t="str">
        <f t="shared" si="17"/>
        <v/>
      </c>
      <c r="J535" s="221"/>
    </row>
    <row r="536" spans="1:10" s="90" customFormat="1" ht="14.25" hidden="1" x14ac:dyDescent="0.3">
      <c r="A536" s="141"/>
      <c r="B536" s="160">
        <v>520</v>
      </c>
      <c r="C536" s="224"/>
      <c r="D536" s="213"/>
      <c r="E536" s="215"/>
      <c r="F536" s="214"/>
      <c r="G536" s="214"/>
      <c r="H536" s="74" t="str">
        <f t="shared" si="16"/>
        <v/>
      </c>
      <c r="I536" s="188" t="str">
        <f t="shared" si="17"/>
        <v/>
      </c>
      <c r="J536" s="221"/>
    </row>
    <row r="537" spans="1:10" s="90" customFormat="1" ht="14.25" hidden="1" x14ac:dyDescent="0.3">
      <c r="A537" s="141"/>
      <c r="B537" s="160">
        <v>521</v>
      </c>
      <c r="C537" s="224"/>
      <c r="D537" s="213"/>
      <c r="E537" s="215"/>
      <c r="F537" s="214"/>
      <c r="G537" s="214"/>
      <c r="H537" s="74" t="str">
        <f t="shared" si="16"/>
        <v/>
      </c>
      <c r="I537" s="188" t="str">
        <f t="shared" si="17"/>
        <v/>
      </c>
      <c r="J537" s="221"/>
    </row>
    <row r="538" spans="1:10" s="90" customFormat="1" ht="14.25" hidden="1" x14ac:dyDescent="0.3">
      <c r="A538" s="141"/>
      <c r="B538" s="160">
        <v>522</v>
      </c>
      <c r="C538" s="224"/>
      <c r="D538" s="216"/>
      <c r="E538" s="215"/>
      <c r="F538" s="217"/>
      <c r="G538" s="218"/>
      <c r="H538" s="74" t="str">
        <f t="shared" si="16"/>
        <v/>
      </c>
      <c r="I538" s="188" t="str">
        <f t="shared" si="17"/>
        <v/>
      </c>
      <c r="J538" s="221"/>
    </row>
    <row r="539" spans="1:10" s="90" customFormat="1" ht="14.25" hidden="1" x14ac:dyDescent="0.3">
      <c r="A539" s="141"/>
      <c r="B539" s="160">
        <v>523</v>
      </c>
      <c r="C539" s="224"/>
      <c r="D539" s="213"/>
      <c r="E539" s="215"/>
      <c r="F539" s="214"/>
      <c r="G539" s="214"/>
      <c r="H539" s="74" t="str">
        <f t="shared" si="16"/>
        <v/>
      </c>
      <c r="I539" s="188" t="str">
        <f t="shared" si="17"/>
        <v/>
      </c>
      <c r="J539" s="221"/>
    </row>
    <row r="540" spans="1:10" s="90" customFormat="1" ht="14.25" hidden="1" x14ac:dyDescent="0.3">
      <c r="A540" s="141"/>
      <c r="B540" s="160">
        <v>524</v>
      </c>
      <c r="C540" s="224"/>
      <c r="D540" s="213"/>
      <c r="E540" s="215"/>
      <c r="F540" s="214"/>
      <c r="G540" s="214"/>
      <c r="H540" s="74" t="str">
        <f t="shared" si="16"/>
        <v/>
      </c>
      <c r="I540" s="188" t="str">
        <f t="shared" si="17"/>
        <v/>
      </c>
      <c r="J540" s="221"/>
    </row>
    <row r="541" spans="1:10" s="90" customFormat="1" ht="14.25" hidden="1" x14ac:dyDescent="0.3">
      <c r="A541" s="141"/>
      <c r="B541" s="160">
        <v>525</v>
      </c>
      <c r="C541" s="224"/>
      <c r="D541" s="216"/>
      <c r="E541" s="215"/>
      <c r="F541" s="217"/>
      <c r="G541" s="218"/>
      <c r="H541" s="74" t="str">
        <f t="shared" si="16"/>
        <v/>
      </c>
      <c r="I541" s="188" t="str">
        <f t="shared" si="17"/>
        <v/>
      </c>
      <c r="J541" s="221"/>
    </row>
    <row r="542" spans="1:10" s="90" customFormat="1" ht="14.25" hidden="1" x14ac:dyDescent="0.3">
      <c r="A542" s="141"/>
      <c r="B542" s="160">
        <v>526</v>
      </c>
      <c r="C542" s="224"/>
      <c r="D542" s="213"/>
      <c r="E542" s="215"/>
      <c r="F542" s="214"/>
      <c r="G542" s="214"/>
      <c r="H542" s="74" t="str">
        <f t="shared" si="16"/>
        <v/>
      </c>
      <c r="I542" s="188" t="str">
        <f t="shared" si="17"/>
        <v/>
      </c>
      <c r="J542" s="221"/>
    </row>
    <row r="543" spans="1:10" s="90" customFormat="1" ht="14.25" hidden="1" x14ac:dyDescent="0.3">
      <c r="A543" s="141"/>
      <c r="B543" s="160">
        <v>527</v>
      </c>
      <c r="C543" s="224"/>
      <c r="D543" s="213"/>
      <c r="E543" s="215"/>
      <c r="F543" s="214"/>
      <c r="G543" s="214"/>
      <c r="H543" s="74" t="str">
        <f t="shared" si="16"/>
        <v/>
      </c>
      <c r="I543" s="188" t="str">
        <f t="shared" si="17"/>
        <v/>
      </c>
      <c r="J543" s="221"/>
    </row>
    <row r="544" spans="1:10" s="90" customFormat="1" ht="14.25" hidden="1" x14ac:dyDescent="0.3">
      <c r="A544" s="141"/>
      <c r="B544" s="160">
        <v>528</v>
      </c>
      <c r="C544" s="224"/>
      <c r="D544" s="216"/>
      <c r="E544" s="215"/>
      <c r="F544" s="217"/>
      <c r="G544" s="218"/>
      <c r="H544" s="74" t="str">
        <f t="shared" si="16"/>
        <v/>
      </c>
      <c r="I544" s="188" t="str">
        <f t="shared" si="17"/>
        <v/>
      </c>
      <c r="J544" s="221"/>
    </row>
    <row r="545" spans="1:10" s="90" customFormat="1" ht="14.25" hidden="1" x14ac:dyDescent="0.3">
      <c r="A545" s="141"/>
      <c r="B545" s="160">
        <v>529</v>
      </c>
      <c r="C545" s="224"/>
      <c r="D545" s="213"/>
      <c r="E545" s="215"/>
      <c r="F545" s="214"/>
      <c r="G545" s="214"/>
      <c r="H545" s="74" t="str">
        <f t="shared" si="16"/>
        <v/>
      </c>
      <c r="I545" s="188" t="str">
        <f t="shared" si="17"/>
        <v/>
      </c>
      <c r="J545" s="221"/>
    </row>
    <row r="546" spans="1:10" s="90" customFormat="1" ht="14.25" hidden="1" x14ac:dyDescent="0.3">
      <c r="A546" s="141"/>
      <c r="B546" s="160">
        <v>530</v>
      </c>
      <c r="C546" s="224"/>
      <c r="D546" s="213"/>
      <c r="E546" s="215"/>
      <c r="F546" s="214"/>
      <c r="G546" s="214"/>
      <c r="H546" s="74" t="str">
        <f t="shared" si="16"/>
        <v/>
      </c>
      <c r="I546" s="188" t="str">
        <f t="shared" si="17"/>
        <v/>
      </c>
      <c r="J546" s="221"/>
    </row>
    <row r="547" spans="1:10" s="90" customFormat="1" ht="14.25" hidden="1" x14ac:dyDescent="0.3">
      <c r="A547" s="141"/>
      <c r="B547" s="160">
        <v>531</v>
      </c>
      <c r="C547" s="224"/>
      <c r="D547" s="216"/>
      <c r="E547" s="215"/>
      <c r="F547" s="217"/>
      <c r="G547" s="218"/>
      <c r="H547" s="74" t="str">
        <f t="shared" si="16"/>
        <v/>
      </c>
      <c r="I547" s="188" t="str">
        <f t="shared" si="17"/>
        <v/>
      </c>
      <c r="J547" s="221"/>
    </row>
    <row r="548" spans="1:10" s="90" customFormat="1" ht="14.25" hidden="1" x14ac:dyDescent="0.3">
      <c r="A548" s="141"/>
      <c r="B548" s="160">
        <v>532</v>
      </c>
      <c r="C548" s="224"/>
      <c r="D548" s="213"/>
      <c r="E548" s="215"/>
      <c r="F548" s="214"/>
      <c r="G548" s="214"/>
      <c r="H548" s="74" t="str">
        <f t="shared" si="16"/>
        <v/>
      </c>
      <c r="I548" s="188" t="str">
        <f t="shared" si="17"/>
        <v/>
      </c>
      <c r="J548" s="221"/>
    </row>
    <row r="549" spans="1:10" s="90" customFormat="1" ht="14.25" hidden="1" x14ac:dyDescent="0.3">
      <c r="A549" s="141"/>
      <c r="B549" s="160">
        <v>533</v>
      </c>
      <c r="C549" s="224"/>
      <c r="D549" s="213"/>
      <c r="E549" s="215"/>
      <c r="F549" s="214"/>
      <c r="G549" s="214"/>
      <c r="H549" s="74" t="str">
        <f t="shared" si="16"/>
        <v/>
      </c>
      <c r="I549" s="188" t="str">
        <f t="shared" si="17"/>
        <v/>
      </c>
      <c r="J549" s="221"/>
    </row>
    <row r="550" spans="1:10" s="90" customFormat="1" ht="14.25" hidden="1" x14ac:dyDescent="0.3">
      <c r="A550" s="141"/>
      <c r="B550" s="160">
        <v>534</v>
      </c>
      <c r="C550" s="224"/>
      <c r="D550" s="216"/>
      <c r="E550" s="215"/>
      <c r="F550" s="217"/>
      <c r="G550" s="218"/>
      <c r="H550" s="74" t="str">
        <f t="shared" si="16"/>
        <v/>
      </c>
      <c r="I550" s="188" t="str">
        <f t="shared" si="17"/>
        <v/>
      </c>
      <c r="J550" s="221"/>
    </row>
    <row r="551" spans="1:10" s="90" customFormat="1" ht="14.25" hidden="1" x14ac:dyDescent="0.3">
      <c r="A551" s="141"/>
      <c r="B551" s="160">
        <v>535</v>
      </c>
      <c r="C551" s="224"/>
      <c r="D551" s="213"/>
      <c r="E551" s="215"/>
      <c r="F551" s="214"/>
      <c r="G551" s="214"/>
      <c r="H551" s="74" t="str">
        <f t="shared" si="16"/>
        <v/>
      </c>
      <c r="I551" s="188" t="str">
        <f t="shared" si="17"/>
        <v/>
      </c>
      <c r="J551" s="221"/>
    </row>
    <row r="552" spans="1:10" s="90" customFormat="1" ht="14.25" hidden="1" x14ac:dyDescent="0.3">
      <c r="A552" s="141"/>
      <c r="B552" s="160">
        <v>536</v>
      </c>
      <c r="C552" s="224"/>
      <c r="D552" s="213"/>
      <c r="E552" s="215"/>
      <c r="F552" s="214"/>
      <c r="G552" s="214"/>
      <c r="H552" s="74" t="str">
        <f t="shared" si="16"/>
        <v/>
      </c>
      <c r="I552" s="188" t="str">
        <f t="shared" si="17"/>
        <v/>
      </c>
      <c r="J552" s="221"/>
    </row>
    <row r="553" spans="1:10" s="90" customFormat="1" ht="14.25" hidden="1" x14ac:dyDescent="0.3">
      <c r="A553" s="141"/>
      <c r="B553" s="160">
        <v>537</v>
      </c>
      <c r="C553" s="224"/>
      <c r="D553" s="216"/>
      <c r="E553" s="215"/>
      <c r="F553" s="217"/>
      <c r="G553" s="218"/>
      <c r="H553" s="74" t="str">
        <f t="shared" si="16"/>
        <v/>
      </c>
      <c r="I553" s="188" t="str">
        <f t="shared" si="17"/>
        <v/>
      </c>
      <c r="J553" s="221"/>
    </row>
    <row r="554" spans="1:10" s="90" customFormat="1" ht="14.25" hidden="1" x14ac:dyDescent="0.3">
      <c r="A554" s="141"/>
      <c r="B554" s="160">
        <v>538</v>
      </c>
      <c r="C554" s="224"/>
      <c r="D554" s="213"/>
      <c r="E554" s="215"/>
      <c r="F554" s="214"/>
      <c r="G554" s="214"/>
      <c r="H554" s="74" t="str">
        <f t="shared" si="16"/>
        <v/>
      </c>
      <c r="I554" s="188" t="str">
        <f t="shared" si="17"/>
        <v/>
      </c>
      <c r="J554" s="221"/>
    </row>
    <row r="555" spans="1:10" s="90" customFormat="1" ht="14.25" hidden="1" x14ac:dyDescent="0.3">
      <c r="A555" s="141"/>
      <c r="B555" s="160">
        <v>539</v>
      </c>
      <c r="C555" s="224"/>
      <c r="D555" s="213"/>
      <c r="E555" s="215"/>
      <c r="F555" s="214"/>
      <c r="G555" s="214"/>
      <c r="H555" s="74" t="str">
        <f t="shared" si="16"/>
        <v/>
      </c>
      <c r="I555" s="188" t="str">
        <f t="shared" si="17"/>
        <v/>
      </c>
      <c r="J555" s="221"/>
    </row>
    <row r="556" spans="1:10" s="90" customFormat="1" ht="14.25" hidden="1" x14ac:dyDescent="0.3">
      <c r="A556" s="141"/>
      <c r="B556" s="160">
        <v>540</v>
      </c>
      <c r="C556" s="224"/>
      <c r="D556" s="216"/>
      <c r="E556" s="215"/>
      <c r="F556" s="217"/>
      <c r="G556" s="218"/>
      <c r="H556" s="74" t="str">
        <f t="shared" si="16"/>
        <v/>
      </c>
      <c r="I556" s="188" t="str">
        <f t="shared" si="17"/>
        <v/>
      </c>
      <c r="J556" s="221"/>
    </row>
    <row r="557" spans="1:10" s="90" customFormat="1" ht="14.25" hidden="1" x14ac:dyDescent="0.3">
      <c r="A557" s="141"/>
      <c r="B557" s="160">
        <v>541</v>
      </c>
      <c r="C557" s="224"/>
      <c r="D557" s="213"/>
      <c r="E557" s="215"/>
      <c r="F557" s="214"/>
      <c r="G557" s="214"/>
      <c r="H557" s="74" t="str">
        <f t="shared" si="16"/>
        <v/>
      </c>
      <c r="I557" s="188" t="str">
        <f t="shared" si="17"/>
        <v/>
      </c>
      <c r="J557" s="221"/>
    </row>
    <row r="558" spans="1:10" s="90" customFormat="1" ht="14.25" hidden="1" x14ac:dyDescent="0.3">
      <c r="A558" s="141"/>
      <c r="B558" s="160">
        <v>542</v>
      </c>
      <c r="C558" s="224"/>
      <c r="D558" s="213"/>
      <c r="E558" s="215"/>
      <c r="F558" s="214"/>
      <c r="G558" s="214"/>
      <c r="H558" s="74" t="str">
        <f t="shared" si="16"/>
        <v/>
      </c>
      <c r="I558" s="188" t="str">
        <f t="shared" si="17"/>
        <v/>
      </c>
      <c r="J558" s="221"/>
    </row>
    <row r="559" spans="1:10" s="90" customFormat="1" ht="14.25" hidden="1" x14ac:dyDescent="0.3">
      <c r="A559" s="141"/>
      <c r="B559" s="160">
        <v>543</v>
      </c>
      <c r="C559" s="224"/>
      <c r="D559" s="216"/>
      <c r="E559" s="215"/>
      <c r="F559" s="217"/>
      <c r="G559" s="218"/>
      <c r="H559" s="74" t="str">
        <f t="shared" si="16"/>
        <v/>
      </c>
      <c r="I559" s="188" t="str">
        <f t="shared" si="17"/>
        <v/>
      </c>
      <c r="J559" s="221"/>
    </row>
    <row r="560" spans="1:10" s="90" customFormat="1" ht="14.25" hidden="1" x14ac:dyDescent="0.3">
      <c r="A560" s="141"/>
      <c r="B560" s="160">
        <v>544</v>
      </c>
      <c r="C560" s="224"/>
      <c r="D560" s="213"/>
      <c r="E560" s="215"/>
      <c r="F560" s="214"/>
      <c r="G560" s="214"/>
      <c r="H560" s="74" t="str">
        <f t="shared" si="16"/>
        <v/>
      </c>
      <c r="I560" s="188" t="str">
        <f t="shared" si="17"/>
        <v/>
      </c>
      <c r="J560" s="221"/>
    </row>
    <row r="561" spans="1:10" s="90" customFormat="1" ht="14.25" hidden="1" x14ac:dyDescent="0.3">
      <c r="A561" s="141"/>
      <c r="B561" s="160">
        <v>545</v>
      </c>
      <c r="C561" s="224"/>
      <c r="D561" s="213"/>
      <c r="E561" s="215"/>
      <c r="F561" s="214"/>
      <c r="G561" s="214"/>
      <c r="H561" s="74" t="str">
        <f t="shared" si="16"/>
        <v/>
      </c>
      <c r="I561" s="188" t="str">
        <f t="shared" si="17"/>
        <v/>
      </c>
      <c r="J561" s="221"/>
    </row>
    <row r="562" spans="1:10" s="90" customFormat="1" ht="14.25" hidden="1" x14ac:dyDescent="0.3">
      <c r="A562" s="141"/>
      <c r="B562" s="160">
        <v>546</v>
      </c>
      <c r="C562" s="224"/>
      <c r="D562" s="216"/>
      <c r="E562" s="215"/>
      <c r="F562" s="217"/>
      <c r="G562" s="218"/>
      <c r="H562" s="74" t="str">
        <f t="shared" si="16"/>
        <v/>
      </c>
      <c r="I562" s="188" t="str">
        <f t="shared" si="17"/>
        <v/>
      </c>
      <c r="J562" s="221"/>
    </row>
    <row r="563" spans="1:10" s="90" customFormat="1" ht="14.25" hidden="1" x14ac:dyDescent="0.3">
      <c r="A563" s="141"/>
      <c r="B563" s="160">
        <v>547</v>
      </c>
      <c r="C563" s="224"/>
      <c r="D563" s="213"/>
      <c r="E563" s="215"/>
      <c r="F563" s="214"/>
      <c r="G563" s="214"/>
      <c r="H563" s="74" t="str">
        <f t="shared" si="16"/>
        <v/>
      </c>
      <c r="I563" s="188" t="str">
        <f t="shared" si="17"/>
        <v/>
      </c>
      <c r="J563" s="221"/>
    </row>
    <row r="564" spans="1:10" s="90" customFormat="1" ht="14.25" hidden="1" x14ac:dyDescent="0.3">
      <c r="A564" s="141"/>
      <c r="B564" s="160">
        <v>548</v>
      </c>
      <c r="C564" s="224"/>
      <c r="D564" s="213"/>
      <c r="E564" s="215"/>
      <c r="F564" s="214"/>
      <c r="G564" s="214"/>
      <c r="H564" s="74" t="str">
        <f t="shared" si="16"/>
        <v/>
      </c>
      <c r="I564" s="188" t="str">
        <f t="shared" si="17"/>
        <v/>
      </c>
      <c r="J564" s="221"/>
    </row>
    <row r="565" spans="1:10" s="90" customFormat="1" ht="14.25" hidden="1" x14ac:dyDescent="0.3">
      <c r="A565" s="141"/>
      <c r="B565" s="160">
        <v>549</v>
      </c>
      <c r="C565" s="224"/>
      <c r="D565" s="216"/>
      <c r="E565" s="215"/>
      <c r="F565" s="217"/>
      <c r="G565" s="218"/>
      <c r="H565" s="74" t="str">
        <f t="shared" si="16"/>
        <v/>
      </c>
      <c r="I565" s="188" t="str">
        <f t="shared" si="17"/>
        <v/>
      </c>
      <c r="J565" s="221"/>
    </row>
    <row r="566" spans="1:10" s="90" customFormat="1" ht="14.25" hidden="1" x14ac:dyDescent="0.3">
      <c r="A566" s="141"/>
      <c r="B566" s="160">
        <v>550</v>
      </c>
      <c r="C566" s="224"/>
      <c r="D566" s="213"/>
      <c r="E566" s="215"/>
      <c r="F566" s="214"/>
      <c r="G566" s="214"/>
      <c r="H566" s="74" t="str">
        <f t="shared" si="16"/>
        <v/>
      </c>
      <c r="I566" s="188" t="str">
        <f t="shared" si="17"/>
        <v/>
      </c>
      <c r="J566" s="221"/>
    </row>
    <row r="567" spans="1:10" s="90" customFormat="1" ht="14.25" hidden="1" x14ac:dyDescent="0.3">
      <c r="A567" s="141"/>
      <c r="B567" s="160">
        <v>551</v>
      </c>
      <c r="C567" s="224"/>
      <c r="D567" s="213"/>
      <c r="E567" s="215"/>
      <c r="F567" s="214"/>
      <c r="G567" s="214"/>
      <c r="H567" s="74" t="str">
        <f t="shared" si="16"/>
        <v/>
      </c>
      <c r="I567" s="188" t="str">
        <f t="shared" si="17"/>
        <v/>
      </c>
      <c r="J567" s="221"/>
    </row>
    <row r="568" spans="1:10" s="90" customFormat="1" ht="14.25" hidden="1" x14ac:dyDescent="0.3">
      <c r="A568" s="141"/>
      <c r="B568" s="160">
        <v>552</v>
      </c>
      <c r="C568" s="224"/>
      <c r="D568" s="216"/>
      <c r="E568" s="215"/>
      <c r="F568" s="217"/>
      <c r="G568" s="218"/>
      <c r="H568" s="74" t="str">
        <f t="shared" si="16"/>
        <v/>
      </c>
      <c r="I568" s="188" t="str">
        <f t="shared" si="17"/>
        <v/>
      </c>
      <c r="J568" s="221"/>
    </row>
    <row r="569" spans="1:10" s="90" customFormat="1" ht="14.25" hidden="1" x14ac:dyDescent="0.3">
      <c r="A569" s="141"/>
      <c r="B569" s="160">
        <v>553</v>
      </c>
      <c r="C569" s="224"/>
      <c r="D569" s="213"/>
      <c r="E569" s="215"/>
      <c r="F569" s="214"/>
      <c r="G569" s="214"/>
      <c r="H569" s="74" t="str">
        <f t="shared" si="16"/>
        <v/>
      </c>
      <c r="I569" s="188" t="str">
        <f t="shared" si="17"/>
        <v/>
      </c>
      <c r="J569" s="221"/>
    </row>
    <row r="570" spans="1:10" s="90" customFormat="1" ht="14.25" hidden="1" x14ac:dyDescent="0.3">
      <c r="A570" s="141"/>
      <c r="B570" s="160">
        <v>554</v>
      </c>
      <c r="C570" s="224"/>
      <c r="D570" s="213"/>
      <c r="E570" s="215"/>
      <c r="F570" s="214"/>
      <c r="G570" s="214"/>
      <c r="H570" s="74" t="str">
        <f t="shared" si="16"/>
        <v/>
      </c>
      <c r="I570" s="188" t="str">
        <f t="shared" si="17"/>
        <v/>
      </c>
      <c r="J570" s="221"/>
    </row>
    <row r="571" spans="1:10" s="90" customFormat="1" ht="14.25" hidden="1" x14ac:dyDescent="0.3">
      <c r="A571" s="141"/>
      <c r="B571" s="160">
        <v>555</v>
      </c>
      <c r="C571" s="224"/>
      <c r="D571" s="216"/>
      <c r="E571" s="215"/>
      <c r="F571" s="217"/>
      <c r="G571" s="218"/>
      <c r="H571" s="74" t="str">
        <f t="shared" si="16"/>
        <v/>
      </c>
      <c r="I571" s="188" t="str">
        <f t="shared" si="17"/>
        <v/>
      </c>
      <c r="J571" s="221"/>
    </row>
    <row r="572" spans="1:10" s="90" customFormat="1" ht="14.25" hidden="1" x14ac:dyDescent="0.3">
      <c r="A572" s="141"/>
      <c r="B572" s="160">
        <v>556</v>
      </c>
      <c r="C572" s="224"/>
      <c r="D572" s="213"/>
      <c r="E572" s="215"/>
      <c r="F572" s="214"/>
      <c r="G572" s="214"/>
      <c r="H572" s="74" t="str">
        <f t="shared" si="16"/>
        <v/>
      </c>
      <c r="I572" s="188" t="str">
        <f t="shared" si="17"/>
        <v/>
      </c>
      <c r="J572" s="221"/>
    </row>
    <row r="573" spans="1:10" s="90" customFormat="1" ht="14.25" hidden="1" x14ac:dyDescent="0.3">
      <c r="A573" s="141"/>
      <c r="B573" s="160">
        <v>557</v>
      </c>
      <c r="C573" s="224"/>
      <c r="D573" s="213"/>
      <c r="E573" s="215"/>
      <c r="F573" s="214"/>
      <c r="G573" s="214"/>
      <c r="H573" s="74" t="str">
        <f t="shared" si="16"/>
        <v/>
      </c>
      <c r="I573" s="188" t="str">
        <f t="shared" si="17"/>
        <v/>
      </c>
      <c r="J573" s="221"/>
    </row>
    <row r="574" spans="1:10" s="90" customFormat="1" ht="14.25" hidden="1" x14ac:dyDescent="0.3">
      <c r="A574" s="141"/>
      <c r="B574" s="160">
        <v>558</v>
      </c>
      <c r="C574" s="224"/>
      <c r="D574" s="216"/>
      <c r="E574" s="215"/>
      <c r="F574" s="217"/>
      <c r="G574" s="218"/>
      <c r="H574" s="74" t="str">
        <f t="shared" si="16"/>
        <v/>
      </c>
      <c r="I574" s="188" t="str">
        <f t="shared" si="17"/>
        <v/>
      </c>
      <c r="J574" s="221"/>
    </row>
    <row r="575" spans="1:10" s="90" customFormat="1" ht="14.25" hidden="1" x14ac:dyDescent="0.3">
      <c r="A575" s="141"/>
      <c r="B575" s="160">
        <v>559</v>
      </c>
      <c r="C575" s="224"/>
      <c r="D575" s="213"/>
      <c r="E575" s="215"/>
      <c r="F575" s="214"/>
      <c r="G575" s="214"/>
      <c r="H575" s="74" t="str">
        <f t="shared" si="16"/>
        <v/>
      </c>
      <c r="I575" s="188" t="str">
        <f t="shared" si="17"/>
        <v/>
      </c>
      <c r="J575" s="221"/>
    </row>
    <row r="576" spans="1:10" s="90" customFormat="1" ht="14.25" hidden="1" x14ac:dyDescent="0.3">
      <c r="A576" s="141"/>
      <c r="B576" s="160">
        <v>560</v>
      </c>
      <c r="C576" s="224"/>
      <c r="D576" s="213"/>
      <c r="E576" s="215"/>
      <c r="F576" s="214"/>
      <c r="G576" s="214"/>
      <c r="H576" s="74" t="str">
        <f t="shared" si="16"/>
        <v/>
      </c>
      <c r="I576" s="188" t="str">
        <f t="shared" si="17"/>
        <v/>
      </c>
      <c r="J576" s="221"/>
    </row>
    <row r="577" spans="1:10" s="90" customFormat="1" ht="14.25" hidden="1" x14ac:dyDescent="0.3">
      <c r="A577" s="141"/>
      <c r="B577" s="160">
        <v>561</v>
      </c>
      <c r="C577" s="224"/>
      <c r="D577" s="216"/>
      <c r="E577" s="215"/>
      <c r="F577" s="217"/>
      <c r="G577" s="218"/>
      <c r="H577" s="74" t="str">
        <f t="shared" si="16"/>
        <v/>
      </c>
      <c r="I577" s="188" t="str">
        <f t="shared" si="17"/>
        <v/>
      </c>
      <c r="J577" s="221"/>
    </row>
    <row r="578" spans="1:10" s="90" customFormat="1" ht="14.25" hidden="1" x14ac:dyDescent="0.3">
      <c r="A578" s="141"/>
      <c r="B578" s="160">
        <v>562</v>
      </c>
      <c r="C578" s="224"/>
      <c r="D578" s="213"/>
      <c r="E578" s="215"/>
      <c r="F578" s="214"/>
      <c r="G578" s="214"/>
      <c r="H578" s="74" t="str">
        <f t="shared" si="16"/>
        <v/>
      </c>
      <c r="I578" s="188" t="str">
        <f t="shared" si="17"/>
        <v/>
      </c>
      <c r="J578" s="221"/>
    </row>
    <row r="579" spans="1:10" s="90" customFormat="1" ht="14.25" hidden="1" x14ac:dyDescent="0.3">
      <c r="A579" s="141"/>
      <c r="B579" s="160">
        <v>563</v>
      </c>
      <c r="C579" s="224"/>
      <c r="D579" s="213"/>
      <c r="E579" s="215"/>
      <c r="F579" s="214"/>
      <c r="G579" s="214"/>
      <c r="H579" s="74" t="str">
        <f t="shared" si="16"/>
        <v/>
      </c>
      <c r="I579" s="188" t="str">
        <f t="shared" si="17"/>
        <v/>
      </c>
      <c r="J579" s="221"/>
    </row>
    <row r="580" spans="1:10" s="90" customFormat="1" ht="14.25" hidden="1" x14ac:dyDescent="0.3">
      <c r="A580" s="141"/>
      <c r="B580" s="160">
        <v>564</v>
      </c>
      <c r="C580" s="224"/>
      <c r="D580" s="216"/>
      <c r="E580" s="215"/>
      <c r="F580" s="217"/>
      <c r="G580" s="218"/>
      <c r="H580" s="74" t="str">
        <f t="shared" si="16"/>
        <v/>
      </c>
      <c r="I580" s="188" t="str">
        <f t="shared" si="17"/>
        <v/>
      </c>
      <c r="J580" s="221"/>
    </row>
    <row r="581" spans="1:10" s="90" customFormat="1" ht="14.25" hidden="1" x14ac:dyDescent="0.3">
      <c r="A581" s="141"/>
      <c r="B581" s="160">
        <v>565</v>
      </c>
      <c r="C581" s="224"/>
      <c r="D581" s="213"/>
      <c r="E581" s="215"/>
      <c r="F581" s="214"/>
      <c r="G581" s="214"/>
      <c r="H581" s="74" t="str">
        <f t="shared" si="16"/>
        <v/>
      </c>
      <c r="I581" s="188" t="str">
        <f t="shared" si="17"/>
        <v/>
      </c>
      <c r="J581" s="221"/>
    </row>
    <row r="582" spans="1:10" s="90" customFormat="1" ht="14.25" hidden="1" x14ac:dyDescent="0.3">
      <c r="A582" s="141"/>
      <c r="B582" s="160">
        <v>566</v>
      </c>
      <c r="C582" s="224"/>
      <c r="D582" s="213"/>
      <c r="E582" s="215"/>
      <c r="F582" s="214"/>
      <c r="G582" s="214"/>
      <c r="H582" s="74" t="str">
        <f t="shared" si="16"/>
        <v/>
      </c>
      <c r="I582" s="188" t="str">
        <f t="shared" si="17"/>
        <v/>
      </c>
      <c r="J582" s="221"/>
    </row>
    <row r="583" spans="1:10" s="90" customFormat="1" ht="14.25" hidden="1" x14ac:dyDescent="0.3">
      <c r="A583" s="141"/>
      <c r="B583" s="160">
        <v>567</v>
      </c>
      <c r="C583" s="224"/>
      <c r="D583" s="216"/>
      <c r="E583" s="215"/>
      <c r="F583" s="217"/>
      <c r="G583" s="218"/>
      <c r="H583" s="74" t="str">
        <f t="shared" si="16"/>
        <v/>
      </c>
      <c r="I583" s="188" t="str">
        <f t="shared" si="17"/>
        <v/>
      </c>
      <c r="J583" s="221"/>
    </row>
    <row r="584" spans="1:10" s="90" customFormat="1" ht="14.25" hidden="1" x14ac:dyDescent="0.3">
      <c r="A584" s="141"/>
      <c r="B584" s="160">
        <v>568</v>
      </c>
      <c r="C584" s="224"/>
      <c r="D584" s="213"/>
      <c r="E584" s="215"/>
      <c r="F584" s="214"/>
      <c r="G584" s="214"/>
      <c r="H584" s="74" t="str">
        <f t="shared" si="16"/>
        <v/>
      </c>
      <c r="I584" s="188" t="str">
        <f t="shared" si="17"/>
        <v/>
      </c>
      <c r="J584" s="221"/>
    </row>
    <row r="585" spans="1:10" s="90" customFormat="1" ht="14.25" hidden="1" x14ac:dyDescent="0.3">
      <c r="A585" s="141"/>
      <c r="B585" s="160">
        <v>569</v>
      </c>
      <c r="C585" s="224"/>
      <c r="D585" s="213"/>
      <c r="E585" s="215"/>
      <c r="F585" s="214"/>
      <c r="G585" s="214"/>
      <c r="H585" s="74" t="str">
        <f t="shared" si="16"/>
        <v/>
      </c>
      <c r="I585" s="188" t="str">
        <f t="shared" si="17"/>
        <v/>
      </c>
      <c r="J585" s="221"/>
    </row>
    <row r="586" spans="1:10" s="90" customFormat="1" ht="14.25" hidden="1" x14ac:dyDescent="0.3">
      <c r="A586" s="141"/>
      <c r="B586" s="160">
        <v>570</v>
      </c>
      <c r="C586" s="224"/>
      <c r="D586" s="216"/>
      <c r="E586" s="215"/>
      <c r="F586" s="217"/>
      <c r="G586" s="218"/>
      <c r="H586" s="74" t="str">
        <f t="shared" si="16"/>
        <v/>
      </c>
      <c r="I586" s="188" t="str">
        <f t="shared" si="17"/>
        <v/>
      </c>
      <c r="J586" s="221"/>
    </row>
    <row r="587" spans="1:10" s="90" customFormat="1" ht="14.25" hidden="1" x14ac:dyDescent="0.3">
      <c r="A587" s="141"/>
      <c r="B587" s="160">
        <v>571</v>
      </c>
      <c r="C587" s="224"/>
      <c r="D587" s="213"/>
      <c r="E587" s="215"/>
      <c r="F587" s="214"/>
      <c r="G587" s="214"/>
      <c r="H587" s="74" t="str">
        <f t="shared" si="16"/>
        <v/>
      </c>
      <c r="I587" s="188" t="str">
        <f t="shared" si="17"/>
        <v/>
      </c>
      <c r="J587" s="221"/>
    </row>
    <row r="588" spans="1:10" s="90" customFormat="1" ht="14.25" hidden="1" x14ac:dyDescent="0.3">
      <c r="A588" s="141"/>
      <c r="B588" s="160">
        <v>572</v>
      </c>
      <c r="C588" s="224"/>
      <c r="D588" s="213"/>
      <c r="E588" s="215"/>
      <c r="F588" s="214"/>
      <c r="G588" s="214"/>
      <c r="H588" s="74" t="str">
        <f t="shared" si="16"/>
        <v/>
      </c>
      <c r="I588" s="188" t="str">
        <f t="shared" si="17"/>
        <v/>
      </c>
      <c r="J588" s="221"/>
    </row>
    <row r="589" spans="1:10" s="90" customFormat="1" ht="14.25" hidden="1" x14ac:dyDescent="0.3">
      <c r="A589" s="141"/>
      <c r="B589" s="160">
        <v>573</v>
      </c>
      <c r="C589" s="224"/>
      <c r="D589" s="216"/>
      <c r="E589" s="215"/>
      <c r="F589" s="217"/>
      <c r="G589" s="218"/>
      <c r="H589" s="74" t="str">
        <f t="shared" si="16"/>
        <v/>
      </c>
      <c r="I589" s="188" t="str">
        <f t="shared" si="17"/>
        <v/>
      </c>
      <c r="J589" s="221"/>
    </row>
    <row r="590" spans="1:10" s="90" customFormat="1" ht="14.25" hidden="1" x14ac:dyDescent="0.3">
      <c r="A590" s="141"/>
      <c r="B590" s="160">
        <v>574</v>
      </c>
      <c r="C590" s="224"/>
      <c r="D590" s="213"/>
      <c r="E590" s="215"/>
      <c r="F590" s="214"/>
      <c r="G590" s="214"/>
      <c r="H590" s="74" t="str">
        <f t="shared" si="16"/>
        <v/>
      </c>
      <c r="I590" s="188" t="str">
        <f t="shared" si="17"/>
        <v/>
      </c>
      <c r="J590" s="221"/>
    </row>
    <row r="591" spans="1:10" s="90" customFormat="1" ht="14.25" hidden="1" x14ac:dyDescent="0.3">
      <c r="A591" s="141"/>
      <c r="B591" s="160">
        <v>575</v>
      </c>
      <c r="C591" s="224"/>
      <c r="D591" s="213"/>
      <c r="E591" s="215"/>
      <c r="F591" s="214"/>
      <c r="G591" s="214"/>
      <c r="H591" s="74" t="str">
        <f t="shared" si="16"/>
        <v/>
      </c>
      <c r="I591" s="188" t="str">
        <f t="shared" si="17"/>
        <v/>
      </c>
      <c r="J591" s="221"/>
    </row>
    <row r="592" spans="1:10" s="90" customFormat="1" ht="14.25" hidden="1" x14ac:dyDescent="0.3">
      <c r="A592" s="141"/>
      <c r="B592" s="160">
        <v>576</v>
      </c>
      <c r="C592" s="224"/>
      <c r="D592" s="216"/>
      <c r="E592" s="215"/>
      <c r="F592" s="217"/>
      <c r="G592" s="218"/>
      <c r="H592" s="74" t="str">
        <f t="shared" si="16"/>
        <v/>
      </c>
      <c r="I592" s="188" t="str">
        <f t="shared" si="17"/>
        <v/>
      </c>
      <c r="J592" s="221"/>
    </row>
    <row r="593" spans="1:10" s="90" customFormat="1" ht="14.25" hidden="1" x14ac:dyDescent="0.3">
      <c r="A593" s="141"/>
      <c r="B593" s="160">
        <v>577</v>
      </c>
      <c r="C593" s="224"/>
      <c r="D593" s="213"/>
      <c r="E593" s="215"/>
      <c r="F593" s="214"/>
      <c r="G593" s="214"/>
      <c r="H593" s="74" t="str">
        <f t="shared" si="16"/>
        <v/>
      </c>
      <c r="I593" s="188" t="str">
        <f t="shared" si="17"/>
        <v/>
      </c>
      <c r="J593" s="221"/>
    </row>
    <row r="594" spans="1:10" s="90" customFormat="1" ht="14.25" hidden="1" x14ac:dyDescent="0.3">
      <c r="A594" s="141"/>
      <c r="B594" s="160">
        <v>578</v>
      </c>
      <c r="C594" s="224"/>
      <c r="D594" s="213"/>
      <c r="E594" s="215"/>
      <c r="F594" s="214"/>
      <c r="G594" s="214"/>
      <c r="H594" s="74" t="str">
        <f t="shared" ref="H594:H657" si="18">ObterComplexidadeFuncao(E594,F594,G594)</f>
        <v/>
      </c>
      <c r="I594" s="188" t="str">
        <f t="shared" ref="I594:I657" si="19">ObterContribuicaoFuncao(E594,H594)</f>
        <v/>
      </c>
      <c r="J594" s="221"/>
    </row>
    <row r="595" spans="1:10" s="90" customFormat="1" ht="14.25" hidden="1" x14ac:dyDescent="0.3">
      <c r="A595" s="141"/>
      <c r="B595" s="160">
        <v>579</v>
      </c>
      <c r="C595" s="224"/>
      <c r="D595" s="216"/>
      <c r="E595" s="215"/>
      <c r="F595" s="217"/>
      <c r="G595" s="218"/>
      <c r="H595" s="74" t="str">
        <f t="shared" si="18"/>
        <v/>
      </c>
      <c r="I595" s="188" t="str">
        <f t="shared" si="19"/>
        <v/>
      </c>
      <c r="J595" s="221"/>
    </row>
    <row r="596" spans="1:10" s="90" customFormat="1" ht="14.25" hidden="1" x14ac:dyDescent="0.3">
      <c r="A596" s="141"/>
      <c r="B596" s="160">
        <v>580</v>
      </c>
      <c r="C596" s="224"/>
      <c r="D596" s="213"/>
      <c r="E596" s="215"/>
      <c r="F596" s="214"/>
      <c r="G596" s="214"/>
      <c r="H596" s="74" t="str">
        <f t="shared" si="18"/>
        <v/>
      </c>
      <c r="I596" s="188" t="str">
        <f t="shared" si="19"/>
        <v/>
      </c>
      <c r="J596" s="221"/>
    </row>
    <row r="597" spans="1:10" s="90" customFormat="1" ht="14.25" hidden="1" x14ac:dyDescent="0.3">
      <c r="A597" s="141"/>
      <c r="B597" s="160">
        <v>581</v>
      </c>
      <c r="C597" s="224"/>
      <c r="D597" s="213"/>
      <c r="E597" s="215"/>
      <c r="F597" s="214"/>
      <c r="G597" s="214"/>
      <c r="H597" s="74" t="str">
        <f t="shared" si="18"/>
        <v/>
      </c>
      <c r="I597" s="188" t="str">
        <f t="shared" si="19"/>
        <v/>
      </c>
      <c r="J597" s="221"/>
    </row>
    <row r="598" spans="1:10" s="90" customFormat="1" ht="14.25" hidden="1" x14ac:dyDescent="0.3">
      <c r="A598" s="141"/>
      <c r="B598" s="160">
        <v>582</v>
      </c>
      <c r="C598" s="224"/>
      <c r="D598" s="216"/>
      <c r="E598" s="215"/>
      <c r="F598" s="217"/>
      <c r="G598" s="218"/>
      <c r="H598" s="74" t="str">
        <f t="shared" si="18"/>
        <v/>
      </c>
      <c r="I598" s="188" t="str">
        <f t="shared" si="19"/>
        <v/>
      </c>
      <c r="J598" s="221"/>
    </row>
    <row r="599" spans="1:10" s="90" customFormat="1" ht="14.25" hidden="1" x14ac:dyDescent="0.3">
      <c r="A599" s="141"/>
      <c r="B599" s="160">
        <v>583</v>
      </c>
      <c r="C599" s="224"/>
      <c r="D599" s="213"/>
      <c r="E599" s="215"/>
      <c r="F599" s="214"/>
      <c r="G599" s="214"/>
      <c r="H599" s="74" t="str">
        <f t="shared" si="18"/>
        <v/>
      </c>
      <c r="I599" s="188" t="str">
        <f t="shared" si="19"/>
        <v/>
      </c>
      <c r="J599" s="221"/>
    </row>
    <row r="600" spans="1:10" s="90" customFormat="1" ht="14.25" hidden="1" x14ac:dyDescent="0.3">
      <c r="A600" s="141"/>
      <c r="B600" s="160">
        <v>584</v>
      </c>
      <c r="C600" s="224"/>
      <c r="D600" s="213"/>
      <c r="E600" s="215"/>
      <c r="F600" s="214"/>
      <c r="G600" s="214"/>
      <c r="H600" s="74" t="str">
        <f t="shared" si="18"/>
        <v/>
      </c>
      <c r="I600" s="188" t="str">
        <f t="shared" si="19"/>
        <v/>
      </c>
      <c r="J600" s="221"/>
    </row>
    <row r="601" spans="1:10" s="90" customFormat="1" ht="14.25" hidden="1" x14ac:dyDescent="0.3">
      <c r="A601" s="141"/>
      <c r="B601" s="160">
        <v>585</v>
      </c>
      <c r="C601" s="224"/>
      <c r="D601" s="216"/>
      <c r="E601" s="215"/>
      <c r="F601" s="217"/>
      <c r="G601" s="218"/>
      <c r="H601" s="74" t="str">
        <f t="shared" si="18"/>
        <v/>
      </c>
      <c r="I601" s="188" t="str">
        <f t="shared" si="19"/>
        <v/>
      </c>
      <c r="J601" s="221"/>
    </row>
    <row r="602" spans="1:10" s="90" customFormat="1" ht="14.25" hidden="1" x14ac:dyDescent="0.3">
      <c r="A602" s="141"/>
      <c r="B602" s="160">
        <v>586</v>
      </c>
      <c r="C602" s="224"/>
      <c r="D602" s="213"/>
      <c r="E602" s="215"/>
      <c r="F602" s="214"/>
      <c r="G602" s="214"/>
      <c r="H602" s="74" t="str">
        <f t="shared" si="18"/>
        <v/>
      </c>
      <c r="I602" s="188" t="str">
        <f t="shared" si="19"/>
        <v/>
      </c>
      <c r="J602" s="221"/>
    </row>
    <row r="603" spans="1:10" s="90" customFormat="1" ht="14.25" hidden="1" x14ac:dyDescent="0.3">
      <c r="A603" s="141"/>
      <c r="B603" s="160">
        <v>587</v>
      </c>
      <c r="C603" s="224"/>
      <c r="D603" s="213"/>
      <c r="E603" s="215"/>
      <c r="F603" s="214"/>
      <c r="G603" s="214"/>
      <c r="H603" s="74" t="str">
        <f t="shared" si="18"/>
        <v/>
      </c>
      <c r="I603" s="188" t="str">
        <f t="shared" si="19"/>
        <v/>
      </c>
      <c r="J603" s="221"/>
    </row>
    <row r="604" spans="1:10" s="90" customFormat="1" ht="14.25" hidden="1" x14ac:dyDescent="0.3">
      <c r="A604" s="141"/>
      <c r="B604" s="160">
        <v>588</v>
      </c>
      <c r="C604" s="224"/>
      <c r="D604" s="216"/>
      <c r="E604" s="215"/>
      <c r="F604" s="217"/>
      <c r="G604" s="218"/>
      <c r="H604" s="74" t="str">
        <f t="shared" si="18"/>
        <v/>
      </c>
      <c r="I604" s="188" t="str">
        <f t="shared" si="19"/>
        <v/>
      </c>
      <c r="J604" s="221"/>
    </row>
    <row r="605" spans="1:10" s="90" customFormat="1" ht="14.25" hidden="1" x14ac:dyDescent="0.3">
      <c r="A605" s="141"/>
      <c r="B605" s="160">
        <v>589</v>
      </c>
      <c r="C605" s="224"/>
      <c r="D605" s="213"/>
      <c r="E605" s="215"/>
      <c r="F605" s="214"/>
      <c r="G605" s="214"/>
      <c r="H605" s="74" t="str">
        <f t="shared" si="18"/>
        <v/>
      </c>
      <c r="I605" s="188" t="str">
        <f t="shared" si="19"/>
        <v/>
      </c>
      <c r="J605" s="221"/>
    </row>
    <row r="606" spans="1:10" s="90" customFormat="1" ht="14.25" hidden="1" x14ac:dyDescent="0.3">
      <c r="A606" s="141"/>
      <c r="B606" s="160">
        <v>590</v>
      </c>
      <c r="C606" s="224"/>
      <c r="D606" s="213"/>
      <c r="E606" s="215"/>
      <c r="F606" s="214"/>
      <c r="G606" s="214"/>
      <c r="H606" s="74" t="str">
        <f t="shared" si="18"/>
        <v/>
      </c>
      <c r="I606" s="188" t="str">
        <f t="shared" si="19"/>
        <v/>
      </c>
      <c r="J606" s="221"/>
    </row>
    <row r="607" spans="1:10" s="90" customFormat="1" ht="14.25" hidden="1" x14ac:dyDescent="0.3">
      <c r="A607" s="141"/>
      <c r="B607" s="160">
        <v>591</v>
      </c>
      <c r="C607" s="224"/>
      <c r="D607" s="216"/>
      <c r="E607" s="215"/>
      <c r="F607" s="217"/>
      <c r="G607" s="218"/>
      <c r="H607" s="74" t="str">
        <f t="shared" si="18"/>
        <v/>
      </c>
      <c r="I607" s="188" t="str">
        <f t="shared" si="19"/>
        <v/>
      </c>
      <c r="J607" s="221"/>
    </row>
    <row r="608" spans="1:10" s="90" customFormat="1" ht="14.25" hidden="1" x14ac:dyDescent="0.3">
      <c r="A608" s="141"/>
      <c r="B608" s="160">
        <v>592</v>
      </c>
      <c r="C608" s="224"/>
      <c r="D608" s="213"/>
      <c r="E608" s="215"/>
      <c r="F608" s="214"/>
      <c r="G608" s="214"/>
      <c r="H608" s="74" t="str">
        <f t="shared" si="18"/>
        <v/>
      </c>
      <c r="I608" s="188" t="str">
        <f t="shared" si="19"/>
        <v/>
      </c>
      <c r="J608" s="221"/>
    </row>
    <row r="609" spans="1:10" s="90" customFormat="1" ht="14.25" hidden="1" x14ac:dyDescent="0.3">
      <c r="A609" s="141"/>
      <c r="B609" s="160">
        <v>593</v>
      </c>
      <c r="C609" s="224"/>
      <c r="D609" s="213"/>
      <c r="E609" s="215"/>
      <c r="F609" s="214"/>
      <c r="G609" s="214"/>
      <c r="H609" s="74" t="str">
        <f t="shared" si="18"/>
        <v/>
      </c>
      <c r="I609" s="188" t="str">
        <f t="shared" si="19"/>
        <v/>
      </c>
      <c r="J609" s="221"/>
    </row>
    <row r="610" spans="1:10" s="90" customFormat="1" ht="14.25" hidden="1" x14ac:dyDescent="0.3">
      <c r="A610" s="141"/>
      <c r="B610" s="160">
        <v>594</v>
      </c>
      <c r="C610" s="224"/>
      <c r="D610" s="216"/>
      <c r="E610" s="215"/>
      <c r="F610" s="217"/>
      <c r="G610" s="218"/>
      <c r="H610" s="74" t="str">
        <f t="shared" si="18"/>
        <v/>
      </c>
      <c r="I610" s="188" t="str">
        <f t="shared" si="19"/>
        <v/>
      </c>
      <c r="J610" s="221"/>
    </row>
    <row r="611" spans="1:10" s="90" customFormat="1" ht="14.25" hidden="1" x14ac:dyDescent="0.3">
      <c r="A611" s="141"/>
      <c r="B611" s="160">
        <v>595</v>
      </c>
      <c r="C611" s="224"/>
      <c r="D611" s="213"/>
      <c r="E611" s="215"/>
      <c r="F611" s="214"/>
      <c r="G611" s="214"/>
      <c r="H611" s="74" t="str">
        <f t="shared" si="18"/>
        <v/>
      </c>
      <c r="I611" s="188" t="str">
        <f t="shared" si="19"/>
        <v/>
      </c>
      <c r="J611" s="221"/>
    </row>
    <row r="612" spans="1:10" s="90" customFormat="1" ht="14.25" hidden="1" x14ac:dyDescent="0.3">
      <c r="A612" s="141"/>
      <c r="B612" s="160">
        <v>596</v>
      </c>
      <c r="C612" s="224"/>
      <c r="D612" s="213"/>
      <c r="E612" s="215"/>
      <c r="F612" s="214"/>
      <c r="G612" s="214"/>
      <c r="H612" s="74" t="str">
        <f t="shared" si="18"/>
        <v/>
      </c>
      <c r="I612" s="188" t="str">
        <f t="shared" si="19"/>
        <v/>
      </c>
      <c r="J612" s="221"/>
    </row>
    <row r="613" spans="1:10" s="90" customFormat="1" ht="14.25" hidden="1" x14ac:dyDescent="0.3">
      <c r="A613" s="141"/>
      <c r="B613" s="160">
        <v>597</v>
      </c>
      <c r="C613" s="224"/>
      <c r="D613" s="216"/>
      <c r="E613" s="215"/>
      <c r="F613" s="217"/>
      <c r="G613" s="218"/>
      <c r="H613" s="74" t="str">
        <f t="shared" si="18"/>
        <v/>
      </c>
      <c r="I613" s="188" t="str">
        <f t="shared" si="19"/>
        <v/>
      </c>
      <c r="J613" s="221"/>
    </row>
    <row r="614" spans="1:10" s="90" customFormat="1" ht="14.25" hidden="1" x14ac:dyDescent="0.3">
      <c r="A614" s="141"/>
      <c r="B614" s="160">
        <v>598</v>
      </c>
      <c r="C614" s="224"/>
      <c r="D614" s="213"/>
      <c r="E614" s="215"/>
      <c r="F614" s="214"/>
      <c r="G614" s="214"/>
      <c r="H614" s="74" t="str">
        <f t="shared" si="18"/>
        <v/>
      </c>
      <c r="I614" s="188" t="str">
        <f t="shared" si="19"/>
        <v/>
      </c>
      <c r="J614" s="221"/>
    </row>
    <row r="615" spans="1:10" s="90" customFormat="1" ht="14.25" hidden="1" x14ac:dyDescent="0.3">
      <c r="A615" s="141"/>
      <c r="B615" s="160">
        <v>599</v>
      </c>
      <c r="C615" s="224"/>
      <c r="D615" s="213"/>
      <c r="E615" s="215"/>
      <c r="F615" s="214"/>
      <c r="G615" s="214"/>
      <c r="H615" s="74" t="str">
        <f t="shared" si="18"/>
        <v/>
      </c>
      <c r="I615" s="188" t="str">
        <f t="shared" si="19"/>
        <v/>
      </c>
      <c r="J615" s="221"/>
    </row>
    <row r="616" spans="1:10" s="90" customFormat="1" ht="14.25" hidden="1" x14ac:dyDescent="0.3">
      <c r="A616" s="141"/>
      <c r="B616" s="160">
        <v>600</v>
      </c>
      <c r="C616" s="224"/>
      <c r="D616" s="216"/>
      <c r="E616" s="215"/>
      <c r="F616" s="217"/>
      <c r="G616" s="218"/>
      <c r="H616" s="74" t="str">
        <f t="shared" si="18"/>
        <v/>
      </c>
      <c r="I616" s="188" t="str">
        <f t="shared" si="19"/>
        <v/>
      </c>
      <c r="J616" s="221"/>
    </row>
    <row r="617" spans="1:10" s="90" customFormat="1" ht="14.25" hidden="1" x14ac:dyDescent="0.3">
      <c r="A617" s="141"/>
      <c r="B617" s="160">
        <v>601</v>
      </c>
      <c r="C617" s="224"/>
      <c r="D617" s="213"/>
      <c r="E617" s="215"/>
      <c r="F617" s="214"/>
      <c r="G617" s="214"/>
      <c r="H617" s="74" t="str">
        <f t="shared" si="18"/>
        <v/>
      </c>
      <c r="I617" s="188" t="str">
        <f t="shared" si="19"/>
        <v/>
      </c>
      <c r="J617" s="221"/>
    </row>
    <row r="618" spans="1:10" s="90" customFormat="1" ht="14.25" hidden="1" x14ac:dyDescent="0.3">
      <c r="A618" s="141"/>
      <c r="B618" s="160">
        <v>602</v>
      </c>
      <c r="C618" s="224"/>
      <c r="D618" s="213"/>
      <c r="E618" s="215"/>
      <c r="F618" s="214"/>
      <c r="G618" s="214"/>
      <c r="H618" s="74" t="str">
        <f t="shared" si="18"/>
        <v/>
      </c>
      <c r="I618" s="188" t="str">
        <f t="shared" si="19"/>
        <v/>
      </c>
      <c r="J618" s="221"/>
    </row>
    <row r="619" spans="1:10" s="90" customFormat="1" ht="14.25" hidden="1" x14ac:dyDescent="0.3">
      <c r="A619" s="141"/>
      <c r="B619" s="160">
        <v>603</v>
      </c>
      <c r="C619" s="224"/>
      <c r="D619" s="216"/>
      <c r="E619" s="215"/>
      <c r="F619" s="217"/>
      <c r="G619" s="218"/>
      <c r="H619" s="74" t="str">
        <f t="shared" si="18"/>
        <v/>
      </c>
      <c r="I619" s="188" t="str">
        <f t="shared" si="19"/>
        <v/>
      </c>
      <c r="J619" s="221"/>
    </row>
    <row r="620" spans="1:10" s="90" customFormat="1" ht="14.25" hidden="1" x14ac:dyDescent="0.3">
      <c r="A620" s="141"/>
      <c r="B620" s="160">
        <v>604</v>
      </c>
      <c r="C620" s="224"/>
      <c r="D620" s="213"/>
      <c r="E620" s="215"/>
      <c r="F620" s="214"/>
      <c r="G620" s="214"/>
      <c r="H620" s="74" t="str">
        <f t="shared" si="18"/>
        <v/>
      </c>
      <c r="I620" s="188" t="str">
        <f t="shared" si="19"/>
        <v/>
      </c>
      <c r="J620" s="221"/>
    </row>
    <row r="621" spans="1:10" s="90" customFormat="1" ht="14.25" hidden="1" x14ac:dyDescent="0.3">
      <c r="A621" s="141"/>
      <c r="B621" s="160">
        <v>605</v>
      </c>
      <c r="C621" s="224"/>
      <c r="D621" s="213"/>
      <c r="E621" s="215"/>
      <c r="F621" s="214"/>
      <c r="G621" s="214"/>
      <c r="H621" s="74" t="str">
        <f t="shared" si="18"/>
        <v/>
      </c>
      <c r="I621" s="188" t="str">
        <f t="shared" si="19"/>
        <v/>
      </c>
      <c r="J621" s="221"/>
    </row>
    <row r="622" spans="1:10" s="90" customFormat="1" ht="14.25" hidden="1" x14ac:dyDescent="0.3">
      <c r="A622" s="141"/>
      <c r="B622" s="160">
        <v>606</v>
      </c>
      <c r="C622" s="224"/>
      <c r="D622" s="216"/>
      <c r="E622" s="215"/>
      <c r="F622" s="217"/>
      <c r="G622" s="218"/>
      <c r="H622" s="74" t="str">
        <f t="shared" si="18"/>
        <v/>
      </c>
      <c r="I622" s="188" t="str">
        <f t="shared" si="19"/>
        <v/>
      </c>
      <c r="J622" s="221"/>
    </row>
    <row r="623" spans="1:10" s="90" customFormat="1" ht="14.25" hidden="1" x14ac:dyDescent="0.3">
      <c r="A623" s="141"/>
      <c r="B623" s="160">
        <v>607</v>
      </c>
      <c r="C623" s="224"/>
      <c r="D623" s="213"/>
      <c r="E623" s="215"/>
      <c r="F623" s="214"/>
      <c r="G623" s="214"/>
      <c r="H623" s="74" t="str">
        <f t="shared" si="18"/>
        <v/>
      </c>
      <c r="I623" s="188" t="str">
        <f t="shared" si="19"/>
        <v/>
      </c>
      <c r="J623" s="221"/>
    </row>
    <row r="624" spans="1:10" s="90" customFormat="1" ht="14.25" hidden="1" x14ac:dyDescent="0.3">
      <c r="A624" s="141"/>
      <c r="B624" s="160">
        <v>608</v>
      </c>
      <c r="C624" s="224"/>
      <c r="D624" s="213"/>
      <c r="E624" s="215"/>
      <c r="F624" s="214"/>
      <c r="G624" s="214"/>
      <c r="H624" s="74" t="str">
        <f t="shared" si="18"/>
        <v/>
      </c>
      <c r="I624" s="188" t="str">
        <f t="shared" si="19"/>
        <v/>
      </c>
      <c r="J624" s="221"/>
    </row>
    <row r="625" spans="1:10" s="90" customFormat="1" ht="14.25" hidden="1" x14ac:dyDescent="0.3">
      <c r="A625" s="141"/>
      <c r="B625" s="160">
        <v>609</v>
      </c>
      <c r="C625" s="224"/>
      <c r="D625" s="216"/>
      <c r="E625" s="215"/>
      <c r="F625" s="217"/>
      <c r="G625" s="218"/>
      <c r="H625" s="74" t="str">
        <f t="shared" si="18"/>
        <v/>
      </c>
      <c r="I625" s="188" t="str">
        <f t="shared" si="19"/>
        <v/>
      </c>
      <c r="J625" s="221"/>
    </row>
    <row r="626" spans="1:10" s="90" customFormat="1" ht="14.25" hidden="1" x14ac:dyDescent="0.3">
      <c r="A626" s="141"/>
      <c r="B626" s="160">
        <v>610</v>
      </c>
      <c r="C626" s="224"/>
      <c r="D626" s="213"/>
      <c r="E626" s="215"/>
      <c r="F626" s="214"/>
      <c r="G626" s="214"/>
      <c r="H626" s="74" t="str">
        <f t="shared" si="18"/>
        <v/>
      </c>
      <c r="I626" s="188" t="str">
        <f t="shared" si="19"/>
        <v/>
      </c>
      <c r="J626" s="221"/>
    </row>
    <row r="627" spans="1:10" s="90" customFormat="1" ht="14.25" hidden="1" x14ac:dyDescent="0.3">
      <c r="A627" s="141"/>
      <c r="B627" s="160">
        <v>611</v>
      </c>
      <c r="C627" s="224"/>
      <c r="D627" s="213"/>
      <c r="E627" s="215"/>
      <c r="F627" s="214"/>
      <c r="G627" s="214"/>
      <c r="H627" s="74" t="str">
        <f t="shared" si="18"/>
        <v/>
      </c>
      <c r="I627" s="188" t="str">
        <f t="shared" si="19"/>
        <v/>
      </c>
      <c r="J627" s="221"/>
    </row>
    <row r="628" spans="1:10" s="90" customFormat="1" ht="14.25" hidden="1" x14ac:dyDescent="0.3">
      <c r="A628" s="141"/>
      <c r="B628" s="160">
        <v>612</v>
      </c>
      <c r="C628" s="224"/>
      <c r="D628" s="216"/>
      <c r="E628" s="215"/>
      <c r="F628" s="217"/>
      <c r="G628" s="218"/>
      <c r="H628" s="74" t="str">
        <f t="shared" si="18"/>
        <v/>
      </c>
      <c r="I628" s="188" t="str">
        <f t="shared" si="19"/>
        <v/>
      </c>
      <c r="J628" s="221"/>
    </row>
    <row r="629" spans="1:10" s="90" customFormat="1" ht="14.25" hidden="1" x14ac:dyDescent="0.3">
      <c r="A629" s="141"/>
      <c r="B629" s="160">
        <v>613</v>
      </c>
      <c r="C629" s="224"/>
      <c r="D629" s="213"/>
      <c r="E629" s="215"/>
      <c r="F629" s="214"/>
      <c r="G629" s="214"/>
      <c r="H629" s="74" t="str">
        <f t="shared" si="18"/>
        <v/>
      </c>
      <c r="I629" s="188" t="str">
        <f t="shared" si="19"/>
        <v/>
      </c>
      <c r="J629" s="221"/>
    </row>
    <row r="630" spans="1:10" s="90" customFormat="1" ht="14.25" hidden="1" x14ac:dyDescent="0.3">
      <c r="A630" s="141"/>
      <c r="B630" s="160">
        <v>614</v>
      </c>
      <c r="C630" s="224"/>
      <c r="D630" s="213"/>
      <c r="E630" s="215"/>
      <c r="F630" s="214"/>
      <c r="G630" s="214"/>
      <c r="H630" s="74" t="str">
        <f t="shared" si="18"/>
        <v/>
      </c>
      <c r="I630" s="188" t="str">
        <f t="shared" si="19"/>
        <v/>
      </c>
      <c r="J630" s="221"/>
    </row>
    <row r="631" spans="1:10" s="90" customFormat="1" ht="14.25" hidden="1" x14ac:dyDescent="0.3">
      <c r="A631" s="141"/>
      <c r="B631" s="160">
        <v>615</v>
      </c>
      <c r="C631" s="224"/>
      <c r="D631" s="216"/>
      <c r="E631" s="215"/>
      <c r="F631" s="217"/>
      <c r="G631" s="218"/>
      <c r="H631" s="74" t="str">
        <f t="shared" si="18"/>
        <v/>
      </c>
      <c r="I631" s="188" t="str">
        <f t="shared" si="19"/>
        <v/>
      </c>
      <c r="J631" s="221"/>
    </row>
    <row r="632" spans="1:10" s="90" customFormat="1" ht="14.25" hidden="1" x14ac:dyDescent="0.3">
      <c r="A632" s="141"/>
      <c r="B632" s="160">
        <v>616</v>
      </c>
      <c r="C632" s="224"/>
      <c r="D632" s="213"/>
      <c r="E632" s="215"/>
      <c r="F632" s="214"/>
      <c r="G632" s="214"/>
      <c r="H632" s="74" t="str">
        <f t="shared" si="18"/>
        <v/>
      </c>
      <c r="I632" s="188" t="str">
        <f t="shared" si="19"/>
        <v/>
      </c>
      <c r="J632" s="221"/>
    </row>
    <row r="633" spans="1:10" s="90" customFormat="1" ht="14.25" hidden="1" x14ac:dyDescent="0.3">
      <c r="A633" s="141"/>
      <c r="B633" s="160">
        <v>617</v>
      </c>
      <c r="C633" s="224"/>
      <c r="D633" s="213"/>
      <c r="E633" s="215"/>
      <c r="F633" s="214"/>
      <c r="G633" s="214"/>
      <c r="H633" s="74" t="str">
        <f t="shared" si="18"/>
        <v/>
      </c>
      <c r="I633" s="188" t="str">
        <f t="shared" si="19"/>
        <v/>
      </c>
      <c r="J633" s="221"/>
    </row>
    <row r="634" spans="1:10" s="90" customFormat="1" ht="14.25" hidden="1" x14ac:dyDescent="0.3">
      <c r="A634" s="141"/>
      <c r="B634" s="160">
        <v>618</v>
      </c>
      <c r="C634" s="224"/>
      <c r="D634" s="216"/>
      <c r="E634" s="215"/>
      <c r="F634" s="217"/>
      <c r="G634" s="218"/>
      <c r="H634" s="74" t="str">
        <f t="shared" si="18"/>
        <v/>
      </c>
      <c r="I634" s="188" t="str">
        <f t="shared" si="19"/>
        <v/>
      </c>
      <c r="J634" s="221"/>
    </row>
    <row r="635" spans="1:10" s="90" customFormat="1" ht="14.25" hidden="1" x14ac:dyDescent="0.3">
      <c r="A635" s="141"/>
      <c r="B635" s="160">
        <v>619</v>
      </c>
      <c r="C635" s="224"/>
      <c r="D635" s="213"/>
      <c r="E635" s="215"/>
      <c r="F635" s="214"/>
      <c r="G635" s="214"/>
      <c r="H635" s="74" t="str">
        <f t="shared" si="18"/>
        <v/>
      </c>
      <c r="I635" s="188" t="str">
        <f t="shared" si="19"/>
        <v/>
      </c>
      <c r="J635" s="221"/>
    </row>
    <row r="636" spans="1:10" s="90" customFormat="1" ht="14.25" hidden="1" x14ac:dyDescent="0.3">
      <c r="A636" s="141"/>
      <c r="B636" s="160">
        <v>620</v>
      </c>
      <c r="C636" s="224"/>
      <c r="D636" s="213"/>
      <c r="E636" s="215"/>
      <c r="F636" s="214"/>
      <c r="G636" s="214"/>
      <c r="H636" s="74" t="str">
        <f t="shared" si="18"/>
        <v/>
      </c>
      <c r="I636" s="188" t="str">
        <f t="shared" si="19"/>
        <v/>
      </c>
      <c r="J636" s="221"/>
    </row>
    <row r="637" spans="1:10" s="90" customFormat="1" ht="14.25" hidden="1" x14ac:dyDescent="0.3">
      <c r="A637" s="141"/>
      <c r="B637" s="160">
        <v>621</v>
      </c>
      <c r="C637" s="224"/>
      <c r="D637" s="216"/>
      <c r="E637" s="215"/>
      <c r="F637" s="217"/>
      <c r="G637" s="218"/>
      <c r="H637" s="74" t="str">
        <f t="shared" si="18"/>
        <v/>
      </c>
      <c r="I637" s="188" t="str">
        <f t="shared" si="19"/>
        <v/>
      </c>
      <c r="J637" s="221"/>
    </row>
    <row r="638" spans="1:10" s="90" customFormat="1" ht="14.25" hidden="1" x14ac:dyDescent="0.3">
      <c r="A638" s="141"/>
      <c r="B638" s="160">
        <v>622</v>
      </c>
      <c r="C638" s="224"/>
      <c r="D638" s="213"/>
      <c r="E638" s="215"/>
      <c r="F638" s="214"/>
      <c r="G638" s="214"/>
      <c r="H638" s="74" t="str">
        <f t="shared" si="18"/>
        <v/>
      </c>
      <c r="I638" s="188" t="str">
        <f t="shared" si="19"/>
        <v/>
      </c>
      <c r="J638" s="221"/>
    </row>
    <row r="639" spans="1:10" s="90" customFormat="1" ht="14.25" hidden="1" x14ac:dyDescent="0.3">
      <c r="A639" s="141"/>
      <c r="B639" s="160">
        <v>623</v>
      </c>
      <c r="C639" s="224"/>
      <c r="D639" s="213"/>
      <c r="E639" s="215"/>
      <c r="F639" s="214"/>
      <c r="G639" s="214"/>
      <c r="H639" s="74" t="str">
        <f t="shared" si="18"/>
        <v/>
      </c>
      <c r="I639" s="188" t="str">
        <f t="shared" si="19"/>
        <v/>
      </c>
      <c r="J639" s="221"/>
    </row>
    <row r="640" spans="1:10" s="90" customFormat="1" ht="14.25" hidden="1" x14ac:dyDescent="0.3">
      <c r="A640" s="141"/>
      <c r="B640" s="160">
        <v>624</v>
      </c>
      <c r="C640" s="224"/>
      <c r="D640" s="216"/>
      <c r="E640" s="215"/>
      <c r="F640" s="217"/>
      <c r="G640" s="218"/>
      <c r="H640" s="74" t="str">
        <f t="shared" si="18"/>
        <v/>
      </c>
      <c r="I640" s="188" t="str">
        <f t="shared" si="19"/>
        <v/>
      </c>
      <c r="J640" s="221"/>
    </row>
    <row r="641" spans="1:10" s="90" customFormat="1" ht="14.25" hidden="1" x14ac:dyDescent="0.3">
      <c r="A641" s="141"/>
      <c r="B641" s="160">
        <v>625</v>
      </c>
      <c r="C641" s="224"/>
      <c r="D641" s="213"/>
      <c r="E641" s="215"/>
      <c r="F641" s="214"/>
      <c r="G641" s="214"/>
      <c r="H641" s="74" t="str">
        <f t="shared" si="18"/>
        <v/>
      </c>
      <c r="I641" s="188" t="str">
        <f t="shared" si="19"/>
        <v/>
      </c>
      <c r="J641" s="221"/>
    </row>
    <row r="642" spans="1:10" s="90" customFormat="1" ht="14.25" hidden="1" x14ac:dyDescent="0.3">
      <c r="A642" s="141"/>
      <c r="B642" s="160">
        <v>626</v>
      </c>
      <c r="C642" s="224"/>
      <c r="D642" s="213"/>
      <c r="E642" s="215"/>
      <c r="F642" s="214"/>
      <c r="G642" s="214"/>
      <c r="H642" s="74" t="str">
        <f t="shared" si="18"/>
        <v/>
      </c>
      <c r="I642" s="188" t="str">
        <f t="shared" si="19"/>
        <v/>
      </c>
      <c r="J642" s="221"/>
    </row>
    <row r="643" spans="1:10" s="90" customFormat="1" ht="14.25" hidden="1" x14ac:dyDescent="0.3">
      <c r="A643" s="141"/>
      <c r="B643" s="160">
        <v>627</v>
      </c>
      <c r="C643" s="224"/>
      <c r="D643" s="216"/>
      <c r="E643" s="215"/>
      <c r="F643" s="217"/>
      <c r="G643" s="218"/>
      <c r="H643" s="74" t="str">
        <f t="shared" si="18"/>
        <v/>
      </c>
      <c r="I643" s="188" t="str">
        <f t="shared" si="19"/>
        <v/>
      </c>
      <c r="J643" s="221"/>
    </row>
    <row r="644" spans="1:10" s="90" customFormat="1" ht="14.25" hidden="1" x14ac:dyDescent="0.3">
      <c r="A644" s="141"/>
      <c r="B644" s="160">
        <v>628</v>
      </c>
      <c r="C644" s="224"/>
      <c r="D644" s="213"/>
      <c r="E644" s="215"/>
      <c r="F644" s="214"/>
      <c r="G644" s="214"/>
      <c r="H644" s="74" t="str">
        <f t="shared" si="18"/>
        <v/>
      </c>
      <c r="I644" s="188" t="str">
        <f t="shared" si="19"/>
        <v/>
      </c>
      <c r="J644" s="221"/>
    </row>
    <row r="645" spans="1:10" s="90" customFormat="1" ht="14.25" hidden="1" x14ac:dyDescent="0.3">
      <c r="A645" s="141"/>
      <c r="B645" s="160">
        <v>629</v>
      </c>
      <c r="C645" s="224"/>
      <c r="D645" s="213"/>
      <c r="E645" s="215"/>
      <c r="F645" s="214"/>
      <c r="G645" s="214"/>
      <c r="H645" s="74" t="str">
        <f t="shared" si="18"/>
        <v/>
      </c>
      <c r="I645" s="188" t="str">
        <f t="shared" si="19"/>
        <v/>
      </c>
      <c r="J645" s="221"/>
    </row>
    <row r="646" spans="1:10" s="90" customFormat="1" ht="14.25" hidden="1" x14ac:dyDescent="0.3">
      <c r="A646" s="141"/>
      <c r="B646" s="160">
        <v>630</v>
      </c>
      <c r="C646" s="224"/>
      <c r="D646" s="216"/>
      <c r="E646" s="215"/>
      <c r="F646" s="217"/>
      <c r="G646" s="218"/>
      <c r="H646" s="74" t="str">
        <f t="shared" si="18"/>
        <v/>
      </c>
      <c r="I646" s="188" t="str">
        <f t="shared" si="19"/>
        <v/>
      </c>
      <c r="J646" s="221"/>
    </row>
    <row r="647" spans="1:10" s="90" customFormat="1" ht="14.25" hidden="1" x14ac:dyDescent="0.3">
      <c r="A647" s="141"/>
      <c r="B647" s="160">
        <v>631</v>
      </c>
      <c r="C647" s="224"/>
      <c r="D647" s="213"/>
      <c r="E647" s="215"/>
      <c r="F647" s="214"/>
      <c r="G647" s="214"/>
      <c r="H647" s="74" t="str">
        <f t="shared" si="18"/>
        <v/>
      </c>
      <c r="I647" s="188" t="str">
        <f t="shared" si="19"/>
        <v/>
      </c>
      <c r="J647" s="221"/>
    </row>
    <row r="648" spans="1:10" s="90" customFormat="1" ht="14.25" hidden="1" x14ac:dyDescent="0.3">
      <c r="A648" s="141"/>
      <c r="B648" s="160">
        <v>632</v>
      </c>
      <c r="C648" s="224"/>
      <c r="D648" s="213"/>
      <c r="E648" s="215"/>
      <c r="F648" s="214"/>
      <c r="G648" s="214"/>
      <c r="H648" s="74" t="str">
        <f t="shared" si="18"/>
        <v/>
      </c>
      <c r="I648" s="188" t="str">
        <f t="shared" si="19"/>
        <v/>
      </c>
      <c r="J648" s="221"/>
    </row>
    <row r="649" spans="1:10" s="90" customFormat="1" ht="14.25" hidden="1" x14ac:dyDescent="0.3">
      <c r="A649" s="141"/>
      <c r="B649" s="160">
        <v>633</v>
      </c>
      <c r="C649" s="224"/>
      <c r="D649" s="216"/>
      <c r="E649" s="215"/>
      <c r="F649" s="217"/>
      <c r="G649" s="218"/>
      <c r="H649" s="74" t="str">
        <f t="shared" si="18"/>
        <v/>
      </c>
      <c r="I649" s="188" t="str">
        <f t="shared" si="19"/>
        <v/>
      </c>
      <c r="J649" s="221"/>
    </row>
    <row r="650" spans="1:10" s="90" customFormat="1" ht="14.25" hidden="1" x14ac:dyDescent="0.3">
      <c r="A650" s="141"/>
      <c r="B650" s="160">
        <v>634</v>
      </c>
      <c r="C650" s="224"/>
      <c r="D650" s="213"/>
      <c r="E650" s="215"/>
      <c r="F650" s="214"/>
      <c r="G650" s="214"/>
      <c r="H650" s="74" t="str">
        <f t="shared" si="18"/>
        <v/>
      </c>
      <c r="I650" s="188" t="str">
        <f t="shared" si="19"/>
        <v/>
      </c>
      <c r="J650" s="221"/>
    </row>
    <row r="651" spans="1:10" s="90" customFormat="1" ht="14.25" hidden="1" x14ac:dyDescent="0.3">
      <c r="A651" s="141"/>
      <c r="B651" s="160">
        <v>635</v>
      </c>
      <c r="C651" s="224"/>
      <c r="D651" s="213"/>
      <c r="E651" s="215"/>
      <c r="F651" s="214"/>
      <c r="G651" s="214"/>
      <c r="H651" s="74" t="str">
        <f t="shared" si="18"/>
        <v/>
      </c>
      <c r="I651" s="188" t="str">
        <f t="shared" si="19"/>
        <v/>
      </c>
      <c r="J651" s="221"/>
    </row>
    <row r="652" spans="1:10" s="90" customFormat="1" ht="14.25" hidden="1" x14ac:dyDescent="0.3">
      <c r="A652" s="141"/>
      <c r="B652" s="160">
        <v>636</v>
      </c>
      <c r="C652" s="224"/>
      <c r="D652" s="216"/>
      <c r="E652" s="215"/>
      <c r="F652" s="217"/>
      <c r="G652" s="218"/>
      <c r="H652" s="74" t="str">
        <f t="shared" si="18"/>
        <v/>
      </c>
      <c r="I652" s="188" t="str">
        <f t="shared" si="19"/>
        <v/>
      </c>
      <c r="J652" s="221"/>
    </row>
    <row r="653" spans="1:10" s="90" customFormat="1" ht="14.25" hidden="1" x14ac:dyDescent="0.3">
      <c r="A653" s="141"/>
      <c r="B653" s="160">
        <v>637</v>
      </c>
      <c r="C653" s="224"/>
      <c r="D653" s="213"/>
      <c r="E653" s="215"/>
      <c r="F653" s="214"/>
      <c r="G653" s="214"/>
      <c r="H653" s="74" t="str">
        <f t="shared" si="18"/>
        <v/>
      </c>
      <c r="I653" s="188" t="str">
        <f t="shared" si="19"/>
        <v/>
      </c>
      <c r="J653" s="221"/>
    </row>
    <row r="654" spans="1:10" s="90" customFormat="1" ht="14.25" hidden="1" x14ac:dyDescent="0.3">
      <c r="A654" s="141"/>
      <c r="B654" s="160">
        <v>638</v>
      </c>
      <c r="C654" s="224"/>
      <c r="D654" s="213"/>
      <c r="E654" s="215"/>
      <c r="F654" s="214"/>
      <c r="G654" s="214"/>
      <c r="H654" s="74" t="str">
        <f t="shared" si="18"/>
        <v/>
      </c>
      <c r="I654" s="188" t="str">
        <f t="shared" si="19"/>
        <v/>
      </c>
      <c r="J654" s="221"/>
    </row>
    <row r="655" spans="1:10" s="90" customFormat="1" ht="14.25" hidden="1" x14ac:dyDescent="0.3">
      <c r="A655" s="141"/>
      <c r="B655" s="160">
        <v>639</v>
      </c>
      <c r="C655" s="224"/>
      <c r="D655" s="216"/>
      <c r="E655" s="215"/>
      <c r="F655" s="217"/>
      <c r="G655" s="218"/>
      <c r="H655" s="74" t="str">
        <f t="shared" si="18"/>
        <v/>
      </c>
      <c r="I655" s="188" t="str">
        <f t="shared" si="19"/>
        <v/>
      </c>
      <c r="J655" s="221"/>
    </row>
    <row r="656" spans="1:10" s="90" customFormat="1" ht="14.25" hidden="1" x14ac:dyDescent="0.3">
      <c r="A656" s="141"/>
      <c r="B656" s="160">
        <v>640</v>
      </c>
      <c r="C656" s="224"/>
      <c r="D656" s="213"/>
      <c r="E656" s="215"/>
      <c r="F656" s="214"/>
      <c r="G656" s="214"/>
      <c r="H656" s="74" t="str">
        <f t="shared" si="18"/>
        <v/>
      </c>
      <c r="I656" s="188" t="str">
        <f t="shared" si="19"/>
        <v/>
      </c>
      <c r="J656" s="221"/>
    </row>
    <row r="657" spans="1:10" s="90" customFormat="1" ht="14.25" hidden="1" x14ac:dyDescent="0.3">
      <c r="A657" s="141"/>
      <c r="B657" s="160">
        <v>641</v>
      </c>
      <c r="C657" s="224"/>
      <c r="D657" s="213"/>
      <c r="E657" s="215"/>
      <c r="F657" s="214"/>
      <c r="G657" s="214"/>
      <c r="H657" s="74" t="str">
        <f t="shared" si="18"/>
        <v/>
      </c>
      <c r="I657" s="188" t="str">
        <f t="shared" si="19"/>
        <v/>
      </c>
      <c r="J657" s="221"/>
    </row>
    <row r="658" spans="1:10" s="90" customFormat="1" ht="14.25" hidden="1" x14ac:dyDescent="0.3">
      <c r="A658" s="141"/>
      <c r="B658" s="160">
        <v>642</v>
      </c>
      <c r="C658" s="224"/>
      <c r="D658" s="216"/>
      <c r="E658" s="215"/>
      <c r="F658" s="217"/>
      <c r="G658" s="218"/>
      <c r="H658" s="74" t="str">
        <f t="shared" ref="H658:H721" si="20">ObterComplexidadeFuncao(E658,F658,G658)</f>
        <v/>
      </c>
      <c r="I658" s="188" t="str">
        <f t="shared" ref="I658:I721" si="21">ObterContribuicaoFuncao(E658,H658)</f>
        <v/>
      </c>
      <c r="J658" s="221"/>
    </row>
    <row r="659" spans="1:10" s="90" customFormat="1" ht="14.25" hidden="1" x14ac:dyDescent="0.3">
      <c r="A659" s="141"/>
      <c r="B659" s="160">
        <v>643</v>
      </c>
      <c r="C659" s="224"/>
      <c r="D659" s="213"/>
      <c r="E659" s="215"/>
      <c r="F659" s="214"/>
      <c r="G659" s="214"/>
      <c r="H659" s="74" t="str">
        <f t="shared" si="20"/>
        <v/>
      </c>
      <c r="I659" s="188" t="str">
        <f t="shared" si="21"/>
        <v/>
      </c>
      <c r="J659" s="221"/>
    </row>
    <row r="660" spans="1:10" s="90" customFormat="1" ht="14.25" hidden="1" x14ac:dyDescent="0.3">
      <c r="A660" s="141"/>
      <c r="B660" s="160">
        <v>644</v>
      </c>
      <c r="C660" s="224"/>
      <c r="D660" s="213"/>
      <c r="E660" s="215"/>
      <c r="F660" s="214"/>
      <c r="G660" s="214"/>
      <c r="H660" s="74" t="str">
        <f t="shared" si="20"/>
        <v/>
      </c>
      <c r="I660" s="188" t="str">
        <f t="shared" si="21"/>
        <v/>
      </c>
      <c r="J660" s="221"/>
    </row>
    <row r="661" spans="1:10" s="90" customFormat="1" ht="14.25" hidden="1" x14ac:dyDescent="0.3">
      <c r="A661" s="141"/>
      <c r="B661" s="160">
        <v>645</v>
      </c>
      <c r="C661" s="224"/>
      <c r="D661" s="216"/>
      <c r="E661" s="215"/>
      <c r="F661" s="217"/>
      <c r="G661" s="218"/>
      <c r="H661" s="74" t="str">
        <f t="shared" si="20"/>
        <v/>
      </c>
      <c r="I661" s="188" t="str">
        <f t="shared" si="21"/>
        <v/>
      </c>
      <c r="J661" s="221"/>
    </row>
    <row r="662" spans="1:10" s="90" customFormat="1" ht="14.25" hidden="1" x14ac:dyDescent="0.3">
      <c r="A662" s="141"/>
      <c r="B662" s="160">
        <v>646</v>
      </c>
      <c r="C662" s="224"/>
      <c r="D662" s="213"/>
      <c r="E662" s="215"/>
      <c r="F662" s="214"/>
      <c r="G662" s="214"/>
      <c r="H662" s="74" t="str">
        <f t="shared" si="20"/>
        <v/>
      </c>
      <c r="I662" s="188" t="str">
        <f t="shared" si="21"/>
        <v/>
      </c>
      <c r="J662" s="221"/>
    </row>
    <row r="663" spans="1:10" s="90" customFormat="1" ht="14.25" hidden="1" x14ac:dyDescent="0.3">
      <c r="A663" s="141"/>
      <c r="B663" s="160">
        <v>647</v>
      </c>
      <c r="C663" s="224"/>
      <c r="D663" s="213"/>
      <c r="E663" s="215"/>
      <c r="F663" s="214"/>
      <c r="G663" s="214"/>
      <c r="H663" s="74" t="str">
        <f t="shared" si="20"/>
        <v/>
      </c>
      <c r="I663" s="188" t="str">
        <f t="shared" si="21"/>
        <v/>
      </c>
      <c r="J663" s="221"/>
    </row>
    <row r="664" spans="1:10" s="90" customFormat="1" ht="14.25" hidden="1" x14ac:dyDescent="0.3">
      <c r="A664" s="141"/>
      <c r="B664" s="160">
        <v>648</v>
      </c>
      <c r="C664" s="224"/>
      <c r="D664" s="216"/>
      <c r="E664" s="215"/>
      <c r="F664" s="217"/>
      <c r="G664" s="218"/>
      <c r="H664" s="74" t="str">
        <f t="shared" si="20"/>
        <v/>
      </c>
      <c r="I664" s="188" t="str">
        <f t="shared" si="21"/>
        <v/>
      </c>
      <c r="J664" s="221"/>
    </row>
    <row r="665" spans="1:10" s="90" customFormat="1" ht="14.25" hidden="1" x14ac:dyDescent="0.3">
      <c r="A665" s="141"/>
      <c r="B665" s="160">
        <v>649</v>
      </c>
      <c r="C665" s="224"/>
      <c r="D665" s="213"/>
      <c r="E665" s="215"/>
      <c r="F665" s="214"/>
      <c r="G665" s="214"/>
      <c r="H665" s="74" t="str">
        <f t="shared" si="20"/>
        <v/>
      </c>
      <c r="I665" s="188" t="str">
        <f t="shared" si="21"/>
        <v/>
      </c>
      <c r="J665" s="221"/>
    </row>
    <row r="666" spans="1:10" s="90" customFormat="1" ht="14.25" hidden="1" x14ac:dyDescent="0.3">
      <c r="A666" s="141"/>
      <c r="B666" s="160">
        <v>650</v>
      </c>
      <c r="C666" s="224"/>
      <c r="D666" s="213"/>
      <c r="E666" s="215"/>
      <c r="F666" s="214"/>
      <c r="G666" s="214"/>
      <c r="H666" s="74" t="str">
        <f t="shared" si="20"/>
        <v/>
      </c>
      <c r="I666" s="188" t="str">
        <f t="shared" si="21"/>
        <v/>
      </c>
      <c r="J666" s="221"/>
    </row>
    <row r="667" spans="1:10" s="90" customFormat="1" ht="14.25" hidden="1" x14ac:dyDescent="0.3">
      <c r="A667" s="141"/>
      <c r="B667" s="160">
        <v>651</v>
      </c>
      <c r="C667" s="224"/>
      <c r="D667" s="216"/>
      <c r="E667" s="215"/>
      <c r="F667" s="217"/>
      <c r="G667" s="218"/>
      <c r="H667" s="74" t="str">
        <f t="shared" si="20"/>
        <v/>
      </c>
      <c r="I667" s="188" t="str">
        <f t="shared" si="21"/>
        <v/>
      </c>
      <c r="J667" s="221"/>
    </row>
    <row r="668" spans="1:10" s="90" customFormat="1" ht="14.25" hidden="1" x14ac:dyDescent="0.3">
      <c r="A668" s="141"/>
      <c r="B668" s="160">
        <v>652</v>
      </c>
      <c r="C668" s="224"/>
      <c r="D668" s="213"/>
      <c r="E668" s="215"/>
      <c r="F668" s="214"/>
      <c r="G668" s="214"/>
      <c r="H668" s="74" t="str">
        <f t="shared" si="20"/>
        <v/>
      </c>
      <c r="I668" s="188" t="str">
        <f t="shared" si="21"/>
        <v/>
      </c>
      <c r="J668" s="221"/>
    </row>
    <row r="669" spans="1:10" s="90" customFormat="1" ht="14.25" hidden="1" x14ac:dyDescent="0.3">
      <c r="A669" s="141"/>
      <c r="B669" s="160">
        <v>653</v>
      </c>
      <c r="C669" s="224"/>
      <c r="D669" s="213"/>
      <c r="E669" s="215"/>
      <c r="F669" s="214"/>
      <c r="G669" s="214"/>
      <c r="H669" s="74" t="str">
        <f t="shared" si="20"/>
        <v/>
      </c>
      <c r="I669" s="188" t="str">
        <f t="shared" si="21"/>
        <v/>
      </c>
      <c r="J669" s="221"/>
    </row>
    <row r="670" spans="1:10" s="90" customFormat="1" ht="14.25" hidden="1" x14ac:dyDescent="0.3">
      <c r="A670" s="141"/>
      <c r="B670" s="160">
        <v>654</v>
      </c>
      <c r="C670" s="224"/>
      <c r="D670" s="216"/>
      <c r="E670" s="215"/>
      <c r="F670" s="217"/>
      <c r="G670" s="218"/>
      <c r="H670" s="74" t="str">
        <f t="shared" si="20"/>
        <v/>
      </c>
      <c r="I670" s="188" t="str">
        <f t="shared" si="21"/>
        <v/>
      </c>
      <c r="J670" s="221"/>
    </row>
    <row r="671" spans="1:10" s="90" customFormat="1" ht="14.25" hidden="1" x14ac:dyDescent="0.3">
      <c r="A671" s="141"/>
      <c r="B671" s="160">
        <v>655</v>
      </c>
      <c r="C671" s="224"/>
      <c r="D671" s="213"/>
      <c r="E671" s="215"/>
      <c r="F671" s="214"/>
      <c r="G671" s="214"/>
      <c r="H671" s="74" t="str">
        <f t="shared" si="20"/>
        <v/>
      </c>
      <c r="I671" s="188" t="str">
        <f t="shared" si="21"/>
        <v/>
      </c>
      <c r="J671" s="221"/>
    </row>
    <row r="672" spans="1:10" s="90" customFormat="1" ht="14.25" hidden="1" x14ac:dyDescent="0.3">
      <c r="A672" s="141"/>
      <c r="B672" s="160">
        <v>656</v>
      </c>
      <c r="C672" s="224"/>
      <c r="D672" s="213"/>
      <c r="E672" s="215"/>
      <c r="F672" s="214"/>
      <c r="G672" s="214"/>
      <c r="H672" s="74" t="str">
        <f t="shared" si="20"/>
        <v/>
      </c>
      <c r="I672" s="188" t="str">
        <f t="shared" si="21"/>
        <v/>
      </c>
      <c r="J672" s="221"/>
    </row>
    <row r="673" spans="1:10" s="90" customFormat="1" ht="14.25" hidden="1" x14ac:dyDescent="0.3">
      <c r="A673" s="141"/>
      <c r="B673" s="160">
        <v>657</v>
      </c>
      <c r="C673" s="224"/>
      <c r="D673" s="216"/>
      <c r="E673" s="215"/>
      <c r="F673" s="217"/>
      <c r="G673" s="218"/>
      <c r="H673" s="74" t="str">
        <f t="shared" si="20"/>
        <v/>
      </c>
      <c r="I673" s="188" t="str">
        <f t="shared" si="21"/>
        <v/>
      </c>
      <c r="J673" s="221"/>
    </row>
    <row r="674" spans="1:10" s="90" customFormat="1" ht="14.25" hidden="1" x14ac:dyDescent="0.3">
      <c r="A674" s="141"/>
      <c r="B674" s="160">
        <v>658</v>
      </c>
      <c r="C674" s="224"/>
      <c r="D674" s="213"/>
      <c r="E674" s="215"/>
      <c r="F674" s="214"/>
      <c r="G674" s="214"/>
      <c r="H674" s="74" t="str">
        <f t="shared" si="20"/>
        <v/>
      </c>
      <c r="I674" s="188" t="str">
        <f t="shared" si="21"/>
        <v/>
      </c>
      <c r="J674" s="221"/>
    </row>
    <row r="675" spans="1:10" s="90" customFormat="1" ht="14.25" hidden="1" x14ac:dyDescent="0.3">
      <c r="A675" s="141"/>
      <c r="B675" s="160">
        <v>659</v>
      </c>
      <c r="C675" s="224"/>
      <c r="D675" s="213"/>
      <c r="E675" s="215"/>
      <c r="F675" s="214"/>
      <c r="G675" s="214"/>
      <c r="H675" s="74" t="str">
        <f t="shared" si="20"/>
        <v/>
      </c>
      <c r="I675" s="188" t="str">
        <f t="shared" si="21"/>
        <v/>
      </c>
      <c r="J675" s="221"/>
    </row>
    <row r="676" spans="1:10" s="90" customFormat="1" ht="14.25" hidden="1" x14ac:dyDescent="0.3">
      <c r="A676" s="141"/>
      <c r="B676" s="160">
        <v>660</v>
      </c>
      <c r="C676" s="224"/>
      <c r="D676" s="216"/>
      <c r="E676" s="215"/>
      <c r="F676" s="217"/>
      <c r="G676" s="218"/>
      <c r="H676" s="74" t="str">
        <f t="shared" si="20"/>
        <v/>
      </c>
      <c r="I676" s="188" t="str">
        <f t="shared" si="21"/>
        <v/>
      </c>
      <c r="J676" s="221"/>
    </row>
    <row r="677" spans="1:10" s="90" customFormat="1" ht="14.25" hidden="1" x14ac:dyDescent="0.3">
      <c r="A677" s="141"/>
      <c r="B677" s="160">
        <v>661</v>
      </c>
      <c r="C677" s="224"/>
      <c r="D677" s="213"/>
      <c r="E677" s="215"/>
      <c r="F677" s="214"/>
      <c r="G677" s="214"/>
      <c r="H677" s="74" t="str">
        <f t="shared" si="20"/>
        <v/>
      </c>
      <c r="I677" s="188" t="str">
        <f t="shared" si="21"/>
        <v/>
      </c>
      <c r="J677" s="221"/>
    </row>
    <row r="678" spans="1:10" s="90" customFormat="1" ht="14.25" hidden="1" x14ac:dyDescent="0.3">
      <c r="A678" s="141"/>
      <c r="B678" s="160">
        <v>662</v>
      </c>
      <c r="C678" s="224"/>
      <c r="D678" s="213"/>
      <c r="E678" s="215"/>
      <c r="F678" s="214"/>
      <c r="G678" s="214"/>
      <c r="H678" s="74" t="str">
        <f t="shared" si="20"/>
        <v/>
      </c>
      <c r="I678" s="188" t="str">
        <f t="shared" si="21"/>
        <v/>
      </c>
      <c r="J678" s="221"/>
    </row>
    <row r="679" spans="1:10" s="90" customFormat="1" ht="14.25" hidden="1" x14ac:dyDescent="0.3">
      <c r="A679" s="141"/>
      <c r="B679" s="160">
        <v>663</v>
      </c>
      <c r="C679" s="224"/>
      <c r="D679" s="216"/>
      <c r="E679" s="215"/>
      <c r="F679" s="217"/>
      <c r="G679" s="218"/>
      <c r="H679" s="74" t="str">
        <f t="shared" si="20"/>
        <v/>
      </c>
      <c r="I679" s="188" t="str">
        <f t="shared" si="21"/>
        <v/>
      </c>
      <c r="J679" s="221"/>
    </row>
    <row r="680" spans="1:10" s="90" customFormat="1" ht="14.25" hidden="1" x14ac:dyDescent="0.3">
      <c r="A680" s="141"/>
      <c r="B680" s="160">
        <v>664</v>
      </c>
      <c r="C680" s="224"/>
      <c r="D680" s="213"/>
      <c r="E680" s="215"/>
      <c r="F680" s="214"/>
      <c r="G680" s="214"/>
      <c r="H680" s="74" t="str">
        <f t="shared" si="20"/>
        <v/>
      </c>
      <c r="I680" s="188" t="str">
        <f t="shared" si="21"/>
        <v/>
      </c>
      <c r="J680" s="221"/>
    </row>
    <row r="681" spans="1:10" s="90" customFormat="1" ht="14.25" hidden="1" x14ac:dyDescent="0.3">
      <c r="A681" s="141"/>
      <c r="B681" s="160">
        <v>665</v>
      </c>
      <c r="C681" s="224"/>
      <c r="D681" s="213"/>
      <c r="E681" s="215"/>
      <c r="F681" s="214"/>
      <c r="G681" s="214"/>
      <c r="H681" s="74" t="str">
        <f t="shared" si="20"/>
        <v/>
      </c>
      <c r="I681" s="188" t="str">
        <f t="shared" si="21"/>
        <v/>
      </c>
      <c r="J681" s="221"/>
    </row>
    <row r="682" spans="1:10" s="90" customFormat="1" ht="14.25" hidden="1" x14ac:dyDescent="0.3">
      <c r="A682" s="141"/>
      <c r="B682" s="160">
        <v>666</v>
      </c>
      <c r="C682" s="224"/>
      <c r="D682" s="216"/>
      <c r="E682" s="215"/>
      <c r="F682" s="217"/>
      <c r="G682" s="218"/>
      <c r="H682" s="74" t="str">
        <f t="shared" si="20"/>
        <v/>
      </c>
      <c r="I682" s="188" t="str">
        <f t="shared" si="21"/>
        <v/>
      </c>
      <c r="J682" s="221"/>
    </row>
    <row r="683" spans="1:10" s="90" customFormat="1" ht="14.25" hidden="1" x14ac:dyDescent="0.3">
      <c r="A683" s="141"/>
      <c r="B683" s="160">
        <v>667</v>
      </c>
      <c r="C683" s="224"/>
      <c r="D683" s="213"/>
      <c r="E683" s="215"/>
      <c r="F683" s="214"/>
      <c r="G683" s="214"/>
      <c r="H683" s="74" t="str">
        <f t="shared" si="20"/>
        <v/>
      </c>
      <c r="I683" s="188" t="str">
        <f t="shared" si="21"/>
        <v/>
      </c>
      <c r="J683" s="221"/>
    </row>
    <row r="684" spans="1:10" s="90" customFormat="1" ht="14.25" hidden="1" x14ac:dyDescent="0.3">
      <c r="A684" s="141"/>
      <c r="B684" s="160">
        <v>668</v>
      </c>
      <c r="C684" s="224"/>
      <c r="D684" s="213"/>
      <c r="E684" s="215"/>
      <c r="F684" s="214"/>
      <c r="G684" s="214"/>
      <c r="H684" s="74" t="str">
        <f t="shared" si="20"/>
        <v/>
      </c>
      <c r="I684" s="188" t="str">
        <f t="shared" si="21"/>
        <v/>
      </c>
      <c r="J684" s="221"/>
    </row>
    <row r="685" spans="1:10" s="90" customFormat="1" ht="14.25" hidden="1" x14ac:dyDescent="0.3">
      <c r="A685" s="141"/>
      <c r="B685" s="160">
        <v>669</v>
      </c>
      <c r="C685" s="224"/>
      <c r="D685" s="216"/>
      <c r="E685" s="215"/>
      <c r="F685" s="217"/>
      <c r="G685" s="218"/>
      <c r="H685" s="74" t="str">
        <f t="shared" si="20"/>
        <v/>
      </c>
      <c r="I685" s="188" t="str">
        <f t="shared" si="21"/>
        <v/>
      </c>
      <c r="J685" s="221"/>
    </row>
    <row r="686" spans="1:10" s="90" customFormat="1" ht="14.25" hidden="1" x14ac:dyDescent="0.3">
      <c r="A686" s="141"/>
      <c r="B686" s="160">
        <v>670</v>
      </c>
      <c r="C686" s="224"/>
      <c r="D686" s="213"/>
      <c r="E686" s="215"/>
      <c r="F686" s="214"/>
      <c r="G686" s="214"/>
      <c r="H686" s="74" t="str">
        <f t="shared" si="20"/>
        <v/>
      </c>
      <c r="I686" s="188" t="str">
        <f t="shared" si="21"/>
        <v/>
      </c>
      <c r="J686" s="221"/>
    </row>
    <row r="687" spans="1:10" s="90" customFormat="1" ht="14.25" hidden="1" x14ac:dyDescent="0.3">
      <c r="A687" s="141"/>
      <c r="B687" s="160">
        <v>671</v>
      </c>
      <c r="C687" s="224"/>
      <c r="D687" s="213"/>
      <c r="E687" s="215"/>
      <c r="F687" s="214"/>
      <c r="G687" s="214"/>
      <c r="H687" s="74" t="str">
        <f t="shared" si="20"/>
        <v/>
      </c>
      <c r="I687" s="188" t="str">
        <f t="shared" si="21"/>
        <v/>
      </c>
      <c r="J687" s="221"/>
    </row>
    <row r="688" spans="1:10" s="90" customFormat="1" ht="14.25" hidden="1" x14ac:dyDescent="0.3">
      <c r="A688" s="141"/>
      <c r="B688" s="160">
        <v>672</v>
      </c>
      <c r="C688" s="224"/>
      <c r="D688" s="216"/>
      <c r="E688" s="215"/>
      <c r="F688" s="217"/>
      <c r="G688" s="218"/>
      <c r="H688" s="74" t="str">
        <f t="shared" si="20"/>
        <v/>
      </c>
      <c r="I688" s="188" t="str">
        <f t="shared" si="21"/>
        <v/>
      </c>
      <c r="J688" s="221"/>
    </row>
    <row r="689" spans="1:10" s="90" customFormat="1" ht="14.25" hidden="1" x14ac:dyDescent="0.3">
      <c r="A689" s="141"/>
      <c r="B689" s="160">
        <v>673</v>
      </c>
      <c r="C689" s="224"/>
      <c r="D689" s="213"/>
      <c r="E689" s="215"/>
      <c r="F689" s="214"/>
      <c r="G689" s="214"/>
      <c r="H689" s="74" t="str">
        <f t="shared" si="20"/>
        <v/>
      </c>
      <c r="I689" s="188" t="str">
        <f t="shared" si="21"/>
        <v/>
      </c>
      <c r="J689" s="221"/>
    </row>
    <row r="690" spans="1:10" s="90" customFormat="1" ht="14.25" hidden="1" x14ac:dyDescent="0.3">
      <c r="A690" s="141"/>
      <c r="B690" s="160">
        <v>674</v>
      </c>
      <c r="C690" s="224"/>
      <c r="D690" s="213"/>
      <c r="E690" s="215"/>
      <c r="F690" s="214"/>
      <c r="G690" s="214"/>
      <c r="H690" s="74" t="str">
        <f t="shared" si="20"/>
        <v/>
      </c>
      <c r="I690" s="188" t="str">
        <f t="shared" si="21"/>
        <v/>
      </c>
      <c r="J690" s="221"/>
    </row>
    <row r="691" spans="1:10" s="90" customFormat="1" ht="14.25" hidden="1" x14ac:dyDescent="0.3">
      <c r="A691" s="141"/>
      <c r="B691" s="160">
        <v>675</v>
      </c>
      <c r="C691" s="224"/>
      <c r="D691" s="216"/>
      <c r="E691" s="215"/>
      <c r="F691" s="217"/>
      <c r="G691" s="218"/>
      <c r="H691" s="74" t="str">
        <f t="shared" si="20"/>
        <v/>
      </c>
      <c r="I691" s="188" t="str">
        <f t="shared" si="21"/>
        <v/>
      </c>
      <c r="J691" s="221"/>
    </row>
    <row r="692" spans="1:10" s="90" customFormat="1" ht="14.25" hidden="1" x14ac:dyDescent="0.3">
      <c r="A692" s="141"/>
      <c r="B692" s="160">
        <v>676</v>
      </c>
      <c r="C692" s="224"/>
      <c r="D692" s="213"/>
      <c r="E692" s="215"/>
      <c r="F692" s="214"/>
      <c r="G692" s="214"/>
      <c r="H692" s="74" t="str">
        <f t="shared" si="20"/>
        <v/>
      </c>
      <c r="I692" s="188" t="str">
        <f t="shared" si="21"/>
        <v/>
      </c>
      <c r="J692" s="221"/>
    </row>
    <row r="693" spans="1:10" s="90" customFormat="1" ht="14.25" hidden="1" x14ac:dyDescent="0.3">
      <c r="A693" s="141"/>
      <c r="B693" s="160">
        <v>677</v>
      </c>
      <c r="C693" s="224"/>
      <c r="D693" s="213"/>
      <c r="E693" s="215"/>
      <c r="F693" s="214"/>
      <c r="G693" s="214"/>
      <c r="H693" s="74" t="str">
        <f t="shared" si="20"/>
        <v/>
      </c>
      <c r="I693" s="188" t="str">
        <f t="shared" si="21"/>
        <v/>
      </c>
      <c r="J693" s="221"/>
    </row>
    <row r="694" spans="1:10" s="90" customFormat="1" ht="14.25" hidden="1" x14ac:dyDescent="0.3">
      <c r="A694" s="141"/>
      <c r="B694" s="160">
        <v>678</v>
      </c>
      <c r="C694" s="224"/>
      <c r="D694" s="216"/>
      <c r="E694" s="215"/>
      <c r="F694" s="217"/>
      <c r="G694" s="218"/>
      <c r="H694" s="74" t="str">
        <f t="shared" si="20"/>
        <v/>
      </c>
      <c r="I694" s="188" t="str">
        <f t="shared" si="21"/>
        <v/>
      </c>
      <c r="J694" s="221"/>
    </row>
    <row r="695" spans="1:10" s="90" customFormat="1" ht="14.25" hidden="1" x14ac:dyDescent="0.3">
      <c r="A695" s="141"/>
      <c r="B695" s="160">
        <v>679</v>
      </c>
      <c r="C695" s="224"/>
      <c r="D695" s="213"/>
      <c r="E695" s="215"/>
      <c r="F695" s="214"/>
      <c r="G695" s="214"/>
      <c r="H695" s="74" t="str">
        <f t="shared" si="20"/>
        <v/>
      </c>
      <c r="I695" s="188" t="str">
        <f t="shared" si="21"/>
        <v/>
      </c>
      <c r="J695" s="221"/>
    </row>
    <row r="696" spans="1:10" s="90" customFormat="1" ht="14.25" hidden="1" x14ac:dyDescent="0.3">
      <c r="A696" s="141"/>
      <c r="B696" s="160">
        <v>680</v>
      </c>
      <c r="C696" s="224"/>
      <c r="D696" s="213"/>
      <c r="E696" s="215"/>
      <c r="F696" s="214"/>
      <c r="G696" s="214"/>
      <c r="H696" s="74" t="str">
        <f t="shared" si="20"/>
        <v/>
      </c>
      <c r="I696" s="188" t="str">
        <f t="shared" si="21"/>
        <v/>
      </c>
      <c r="J696" s="221"/>
    </row>
    <row r="697" spans="1:10" s="90" customFormat="1" ht="14.25" hidden="1" x14ac:dyDescent="0.3">
      <c r="A697" s="141"/>
      <c r="B697" s="160">
        <v>681</v>
      </c>
      <c r="C697" s="224"/>
      <c r="D697" s="216"/>
      <c r="E697" s="215"/>
      <c r="F697" s="217"/>
      <c r="G697" s="218"/>
      <c r="H697" s="74" t="str">
        <f t="shared" si="20"/>
        <v/>
      </c>
      <c r="I697" s="188" t="str">
        <f t="shared" si="21"/>
        <v/>
      </c>
      <c r="J697" s="221"/>
    </row>
    <row r="698" spans="1:10" s="90" customFormat="1" ht="14.25" hidden="1" x14ac:dyDescent="0.3">
      <c r="A698" s="141"/>
      <c r="B698" s="160">
        <v>682</v>
      </c>
      <c r="C698" s="224"/>
      <c r="D698" s="213"/>
      <c r="E698" s="215"/>
      <c r="F698" s="214"/>
      <c r="G698" s="214"/>
      <c r="H698" s="74" t="str">
        <f t="shared" si="20"/>
        <v/>
      </c>
      <c r="I698" s="188" t="str">
        <f t="shared" si="21"/>
        <v/>
      </c>
      <c r="J698" s="221"/>
    </row>
    <row r="699" spans="1:10" s="90" customFormat="1" ht="14.25" hidden="1" x14ac:dyDescent="0.3">
      <c r="A699" s="141"/>
      <c r="B699" s="160">
        <v>683</v>
      </c>
      <c r="C699" s="224"/>
      <c r="D699" s="213"/>
      <c r="E699" s="215"/>
      <c r="F699" s="214"/>
      <c r="G699" s="214"/>
      <c r="H699" s="74" t="str">
        <f t="shared" si="20"/>
        <v/>
      </c>
      <c r="I699" s="188" t="str">
        <f t="shared" si="21"/>
        <v/>
      </c>
      <c r="J699" s="221"/>
    </row>
    <row r="700" spans="1:10" s="90" customFormat="1" ht="14.25" hidden="1" x14ac:dyDescent="0.3">
      <c r="A700" s="141"/>
      <c r="B700" s="160">
        <v>684</v>
      </c>
      <c r="C700" s="224"/>
      <c r="D700" s="216"/>
      <c r="E700" s="215"/>
      <c r="F700" s="217"/>
      <c r="G700" s="218"/>
      <c r="H700" s="74" t="str">
        <f t="shared" si="20"/>
        <v/>
      </c>
      <c r="I700" s="188" t="str">
        <f t="shared" si="21"/>
        <v/>
      </c>
      <c r="J700" s="221"/>
    </row>
    <row r="701" spans="1:10" s="90" customFormat="1" ht="14.25" hidden="1" x14ac:dyDescent="0.3">
      <c r="A701" s="141"/>
      <c r="B701" s="160">
        <v>685</v>
      </c>
      <c r="C701" s="224"/>
      <c r="D701" s="213"/>
      <c r="E701" s="215"/>
      <c r="F701" s="214"/>
      <c r="G701" s="214"/>
      <c r="H701" s="74" t="str">
        <f t="shared" si="20"/>
        <v/>
      </c>
      <c r="I701" s="188" t="str">
        <f t="shared" si="21"/>
        <v/>
      </c>
      <c r="J701" s="221"/>
    </row>
    <row r="702" spans="1:10" s="90" customFormat="1" ht="14.25" hidden="1" x14ac:dyDescent="0.3">
      <c r="A702" s="141"/>
      <c r="B702" s="160">
        <v>686</v>
      </c>
      <c r="C702" s="224"/>
      <c r="D702" s="213"/>
      <c r="E702" s="215"/>
      <c r="F702" s="214"/>
      <c r="G702" s="214"/>
      <c r="H702" s="74" t="str">
        <f t="shared" si="20"/>
        <v/>
      </c>
      <c r="I702" s="188" t="str">
        <f t="shared" si="21"/>
        <v/>
      </c>
      <c r="J702" s="221"/>
    </row>
    <row r="703" spans="1:10" s="90" customFormat="1" ht="14.25" hidden="1" x14ac:dyDescent="0.3">
      <c r="A703" s="141"/>
      <c r="B703" s="160">
        <v>687</v>
      </c>
      <c r="C703" s="224"/>
      <c r="D703" s="216"/>
      <c r="E703" s="215"/>
      <c r="F703" s="217"/>
      <c r="G703" s="218"/>
      <c r="H703" s="74" t="str">
        <f t="shared" si="20"/>
        <v/>
      </c>
      <c r="I703" s="188" t="str">
        <f t="shared" si="21"/>
        <v/>
      </c>
      <c r="J703" s="221"/>
    </row>
    <row r="704" spans="1:10" s="90" customFormat="1" ht="14.25" hidden="1" x14ac:dyDescent="0.3">
      <c r="A704" s="141"/>
      <c r="B704" s="160">
        <v>688</v>
      </c>
      <c r="C704" s="224"/>
      <c r="D704" s="213"/>
      <c r="E704" s="215"/>
      <c r="F704" s="214"/>
      <c r="G704" s="214"/>
      <c r="H704" s="74" t="str">
        <f t="shared" si="20"/>
        <v/>
      </c>
      <c r="I704" s="188" t="str">
        <f t="shared" si="21"/>
        <v/>
      </c>
      <c r="J704" s="221"/>
    </row>
    <row r="705" spans="1:10" s="90" customFormat="1" ht="14.25" hidden="1" x14ac:dyDescent="0.3">
      <c r="A705" s="141"/>
      <c r="B705" s="160">
        <v>689</v>
      </c>
      <c r="C705" s="224"/>
      <c r="D705" s="213"/>
      <c r="E705" s="215"/>
      <c r="F705" s="214"/>
      <c r="G705" s="214"/>
      <c r="H705" s="74" t="str">
        <f t="shared" si="20"/>
        <v/>
      </c>
      <c r="I705" s="188" t="str">
        <f t="shared" si="21"/>
        <v/>
      </c>
      <c r="J705" s="221"/>
    </row>
    <row r="706" spans="1:10" s="90" customFormat="1" ht="14.25" hidden="1" x14ac:dyDescent="0.3">
      <c r="A706" s="141"/>
      <c r="B706" s="160">
        <v>690</v>
      </c>
      <c r="C706" s="224"/>
      <c r="D706" s="216"/>
      <c r="E706" s="215"/>
      <c r="F706" s="217"/>
      <c r="G706" s="218"/>
      <c r="H706" s="74" t="str">
        <f t="shared" si="20"/>
        <v/>
      </c>
      <c r="I706" s="188" t="str">
        <f t="shared" si="21"/>
        <v/>
      </c>
      <c r="J706" s="221"/>
    </row>
    <row r="707" spans="1:10" s="90" customFormat="1" ht="14.25" hidden="1" x14ac:dyDescent="0.3">
      <c r="A707" s="141"/>
      <c r="B707" s="160">
        <v>691</v>
      </c>
      <c r="C707" s="224"/>
      <c r="D707" s="213"/>
      <c r="E707" s="215"/>
      <c r="F707" s="214"/>
      <c r="G707" s="214"/>
      <c r="H707" s="74" t="str">
        <f t="shared" si="20"/>
        <v/>
      </c>
      <c r="I707" s="188" t="str">
        <f t="shared" si="21"/>
        <v/>
      </c>
      <c r="J707" s="221"/>
    </row>
    <row r="708" spans="1:10" s="90" customFormat="1" ht="14.25" hidden="1" x14ac:dyDescent="0.3">
      <c r="A708" s="141"/>
      <c r="B708" s="160">
        <v>692</v>
      </c>
      <c r="C708" s="224"/>
      <c r="D708" s="213"/>
      <c r="E708" s="215"/>
      <c r="F708" s="214"/>
      <c r="G708" s="214"/>
      <c r="H708" s="74" t="str">
        <f t="shared" si="20"/>
        <v/>
      </c>
      <c r="I708" s="188" t="str">
        <f t="shared" si="21"/>
        <v/>
      </c>
      <c r="J708" s="221"/>
    </row>
    <row r="709" spans="1:10" s="90" customFormat="1" ht="14.25" hidden="1" x14ac:dyDescent="0.3">
      <c r="A709" s="141"/>
      <c r="B709" s="160">
        <v>693</v>
      </c>
      <c r="C709" s="224"/>
      <c r="D709" s="216"/>
      <c r="E709" s="215"/>
      <c r="F709" s="217"/>
      <c r="G709" s="218"/>
      <c r="H709" s="74" t="str">
        <f t="shared" si="20"/>
        <v/>
      </c>
      <c r="I709" s="188" t="str">
        <f t="shared" si="21"/>
        <v/>
      </c>
      <c r="J709" s="221"/>
    </row>
    <row r="710" spans="1:10" s="90" customFormat="1" ht="14.25" hidden="1" x14ac:dyDescent="0.3">
      <c r="A710" s="141"/>
      <c r="B710" s="160">
        <v>694</v>
      </c>
      <c r="C710" s="224"/>
      <c r="D710" s="213"/>
      <c r="E710" s="215"/>
      <c r="F710" s="214"/>
      <c r="G710" s="214"/>
      <c r="H710" s="74" t="str">
        <f t="shared" si="20"/>
        <v/>
      </c>
      <c r="I710" s="188" t="str">
        <f t="shared" si="21"/>
        <v/>
      </c>
      <c r="J710" s="221"/>
    </row>
    <row r="711" spans="1:10" s="90" customFormat="1" ht="14.25" hidden="1" x14ac:dyDescent="0.3">
      <c r="A711" s="141"/>
      <c r="B711" s="160">
        <v>695</v>
      </c>
      <c r="C711" s="224"/>
      <c r="D711" s="213"/>
      <c r="E711" s="215"/>
      <c r="F711" s="214"/>
      <c r="G711" s="214"/>
      <c r="H711" s="74" t="str">
        <f t="shared" si="20"/>
        <v/>
      </c>
      <c r="I711" s="188" t="str">
        <f t="shared" si="21"/>
        <v/>
      </c>
      <c r="J711" s="221"/>
    </row>
    <row r="712" spans="1:10" s="90" customFormat="1" ht="14.25" hidden="1" x14ac:dyDescent="0.3">
      <c r="A712" s="141"/>
      <c r="B712" s="160">
        <v>696</v>
      </c>
      <c r="C712" s="224"/>
      <c r="D712" s="216"/>
      <c r="E712" s="215"/>
      <c r="F712" s="217"/>
      <c r="G712" s="218"/>
      <c r="H712" s="74" t="str">
        <f t="shared" si="20"/>
        <v/>
      </c>
      <c r="I712" s="188" t="str">
        <f t="shared" si="21"/>
        <v/>
      </c>
      <c r="J712" s="221"/>
    </row>
    <row r="713" spans="1:10" s="90" customFormat="1" ht="14.25" hidden="1" x14ac:dyDescent="0.3">
      <c r="A713" s="141"/>
      <c r="B713" s="160">
        <v>697</v>
      </c>
      <c r="C713" s="224"/>
      <c r="D713" s="213"/>
      <c r="E713" s="215"/>
      <c r="F713" s="214"/>
      <c r="G713" s="214"/>
      <c r="H713" s="74" t="str">
        <f t="shared" si="20"/>
        <v/>
      </c>
      <c r="I713" s="188" t="str">
        <f t="shared" si="21"/>
        <v/>
      </c>
      <c r="J713" s="221"/>
    </row>
    <row r="714" spans="1:10" s="90" customFormat="1" ht="14.25" hidden="1" x14ac:dyDescent="0.3">
      <c r="A714" s="141"/>
      <c r="B714" s="160">
        <v>698</v>
      </c>
      <c r="C714" s="224"/>
      <c r="D714" s="213"/>
      <c r="E714" s="215"/>
      <c r="F714" s="214"/>
      <c r="G714" s="214"/>
      <c r="H714" s="74" t="str">
        <f t="shared" si="20"/>
        <v/>
      </c>
      <c r="I714" s="188" t="str">
        <f t="shared" si="21"/>
        <v/>
      </c>
      <c r="J714" s="221"/>
    </row>
    <row r="715" spans="1:10" s="90" customFormat="1" ht="14.25" hidden="1" x14ac:dyDescent="0.3">
      <c r="A715" s="141"/>
      <c r="B715" s="160">
        <v>699</v>
      </c>
      <c r="C715" s="224"/>
      <c r="D715" s="216"/>
      <c r="E715" s="215"/>
      <c r="F715" s="217"/>
      <c r="G715" s="218"/>
      <c r="H715" s="74" t="str">
        <f t="shared" si="20"/>
        <v/>
      </c>
      <c r="I715" s="188" t="str">
        <f t="shared" si="21"/>
        <v/>
      </c>
      <c r="J715" s="221"/>
    </row>
    <row r="716" spans="1:10" s="90" customFormat="1" ht="14.25" hidden="1" x14ac:dyDescent="0.3">
      <c r="A716" s="141"/>
      <c r="B716" s="160">
        <v>700</v>
      </c>
      <c r="C716" s="224"/>
      <c r="D716" s="213"/>
      <c r="E716" s="215"/>
      <c r="F716" s="214"/>
      <c r="G716" s="214"/>
      <c r="H716" s="74" t="str">
        <f t="shared" si="20"/>
        <v/>
      </c>
      <c r="I716" s="188" t="str">
        <f t="shared" si="21"/>
        <v/>
      </c>
      <c r="J716" s="221"/>
    </row>
    <row r="717" spans="1:10" s="90" customFormat="1" ht="14.25" hidden="1" x14ac:dyDescent="0.3">
      <c r="A717" s="141"/>
      <c r="B717" s="160">
        <v>701</v>
      </c>
      <c r="C717" s="224"/>
      <c r="D717" s="213"/>
      <c r="E717" s="215"/>
      <c r="F717" s="214"/>
      <c r="G717" s="214"/>
      <c r="H717" s="74" t="str">
        <f t="shared" si="20"/>
        <v/>
      </c>
      <c r="I717" s="188" t="str">
        <f t="shared" si="21"/>
        <v/>
      </c>
      <c r="J717" s="221"/>
    </row>
    <row r="718" spans="1:10" s="90" customFormat="1" ht="14.25" hidden="1" x14ac:dyDescent="0.3">
      <c r="A718" s="141"/>
      <c r="B718" s="160">
        <v>702</v>
      </c>
      <c r="C718" s="224"/>
      <c r="D718" s="216"/>
      <c r="E718" s="215"/>
      <c r="F718" s="217"/>
      <c r="G718" s="218"/>
      <c r="H718" s="74" t="str">
        <f t="shared" si="20"/>
        <v/>
      </c>
      <c r="I718" s="188" t="str">
        <f t="shared" si="21"/>
        <v/>
      </c>
      <c r="J718" s="221"/>
    </row>
    <row r="719" spans="1:10" s="90" customFormat="1" ht="14.25" hidden="1" x14ac:dyDescent="0.3">
      <c r="A719" s="141"/>
      <c r="B719" s="160">
        <v>703</v>
      </c>
      <c r="C719" s="224"/>
      <c r="D719" s="213"/>
      <c r="E719" s="215"/>
      <c r="F719" s="214"/>
      <c r="G719" s="214"/>
      <c r="H719" s="74" t="str">
        <f t="shared" si="20"/>
        <v/>
      </c>
      <c r="I719" s="188" t="str">
        <f t="shared" si="21"/>
        <v/>
      </c>
      <c r="J719" s="221"/>
    </row>
    <row r="720" spans="1:10" s="90" customFormat="1" ht="14.25" hidden="1" x14ac:dyDescent="0.3">
      <c r="A720" s="141"/>
      <c r="B720" s="160">
        <v>704</v>
      </c>
      <c r="C720" s="224"/>
      <c r="D720" s="213"/>
      <c r="E720" s="215"/>
      <c r="F720" s="214"/>
      <c r="G720" s="214"/>
      <c r="H720" s="74" t="str">
        <f t="shared" si="20"/>
        <v/>
      </c>
      <c r="I720" s="188" t="str">
        <f t="shared" si="21"/>
        <v/>
      </c>
      <c r="J720" s="221"/>
    </row>
    <row r="721" spans="1:10" s="90" customFormat="1" ht="14.25" hidden="1" x14ac:dyDescent="0.3">
      <c r="A721" s="141"/>
      <c r="B721" s="160">
        <v>705</v>
      </c>
      <c r="C721" s="224"/>
      <c r="D721" s="216"/>
      <c r="E721" s="215"/>
      <c r="F721" s="217"/>
      <c r="G721" s="218"/>
      <c r="H721" s="74" t="str">
        <f t="shared" si="20"/>
        <v/>
      </c>
      <c r="I721" s="188" t="str">
        <f t="shared" si="21"/>
        <v/>
      </c>
      <c r="J721" s="221"/>
    </row>
    <row r="722" spans="1:10" s="90" customFormat="1" ht="14.25" hidden="1" x14ac:dyDescent="0.3">
      <c r="A722" s="141"/>
      <c r="B722" s="160">
        <v>706</v>
      </c>
      <c r="C722" s="224"/>
      <c r="D722" s="213"/>
      <c r="E722" s="215"/>
      <c r="F722" s="214"/>
      <c r="G722" s="214"/>
      <c r="H722" s="74" t="str">
        <f t="shared" ref="H722:H785" si="22">ObterComplexidadeFuncao(E722,F722,G722)</f>
        <v/>
      </c>
      <c r="I722" s="188" t="str">
        <f t="shared" ref="I722:I785" si="23">ObterContribuicaoFuncao(E722,H722)</f>
        <v/>
      </c>
      <c r="J722" s="221"/>
    </row>
    <row r="723" spans="1:10" s="90" customFormat="1" ht="14.25" hidden="1" x14ac:dyDescent="0.3">
      <c r="A723" s="141"/>
      <c r="B723" s="160">
        <v>707</v>
      </c>
      <c r="C723" s="224"/>
      <c r="D723" s="213"/>
      <c r="E723" s="215"/>
      <c r="F723" s="214"/>
      <c r="G723" s="214"/>
      <c r="H723" s="74" t="str">
        <f t="shared" si="22"/>
        <v/>
      </c>
      <c r="I723" s="188" t="str">
        <f t="shared" si="23"/>
        <v/>
      </c>
      <c r="J723" s="221"/>
    </row>
    <row r="724" spans="1:10" s="90" customFormat="1" ht="14.25" hidden="1" x14ac:dyDescent="0.3">
      <c r="A724" s="141"/>
      <c r="B724" s="160">
        <v>708</v>
      </c>
      <c r="C724" s="224"/>
      <c r="D724" s="216"/>
      <c r="E724" s="215"/>
      <c r="F724" s="217"/>
      <c r="G724" s="218"/>
      <c r="H724" s="74" t="str">
        <f t="shared" si="22"/>
        <v/>
      </c>
      <c r="I724" s="188" t="str">
        <f t="shared" si="23"/>
        <v/>
      </c>
      <c r="J724" s="221"/>
    </row>
    <row r="725" spans="1:10" s="90" customFormat="1" ht="14.25" hidden="1" x14ac:dyDescent="0.3">
      <c r="A725" s="141"/>
      <c r="B725" s="160">
        <v>709</v>
      </c>
      <c r="C725" s="224"/>
      <c r="D725" s="213"/>
      <c r="E725" s="215"/>
      <c r="F725" s="214"/>
      <c r="G725" s="214"/>
      <c r="H725" s="74" t="str">
        <f t="shared" si="22"/>
        <v/>
      </c>
      <c r="I725" s="188" t="str">
        <f t="shared" si="23"/>
        <v/>
      </c>
      <c r="J725" s="221"/>
    </row>
    <row r="726" spans="1:10" s="90" customFormat="1" ht="14.25" hidden="1" x14ac:dyDescent="0.3">
      <c r="A726" s="141"/>
      <c r="B726" s="160">
        <v>710</v>
      </c>
      <c r="C726" s="224"/>
      <c r="D726" s="213"/>
      <c r="E726" s="215"/>
      <c r="F726" s="214"/>
      <c r="G726" s="214"/>
      <c r="H726" s="74" t="str">
        <f t="shared" si="22"/>
        <v/>
      </c>
      <c r="I726" s="188" t="str">
        <f t="shared" si="23"/>
        <v/>
      </c>
      <c r="J726" s="221"/>
    </row>
    <row r="727" spans="1:10" s="90" customFormat="1" ht="14.25" hidden="1" x14ac:dyDescent="0.3">
      <c r="A727" s="141"/>
      <c r="B727" s="160">
        <v>711</v>
      </c>
      <c r="C727" s="224"/>
      <c r="D727" s="216"/>
      <c r="E727" s="215"/>
      <c r="F727" s="217"/>
      <c r="G727" s="218"/>
      <c r="H727" s="74" t="str">
        <f t="shared" si="22"/>
        <v/>
      </c>
      <c r="I727" s="188" t="str">
        <f t="shared" si="23"/>
        <v/>
      </c>
      <c r="J727" s="221"/>
    </row>
    <row r="728" spans="1:10" s="90" customFormat="1" ht="14.25" hidden="1" x14ac:dyDescent="0.3">
      <c r="A728" s="141"/>
      <c r="B728" s="160">
        <v>712</v>
      </c>
      <c r="C728" s="224"/>
      <c r="D728" s="213"/>
      <c r="E728" s="215"/>
      <c r="F728" s="214"/>
      <c r="G728" s="214"/>
      <c r="H728" s="74" t="str">
        <f t="shared" si="22"/>
        <v/>
      </c>
      <c r="I728" s="188" t="str">
        <f t="shared" si="23"/>
        <v/>
      </c>
      <c r="J728" s="221"/>
    </row>
    <row r="729" spans="1:10" s="90" customFormat="1" ht="14.25" hidden="1" x14ac:dyDescent="0.3">
      <c r="A729" s="141"/>
      <c r="B729" s="160">
        <v>713</v>
      </c>
      <c r="C729" s="224"/>
      <c r="D729" s="213"/>
      <c r="E729" s="215"/>
      <c r="F729" s="214"/>
      <c r="G729" s="214"/>
      <c r="H729" s="74" t="str">
        <f t="shared" si="22"/>
        <v/>
      </c>
      <c r="I729" s="188" t="str">
        <f t="shared" si="23"/>
        <v/>
      </c>
      <c r="J729" s="221"/>
    </row>
    <row r="730" spans="1:10" s="90" customFormat="1" ht="14.25" hidden="1" x14ac:dyDescent="0.3">
      <c r="A730" s="141"/>
      <c r="B730" s="160">
        <v>714</v>
      </c>
      <c r="C730" s="224"/>
      <c r="D730" s="216"/>
      <c r="E730" s="215"/>
      <c r="F730" s="217"/>
      <c r="G730" s="218"/>
      <c r="H730" s="74" t="str">
        <f t="shared" si="22"/>
        <v/>
      </c>
      <c r="I730" s="188" t="str">
        <f t="shared" si="23"/>
        <v/>
      </c>
      <c r="J730" s="221"/>
    </row>
    <row r="731" spans="1:10" s="90" customFormat="1" ht="14.25" hidden="1" x14ac:dyDescent="0.3">
      <c r="A731" s="141"/>
      <c r="B731" s="160">
        <v>715</v>
      </c>
      <c r="C731" s="224"/>
      <c r="D731" s="213"/>
      <c r="E731" s="215"/>
      <c r="F731" s="214"/>
      <c r="G731" s="214"/>
      <c r="H731" s="74" t="str">
        <f t="shared" si="22"/>
        <v/>
      </c>
      <c r="I731" s="188" t="str">
        <f t="shared" si="23"/>
        <v/>
      </c>
      <c r="J731" s="221"/>
    </row>
    <row r="732" spans="1:10" s="90" customFormat="1" ht="14.25" hidden="1" x14ac:dyDescent="0.3">
      <c r="A732" s="141"/>
      <c r="B732" s="160">
        <v>716</v>
      </c>
      <c r="C732" s="224"/>
      <c r="D732" s="213"/>
      <c r="E732" s="215"/>
      <c r="F732" s="214"/>
      <c r="G732" s="214"/>
      <c r="H732" s="74" t="str">
        <f t="shared" si="22"/>
        <v/>
      </c>
      <c r="I732" s="188" t="str">
        <f t="shared" si="23"/>
        <v/>
      </c>
      <c r="J732" s="221"/>
    </row>
    <row r="733" spans="1:10" s="90" customFormat="1" ht="14.25" hidden="1" x14ac:dyDescent="0.3">
      <c r="A733" s="141"/>
      <c r="B733" s="160">
        <v>717</v>
      </c>
      <c r="C733" s="224"/>
      <c r="D733" s="216"/>
      <c r="E733" s="215"/>
      <c r="F733" s="217"/>
      <c r="G733" s="218"/>
      <c r="H733" s="74" t="str">
        <f t="shared" si="22"/>
        <v/>
      </c>
      <c r="I733" s="188" t="str">
        <f t="shared" si="23"/>
        <v/>
      </c>
      <c r="J733" s="221"/>
    </row>
    <row r="734" spans="1:10" s="90" customFormat="1" ht="14.25" hidden="1" x14ac:dyDescent="0.3">
      <c r="A734" s="141"/>
      <c r="B734" s="160">
        <v>718</v>
      </c>
      <c r="C734" s="224"/>
      <c r="D734" s="213"/>
      <c r="E734" s="215"/>
      <c r="F734" s="214"/>
      <c r="G734" s="214"/>
      <c r="H734" s="74" t="str">
        <f t="shared" si="22"/>
        <v/>
      </c>
      <c r="I734" s="188" t="str">
        <f t="shared" si="23"/>
        <v/>
      </c>
      <c r="J734" s="221"/>
    </row>
    <row r="735" spans="1:10" s="90" customFormat="1" ht="14.25" hidden="1" x14ac:dyDescent="0.3">
      <c r="A735" s="141"/>
      <c r="B735" s="160">
        <v>719</v>
      </c>
      <c r="C735" s="224"/>
      <c r="D735" s="213"/>
      <c r="E735" s="215"/>
      <c r="F735" s="214"/>
      <c r="G735" s="214"/>
      <c r="H735" s="74" t="str">
        <f t="shared" si="22"/>
        <v/>
      </c>
      <c r="I735" s="188" t="str">
        <f t="shared" si="23"/>
        <v/>
      </c>
      <c r="J735" s="221"/>
    </row>
    <row r="736" spans="1:10" s="90" customFormat="1" ht="14.25" hidden="1" x14ac:dyDescent="0.3">
      <c r="A736" s="141"/>
      <c r="B736" s="160">
        <v>720</v>
      </c>
      <c r="C736" s="224"/>
      <c r="D736" s="216"/>
      <c r="E736" s="215"/>
      <c r="F736" s="217"/>
      <c r="G736" s="218"/>
      <c r="H736" s="74" t="str">
        <f t="shared" si="22"/>
        <v/>
      </c>
      <c r="I736" s="188" t="str">
        <f t="shared" si="23"/>
        <v/>
      </c>
      <c r="J736" s="221"/>
    </row>
    <row r="737" spans="1:10" s="90" customFormat="1" ht="14.25" hidden="1" x14ac:dyDescent="0.3">
      <c r="A737" s="141"/>
      <c r="B737" s="160">
        <v>721</v>
      </c>
      <c r="C737" s="224"/>
      <c r="D737" s="213"/>
      <c r="E737" s="215"/>
      <c r="F737" s="214"/>
      <c r="G737" s="214"/>
      <c r="H737" s="74" t="str">
        <f t="shared" si="22"/>
        <v/>
      </c>
      <c r="I737" s="188" t="str">
        <f t="shared" si="23"/>
        <v/>
      </c>
      <c r="J737" s="221"/>
    </row>
    <row r="738" spans="1:10" s="90" customFormat="1" ht="14.25" hidden="1" x14ac:dyDescent="0.3">
      <c r="A738" s="141"/>
      <c r="B738" s="160">
        <v>722</v>
      </c>
      <c r="C738" s="224"/>
      <c r="D738" s="213"/>
      <c r="E738" s="215"/>
      <c r="F738" s="214"/>
      <c r="G738" s="214"/>
      <c r="H738" s="74" t="str">
        <f t="shared" si="22"/>
        <v/>
      </c>
      <c r="I738" s="188" t="str">
        <f t="shared" si="23"/>
        <v/>
      </c>
      <c r="J738" s="221"/>
    </row>
    <row r="739" spans="1:10" s="90" customFormat="1" ht="14.25" hidden="1" x14ac:dyDescent="0.3">
      <c r="A739" s="141"/>
      <c r="B739" s="160">
        <v>723</v>
      </c>
      <c r="C739" s="224"/>
      <c r="D739" s="216"/>
      <c r="E739" s="215"/>
      <c r="F739" s="217"/>
      <c r="G739" s="218"/>
      <c r="H739" s="74" t="str">
        <f t="shared" si="22"/>
        <v/>
      </c>
      <c r="I739" s="188" t="str">
        <f t="shared" si="23"/>
        <v/>
      </c>
      <c r="J739" s="221"/>
    </row>
    <row r="740" spans="1:10" s="90" customFormat="1" ht="14.25" hidden="1" x14ac:dyDescent="0.3">
      <c r="A740" s="141"/>
      <c r="B740" s="160">
        <v>724</v>
      </c>
      <c r="C740" s="224"/>
      <c r="D740" s="213"/>
      <c r="E740" s="215"/>
      <c r="F740" s="214"/>
      <c r="G740" s="214"/>
      <c r="H740" s="74" t="str">
        <f t="shared" si="22"/>
        <v/>
      </c>
      <c r="I740" s="188" t="str">
        <f t="shared" si="23"/>
        <v/>
      </c>
      <c r="J740" s="221"/>
    </row>
    <row r="741" spans="1:10" s="90" customFormat="1" ht="14.25" hidden="1" x14ac:dyDescent="0.3">
      <c r="A741" s="141"/>
      <c r="B741" s="160">
        <v>725</v>
      </c>
      <c r="C741" s="224"/>
      <c r="D741" s="213"/>
      <c r="E741" s="215"/>
      <c r="F741" s="214"/>
      <c r="G741" s="214"/>
      <c r="H741" s="74" t="str">
        <f t="shared" si="22"/>
        <v/>
      </c>
      <c r="I741" s="188" t="str">
        <f t="shared" si="23"/>
        <v/>
      </c>
      <c r="J741" s="221"/>
    </row>
    <row r="742" spans="1:10" s="90" customFormat="1" ht="14.25" hidden="1" x14ac:dyDescent="0.3">
      <c r="A742" s="141"/>
      <c r="B742" s="160">
        <v>726</v>
      </c>
      <c r="C742" s="224"/>
      <c r="D742" s="216"/>
      <c r="E742" s="215"/>
      <c r="F742" s="217"/>
      <c r="G742" s="218"/>
      <c r="H742" s="74" t="str">
        <f t="shared" si="22"/>
        <v/>
      </c>
      <c r="I742" s="188" t="str">
        <f t="shared" si="23"/>
        <v/>
      </c>
      <c r="J742" s="221"/>
    </row>
    <row r="743" spans="1:10" s="90" customFormat="1" ht="14.25" hidden="1" x14ac:dyDescent="0.3">
      <c r="A743" s="141"/>
      <c r="B743" s="160">
        <v>727</v>
      </c>
      <c r="C743" s="224"/>
      <c r="D743" s="213"/>
      <c r="E743" s="215"/>
      <c r="F743" s="214"/>
      <c r="G743" s="214"/>
      <c r="H743" s="74" t="str">
        <f t="shared" si="22"/>
        <v/>
      </c>
      <c r="I743" s="188" t="str">
        <f t="shared" si="23"/>
        <v/>
      </c>
      <c r="J743" s="221"/>
    </row>
    <row r="744" spans="1:10" s="90" customFormat="1" ht="14.25" hidden="1" x14ac:dyDescent="0.3">
      <c r="A744" s="141"/>
      <c r="B744" s="160">
        <v>728</v>
      </c>
      <c r="C744" s="224"/>
      <c r="D744" s="213"/>
      <c r="E744" s="215"/>
      <c r="F744" s="214"/>
      <c r="G744" s="214"/>
      <c r="H744" s="74" t="str">
        <f t="shared" si="22"/>
        <v/>
      </c>
      <c r="I744" s="188" t="str">
        <f t="shared" si="23"/>
        <v/>
      </c>
      <c r="J744" s="221"/>
    </row>
    <row r="745" spans="1:10" s="90" customFormat="1" ht="14.25" hidden="1" x14ac:dyDescent="0.3">
      <c r="A745" s="141"/>
      <c r="B745" s="160">
        <v>729</v>
      </c>
      <c r="C745" s="224"/>
      <c r="D745" s="216"/>
      <c r="E745" s="215"/>
      <c r="F745" s="217"/>
      <c r="G745" s="218"/>
      <c r="H745" s="74" t="str">
        <f t="shared" si="22"/>
        <v/>
      </c>
      <c r="I745" s="188" t="str">
        <f t="shared" si="23"/>
        <v/>
      </c>
      <c r="J745" s="221"/>
    </row>
    <row r="746" spans="1:10" s="90" customFormat="1" ht="14.25" hidden="1" x14ac:dyDescent="0.3">
      <c r="A746" s="141"/>
      <c r="B746" s="160">
        <v>730</v>
      </c>
      <c r="C746" s="224"/>
      <c r="D746" s="213"/>
      <c r="E746" s="215"/>
      <c r="F746" s="214"/>
      <c r="G746" s="214"/>
      <c r="H746" s="74" t="str">
        <f t="shared" si="22"/>
        <v/>
      </c>
      <c r="I746" s="188" t="str">
        <f t="shared" si="23"/>
        <v/>
      </c>
      <c r="J746" s="221"/>
    </row>
    <row r="747" spans="1:10" s="90" customFormat="1" ht="14.25" hidden="1" x14ac:dyDescent="0.3">
      <c r="A747" s="141"/>
      <c r="B747" s="160">
        <v>731</v>
      </c>
      <c r="C747" s="224"/>
      <c r="D747" s="213"/>
      <c r="E747" s="215"/>
      <c r="F747" s="214"/>
      <c r="G747" s="214"/>
      <c r="H747" s="74" t="str">
        <f t="shared" si="22"/>
        <v/>
      </c>
      <c r="I747" s="188" t="str">
        <f t="shared" si="23"/>
        <v/>
      </c>
      <c r="J747" s="221"/>
    </row>
    <row r="748" spans="1:10" s="90" customFormat="1" ht="14.25" hidden="1" x14ac:dyDescent="0.3">
      <c r="A748" s="141"/>
      <c r="B748" s="160">
        <v>732</v>
      </c>
      <c r="C748" s="224"/>
      <c r="D748" s="216"/>
      <c r="E748" s="215"/>
      <c r="F748" s="217"/>
      <c r="G748" s="218"/>
      <c r="H748" s="74" t="str">
        <f t="shared" si="22"/>
        <v/>
      </c>
      <c r="I748" s="188" t="str">
        <f t="shared" si="23"/>
        <v/>
      </c>
      <c r="J748" s="221"/>
    </row>
    <row r="749" spans="1:10" s="90" customFormat="1" ht="14.25" hidden="1" x14ac:dyDescent="0.3">
      <c r="A749" s="141"/>
      <c r="B749" s="160">
        <v>733</v>
      </c>
      <c r="C749" s="224"/>
      <c r="D749" s="213"/>
      <c r="E749" s="215"/>
      <c r="F749" s="214"/>
      <c r="G749" s="214"/>
      <c r="H749" s="74" t="str">
        <f t="shared" si="22"/>
        <v/>
      </c>
      <c r="I749" s="188" t="str">
        <f t="shared" si="23"/>
        <v/>
      </c>
      <c r="J749" s="221"/>
    </row>
    <row r="750" spans="1:10" s="90" customFormat="1" ht="14.25" hidden="1" x14ac:dyDescent="0.3">
      <c r="A750" s="141"/>
      <c r="B750" s="160">
        <v>734</v>
      </c>
      <c r="C750" s="224"/>
      <c r="D750" s="213"/>
      <c r="E750" s="215"/>
      <c r="F750" s="214"/>
      <c r="G750" s="214"/>
      <c r="H750" s="74" t="str">
        <f t="shared" si="22"/>
        <v/>
      </c>
      <c r="I750" s="188" t="str">
        <f t="shared" si="23"/>
        <v/>
      </c>
      <c r="J750" s="221"/>
    </row>
    <row r="751" spans="1:10" s="90" customFormat="1" ht="14.25" hidden="1" x14ac:dyDescent="0.3">
      <c r="A751" s="141"/>
      <c r="B751" s="160">
        <v>735</v>
      </c>
      <c r="C751" s="224"/>
      <c r="D751" s="216"/>
      <c r="E751" s="215"/>
      <c r="F751" s="217"/>
      <c r="G751" s="218"/>
      <c r="H751" s="74" t="str">
        <f t="shared" si="22"/>
        <v/>
      </c>
      <c r="I751" s="188" t="str">
        <f t="shared" si="23"/>
        <v/>
      </c>
      <c r="J751" s="221"/>
    </row>
    <row r="752" spans="1:10" s="90" customFormat="1" ht="14.25" hidden="1" x14ac:dyDescent="0.3">
      <c r="A752" s="141"/>
      <c r="B752" s="160">
        <v>736</v>
      </c>
      <c r="C752" s="224"/>
      <c r="D752" s="213"/>
      <c r="E752" s="215"/>
      <c r="F752" s="214"/>
      <c r="G752" s="214"/>
      <c r="H752" s="74" t="str">
        <f t="shared" si="22"/>
        <v/>
      </c>
      <c r="I752" s="188" t="str">
        <f t="shared" si="23"/>
        <v/>
      </c>
      <c r="J752" s="221"/>
    </row>
    <row r="753" spans="1:10" s="90" customFormat="1" ht="14.25" hidden="1" x14ac:dyDescent="0.3">
      <c r="A753" s="141"/>
      <c r="B753" s="160">
        <v>737</v>
      </c>
      <c r="C753" s="224"/>
      <c r="D753" s="213"/>
      <c r="E753" s="215"/>
      <c r="F753" s="214"/>
      <c r="G753" s="214"/>
      <c r="H753" s="74" t="str">
        <f t="shared" si="22"/>
        <v/>
      </c>
      <c r="I753" s="188" t="str">
        <f t="shared" si="23"/>
        <v/>
      </c>
      <c r="J753" s="221"/>
    </row>
    <row r="754" spans="1:10" s="90" customFormat="1" ht="14.25" hidden="1" x14ac:dyDescent="0.3">
      <c r="A754" s="141"/>
      <c r="B754" s="160">
        <v>738</v>
      </c>
      <c r="C754" s="224"/>
      <c r="D754" s="216"/>
      <c r="E754" s="215"/>
      <c r="F754" s="217"/>
      <c r="G754" s="218"/>
      <c r="H754" s="74" t="str">
        <f t="shared" si="22"/>
        <v/>
      </c>
      <c r="I754" s="188" t="str">
        <f t="shared" si="23"/>
        <v/>
      </c>
      <c r="J754" s="221"/>
    </row>
    <row r="755" spans="1:10" s="90" customFormat="1" ht="14.25" hidden="1" x14ac:dyDescent="0.3">
      <c r="A755" s="141"/>
      <c r="B755" s="160">
        <v>739</v>
      </c>
      <c r="C755" s="224"/>
      <c r="D755" s="213"/>
      <c r="E755" s="215"/>
      <c r="F755" s="214"/>
      <c r="G755" s="214"/>
      <c r="H755" s="74" t="str">
        <f t="shared" si="22"/>
        <v/>
      </c>
      <c r="I755" s="188" t="str">
        <f t="shared" si="23"/>
        <v/>
      </c>
      <c r="J755" s="221"/>
    </row>
    <row r="756" spans="1:10" s="90" customFormat="1" ht="14.25" hidden="1" x14ac:dyDescent="0.3">
      <c r="A756" s="141"/>
      <c r="B756" s="160">
        <v>740</v>
      </c>
      <c r="C756" s="224"/>
      <c r="D756" s="213"/>
      <c r="E756" s="215"/>
      <c r="F756" s="214"/>
      <c r="G756" s="214"/>
      <c r="H756" s="74" t="str">
        <f t="shared" si="22"/>
        <v/>
      </c>
      <c r="I756" s="188" t="str">
        <f t="shared" si="23"/>
        <v/>
      </c>
      <c r="J756" s="221"/>
    </row>
    <row r="757" spans="1:10" s="90" customFormat="1" ht="14.25" hidden="1" x14ac:dyDescent="0.3">
      <c r="A757" s="141"/>
      <c r="B757" s="160">
        <v>741</v>
      </c>
      <c r="C757" s="224"/>
      <c r="D757" s="216"/>
      <c r="E757" s="215"/>
      <c r="F757" s="217"/>
      <c r="G757" s="218"/>
      <c r="H757" s="74" t="str">
        <f t="shared" si="22"/>
        <v/>
      </c>
      <c r="I757" s="188" t="str">
        <f t="shared" si="23"/>
        <v/>
      </c>
      <c r="J757" s="221"/>
    </row>
    <row r="758" spans="1:10" s="90" customFormat="1" ht="14.25" hidden="1" x14ac:dyDescent="0.3">
      <c r="A758" s="141"/>
      <c r="B758" s="160">
        <v>742</v>
      </c>
      <c r="C758" s="224"/>
      <c r="D758" s="213"/>
      <c r="E758" s="215"/>
      <c r="F758" s="214"/>
      <c r="G758" s="214"/>
      <c r="H758" s="74" t="str">
        <f t="shared" si="22"/>
        <v/>
      </c>
      <c r="I758" s="188" t="str">
        <f t="shared" si="23"/>
        <v/>
      </c>
      <c r="J758" s="221"/>
    </row>
    <row r="759" spans="1:10" s="90" customFormat="1" ht="14.25" hidden="1" x14ac:dyDescent="0.3">
      <c r="A759" s="141"/>
      <c r="B759" s="160">
        <v>743</v>
      </c>
      <c r="C759" s="224"/>
      <c r="D759" s="213"/>
      <c r="E759" s="215"/>
      <c r="F759" s="214"/>
      <c r="G759" s="214"/>
      <c r="H759" s="74" t="str">
        <f t="shared" si="22"/>
        <v/>
      </c>
      <c r="I759" s="188" t="str">
        <f t="shared" si="23"/>
        <v/>
      </c>
      <c r="J759" s="221"/>
    </row>
    <row r="760" spans="1:10" s="90" customFormat="1" ht="14.25" hidden="1" x14ac:dyDescent="0.3">
      <c r="A760" s="141"/>
      <c r="B760" s="160">
        <v>744</v>
      </c>
      <c r="C760" s="224"/>
      <c r="D760" s="216"/>
      <c r="E760" s="215"/>
      <c r="F760" s="217"/>
      <c r="G760" s="218"/>
      <c r="H760" s="74" t="str">
        <f t="shared" si="22"/>
        <v/>
      </c>
      <c r="I760" s="188" t="str">
        <f t="shared" si="23"/>
        <v/>
      </c>
      <c r="J760" s="221"/>
    </row>
    <row r="761" spans="1:10" s="90" customFormat="1" ht="14.25" hidden="1" x14ac:dyDescent="0.3">
      <c r="A761" s="141"/>
      <c r="B761" s="160">
        <v>745</v>
      </c>
      <c r="C761" s="224"/>
      <c r="D761" s="213"/>
      <c r="E761" s="215"/>
      <c r="F761" s="214"/>
      <c r="G761" s="214"/>
      <c r="H761" s="74" t="str">
        <f t="shared" si="22"/>
        <v/>
      </c>
      <c r="I761" s="188" t="str">
        <f t="shared" si="23"/>
        <v/>
      </c>
      <c r="J761" s="221"/>
    </row>
    <row r="762" spans="1:10" s="90" customFormat="1" ht="14.25" hidden="1" x14ac:dyDescent="0.3">
      <c r="A762" s="141"/>
      <c r="B762" s="160">
        <v>746</v>
      </c>
      <c r="C762" s="224"/>
      <c r="D762" s="213"/>
      <c r="E762" s="215"/>
      <c r="F762" s="214"/>
      <c r="G762" s="214"/>
      <c r="H762" s="74" t="str">
        <f t="shared" si="22"/>
        <v/>
      </c>
      <c r="I762" s="188" t="str">
        <f t="shared" si="23"/>
        <v/>
      </c>
      <c r="J762" s="221"/>
    </row>
    <row r="763" spans="1:10" s="90" customFormat="1" ht="14.25" hidden="1" x14ac:dyDescent="0.3">
      <c r="A763" s="141"/>
      <c r="B763" s="160">
        <v>747</v>
      </c>
      <c r="C763" s="224"/>
      <c r="D763" s="216"/>
      <c r="E763" s="215"/>
      <c r="F763" s="217"/>
      <c r="G763" s="218"/>
      <c r="H763" s="74" t="str">
        <f t="shared" si="22"/>
        <v/>
      </c>
      <c r="I763" s="188" t="str">
        <f t="shared" si="23"/>
        <v/>
      </c>
      <c r="J763" s="221"/>
    </row>
    <row r="764" spans="1:10" s="90" customFormat="1" ht="14.25" hidden="1" x14ac:dyDescent="0.3">
      <c r="A764" s="141"/>
      <c r="B764" s="160">
        <v>748</v>
      </c>
      <c r="C764" s="224"/>
      <c r="D764" s="213"/>
      <c r="E764" s="215"/>
      <c r="F764" s="214"/>
      <c r="G764" s="214"/>
      <c r="H764" s="74" t="str">
        <f t="shared" si="22"/>
        <v/>
      </c>
      <c r="I764" s="188" t="str">
        <f t="shared" si="23"/>
        <v/>
      </c>
      <c r="J764" s="221"/>
    </row>
    <row r="765" spans="1:10" s="90" customFormat="1" ht="14.25" hidden="1" x14ac:dyDescent="0.3">
      <c r="A765" s="141"/>
      <c r="B765" s="160">
        <v>749</v>
      </c>
      <c r="C765" s="224"/>
      <c r="D765" s="213"/>
      <c r="E765" s="215"/>
      <c r="F765" s="214"/>
      <c r="G765" s="214"/>
      <c r="H765" s="74" t="str">
        <f t="shared" si="22"/>
        <v/>
      </c>
      <c r="I765" s="188" t="str">
        <f t="shared" si="23"/>
        <v/>
      </c>
      <c r="J765" s="221"/>
    </row>
    <row r="766" spans="1:10" s="90" customFormat="1" ht="14.25" hidden="1" x14ac:dyDescent="0.3">
      <c r="A766" s="141"/>
      <c r="B766" s="160">
        <v>750</v>
      </c>
      <c r="C766" s="224"/>
      <c r="D766" s="216"/>
      <c r="E766" s="215"/>
      <c r="F766" s="217"/>
      <c r="G766" s="218"/>
      <c r="H766" s="74" t="str">
        <f t="shared" si="22"/>
        <v/>
      </c>
      <c r="I766" s="188" t="str">
        <f t="shared" si="23"/>
        <v/>
      </c>
      <c r="J766" s="221"/>
    </row>
    <row r="767" spans="1:10" s="90" customFormat="1" ht="14.25" hidden="1" x14ac:dyDescent="0.3">
      <c r="A767" s="141"/>
      <c r="B767" s="160">
        <v>751</v>
      </c>
      <c r="C767" s="224"/>
      <c r="D767" s="213"/>
      <c r="E767" s="215"/>
      <c r="F767" s="214"/>
      <c r="G767" s="214"/>
      <c r="H767" s="74" t="str">
        <f t="shared" si="22"/>
        <v/>
      </c>
      <c r="I767" s="188" t="str">
        <f t="shared" si="23"/>
        <v/>
      </c>
      <c r="J767" s="221"/>
    </row>
    <row r="768" spans="1:10" s="90" customFormat="1" ht="14.25" hidden="1" x14ac:dyDescent="0.3">
      <c r="A768" s="141"/>
      <c r="B768" s="160">
        <v>752</v>
      </c>
      <c r="C768" s="224"/>
      <c r="D768" s="213"/>
      <c r="E768" s="215"/>
      <c r="F768" s="214"/>
      <c r="G768" s="214"/>
      <c r="H768" s="74" t="str">
        <f t="shared" si="22"/>
        <v/>
      </c>
      <c r="I768" s="188" t="str">
        <f t="shared" si="23"/>
        <v/>
      </c>
      <c r="J768" s="221"/>
    </row>
    <row r="769" spans="1:10" s="90" customFormat="1" ht="14.25" hidden="1" x14ac:dyDescent="0.3">
      <c r="A769" s="141"/>
      <c r="B769" s="160">
        <v>753</v>
      </c>
      <c r="C769" s="224"/>
      <c r="D769" s="216"/>
      <c r="E769" s="215"/>
      <c r="F769" s="217"/>
      <c r="G769" s="218"/>
      <c r="H769" s="74" t="str">
        <f t="shared" si="22"/>
        <v/>
      </c>
      <c r="I769" s="188" t="str">
        <f t="shared" si="23"/>
        <v/>
      </c>
      <c r="J769" s="221"/>
    </row>
    <row r="770" spans="1:10" s="90" customFormat="1" ht="14.25" hidden="1" x14ac:dyDescent="0.3">
      <c r="A770" s="141"/>
      <c r="B770" s="160">
        <v>754</v>
      </c>
      <c r="C770" s="224"/>
      <c r="D770" s="213"/>
      <c r="E770" s="215"/>
      <c r="F770" s="214"/>
      <c r="G770" s="214"/>
      <c r="H770" s="74" t="str">
        <f t="shared" si="22"/>
        <v/>
      </c>
      <c r="I770" s="188" t="str">
        <f t="shared" si="23"/>
        <v/>
      </c>
      <c r="J770" s="221"/>
    </row>
    <row r="771" spans="1:10" s="90" customFormat="1" ht="14.25" hidden="1" x14ac:dyDescent="0.3">
      <c r="A771" s="141"/>
      <c r="B771" s="160">
        <v>755</v>
      </c>
      <c r="C771" s="224"/>
      <c r="D771" s="213"/>
      <c r="E771" s="215"/>
      <c r="F771" s="214"/>
      <c r="G771" s="214"/>
      <c r="H771" s="74" t="str">
        <f t="shared" si="22"/>
        <v/>
      </c>
      <c r="I771" s="188" t="str">
        <f t="shared" si="23"/>
        <v/>
      </c>
      <c r="J771" s="221"/>
    </row>
    <row r="772" spans="1:10" s="90" customFormat="1" ht="14.25" hidden="1" x14ac:dyDescent="0.3">
      <c r="A772" s="141"/>
      <c r="B772" s="160">
        <v>756</v>
      </c>
      <c r="C772" s="224"/>
      <c r="D772" s="216"/>
      <c r="E772" s="215"/>
      <c r="F772" s="217"/>
      <c r="G772" s="218"/>
      <c r="H772" s="74" t="str">
        <f t="shared" si="22"/>
        <v/>
      </c>
      <c r="I772" s="188" t="str">
        <f t="shared" si="23"/>
        <v/>
      </c>
      <c r="J772" s="221"/>
    </row>
    <row r="773" spans="1:10" s="90" customFormat="1" ht="14.25" hidden="1" x14ac:dyDescent="0.3">
      <c r="A773" s="141"/>
      <c r="B773" s="160">
        <v>757</v>
      </c>
      <c r="C773" s="224"/>
      <c r="D773" s="213"/>
      <c r="E773" s="215"/>
      <c r="F773" s="214"/>
      <c r="G773" s="214"/>
      <c r="H773" s="74" t="str">
        <f t="shared" si="22"/>
        <v/>
      </c>
      <c r="I773" s="188" t="str">
        <f t="shared" si="23"/>
        <v/>
      </c>
      <c r="J773" s="221"/>
    </row>
    <row r="774" spans="1:10" s="90" customFormat="1" ht="14.25" hidden="1" x14ac:dyDescent="0.3">
      <c r="A774" s="141"/>
      <c r="B774" s="160">
        <v>758</v>
      </c>
      <c r="C774" s="224"/>
      <c r="D774" s="213"/>
      <c r="E774" s="215"/>
      <c r="F774" s="214"/>
      <c r="G774" s="214"/>
      <c r="H774" s="74" t="str">
        <f t="shared" si="22"/>
        <v/>
      </c>
      <c r="I774" s="188" t="str">
        <f t="shared" si="23"/>
        <v/>
      </c>
      <c r="J774" s="221"/>
    </row>
    <row r="775" spans="1:10" s="90" customFormat="1" ht="14.25" hidden="1" x14ac:dyDescent="0.3">
      <c r="A775" s="141"/>
      <c r="B775" s="160">
        <v>759</v>
      </c>
      <c r="C775" s="224"/>
      <c r="D775" s="216"/>
      <c r="E775" s="215"/>
      <c r="F775" s="217"/>
      <c r="G775" s="218"/>
      <c r="H775" s="74" t="str">
        <f t="shared" si="22"/>
        <v/>
      </c>
      <c r="I775" s="188" t="str">
        <f t="shared" si="23"/>
        <v/>
      </c>
      <c r="J775" s="221"/>
    </row>
    <row r="776" spans="1:10" s="90" customFormat="1" ht="14.25" hidden="1" x14ac:dyDescent="0.3">
      <c r="A776" s="141"/>
      <c r="B776" s="160">
        <v>760</v>
      </c>
      <c r="C776" s="224"/>
      <c r="D776" s="213"/>
      <c r="E776" s="215"/>
      <c r="F776" s="214"/>
      <c r="G776" s="214"/>
      <c r="H776" s="74" t="str">
        <f t="shared" si="22"/>
        <v/>
      </c>
      <c r="I776" s="188" t="str">
        <f t="shared" si="23"/>
        <v/>
      </c>
      <c r="J776" s="221"/>
    </row>
    <row r="777" spans="1:10" s="90" customFormat="1" ht="14.25" hidden="1" x14ac:dyDescent="0.3">
      <c r="A777" s="141"/>
      <c r="B777" s="160">
        <v>761</v>
      </c>
      <c r="C777" s="224"/>
      <c r="D777" s="213"/>
      <c r="E777" s="215"/>
      <c r="F777" s="214"/>
      <c r="G777" s="214"/>
      <c r="H777" s="74" t="str">
        <f t="shared" si="22"/>
        <v/>
      </c>
      <c r="I777" s="188" t="str">
        <f t="shared" si="23"/>
        <v/>
      </c>
      <c r="J777" s="221"/>
    </row>
    <row r="778" spans="1:10" s="90" customFormat="1" ht="14.25" hidden="1" x14ac:dyDescent="0.3">
      <c r="A778" s="141"/>
      <c r="B778" s="160">
        <v>762</v>
      </c>
      <c r="C778" s="224"/>
      <c r="D778" s="216"/>
      <c r="E778" s="215"/>
      <c r="F778" s="217"/>
      <c r="G778" s="218"/>
      <c r="H778" s="74" t="str">
        <f t="shared" si="22"/>
        <v/>
      </c>
      <c r="I778" s="188" t="str">
        <f t="shared" si="23"/>
        <v/>
      </c>
      <c r="J778" s="221"/>
    </row>
    <row r="779" spans="1:10" s="90" customFormat="1" ht="14.25" hidden="1" x14ac:dyDescent="0.3">
      <c r="A779" s="141"/>
      <c r="B779" s="160">
        <v>763</v>
      </c>
      <c r="C779" s="224"/>
      <c r="D779" s="213"/>
      <c r="E779" s="215"/>
      <c r="F779" s="214"/>
      <c r="G779" s="214"/>
      <c r="H779" s="74" t="str">
        <f t="shared" si="22"/>
        <v/>
      </c>
      <c r="I779" s="188" t="str">
        <f t="shared" si="23"/>
        <v/>
      </c>
      <c r="J779" s="221"/>
    </row>
    <row r="780" spans="1:10" s="90" customFormat="1" ht="14.25" hidden="1" x14ac:dyDescent="0.3">
      <c r="A780" s="141"/>
      <c r="B780" s="160">
        <v>764</v>
      </c>
      <c r="C780" s="224"/>
      <c r="D780" s="213"/>
      <c r="E780" s="215"/>
      <c r="F780" s="214"/>
      <c r="G780" s="214"/>
      <c r="H780" s="74" t="str">
        <f t="shared" si="22"/>
        <v/>
      </c>
      <c r="I780" s="188" t="str">
        <f t="shared" si="23"/>
        <v/>
      </c>
      <c r="J780" s="221"/>
    </row>
    <row r="781" spans="1:10" s="90" customFormat="1" ht="14.25" hidden="1" x14ac:dyDescent="0.3">
      <c r="A781" s="141"/>
      <c r="B781" s="160">
        <v>765</v>
      </c>
      <c r="C781" s="224"/>
      <c r="D781" s="216"/>
      <c r="E781" s="215"/>
      <c r="F781" s="217"/>
      <c r="G781" s="218"/>
      <c r="H781" s="74" t="str">
        <f t="shared" si="22"/>
        <v/>
      </c>
      <c r="I781" s="188" t="str">
        <f t="shared" si="23"/>
        <v/>
      </c>
      <c r="J781" s="221"/>
    </row>
    <row r="782" spans="1:10" s="90" customFormat="1" ht="14.25" hidden="1" x14ac:dyDescent="0.3">
      <c r="A782" s="141"/>
      <c r="B782" s="160">
        <v>766</v>
      </c>
      <c r="C782" s="224"/>
      <c r="D782" s="213"/>
      <c r="E782" s="215"/>
      <c r="F782" s="214"/>
      <c r="G782" s="214"/>
      <c r="H782" s="74" t="str">
        <f t="shared" si="22"/>
        <v/>
      </c>
      <c r="I782" s="188" t="str">
        <f t="shared" si="23"/>
        <v/>
      </c>
      <c r="J782" s="221"/>
    </row>
    <row r="783" spans="1:10" s="90" customFormat="1" ht="14.25" hidden="1" x14ac:dyDescent="0.3">
      <c r="A783" s="141"/>
      <c r="B783" s="160">
        <v>767</v>
      </c>
      <c r="C783" s="224"/>
      <c r="D783" s="213"/>
      <c r="E783" s="215"/>
      <c r="F783" s="214"/>
      <c r="G783" s="214"/>
      <c r="H783" s="74" t="str">
        <f t="shared" si="22"/>
        <v/>
      </c>
      <c r="I783" s="188" t="str">
        <f t="shared" si="23"/>
        <v/>
      </c>
      <c r="J783" s="221"/>
    </row>
    <row r="784" spans="1:10" s="90" customFormat="1" ht="14.25" hidden="1" x14ac:dyDescent="0.3">
      <c r="A784" s="141"/>
      <c r="B784" s="160">
        <v>768</v>
      </c>
      <c r="C784" s="224"/>
      <c r="D784" s="216"/>
      <c r="E784" s="215"/>
      <c r="F784" s="217"/>
      <c r="G784" s="218"/>
      <c r="H784" s="74" t="str">
        <f t="shared" si="22"/>
        <v/>
      </c>
      <c r="I784" s="188" t="str">
        <f t="shared" si="23"/>
        <v/>
      </c>
      <c r="J784" s="221"/>
    </row>
    <row r="785" spans="1:10" s="90" customFormat="1" ht="14.25" hidden="1" x14ac:dyDescent="0.3">
      <c r="A785" s="141"/>
      <c r="B785" s="160">
        <v>769</v>
      </c>
      <c r="C785" s="224"/>
      <c r="D785" s="213"/>
      <c r="E785" s="215"/>
      <c r="F785" s="214"/>
      <c r="G785" s="214"/>
      <c r="H785" s="74" t="str">
        <f t="shared" si="22"/>
        <v/>
      </c>
      <c r="I785" s="188" t="str">
        <f t="shared" si="23"/>
        <v/>
      </c>
      <c r="J785" s="221"/>
    </row>
    <row r="786" spans="1:10" s="90" customFormat="1" ht="14.25" hidden="1" x14ac:dyDescent="0.3">
      <c r="A786" s="141"/>
      <c r="B786" s="160">
        <v>770</v>
      </c>
      <c r="C786" s="224"/>
      <c r="D786" s="213"/>
      <c r="E786" s="215"/>
      <c r="F786" s="214"/>
      <c r="G786" s="214"/>
      <c r="H786" s="74" t="str">
        <f t="shared" ref="H786:H849" si="24">ObterComplexidadeFuncao(E786,F786,G786)</f>
        <v/>
      </c>
      <c r="I786" s="188" t="str">
        <f t="shared" ref="I786:I849" si="25">ObterContribuicaoFuncao(E786,H786)</f>
        <v/>
      </c>
      <c r="J786" s="221"/>
    </row>
    <row r="787" spans="1:10" s="90" customFormat="1" ht="14.25" hidden="1" x14ac:dyDescent="0.3">
      <c r="A787" s="141"/>
      <c r="B787" s="160">
        <v>771</v>
      </c>
      <c r="C787" s="224"/>
      <c r="D787" s="216"/>
      <c r="E787" s="215"/>
      <c r="F787" s="217"/>
      <c r="G787" s="218"/>
      <c r="H787" s="74" t="str">
        <f t="shared" si="24"/>
        <v/>
      </c>
      <c r="I787" s="188" t="str">
        <f t="shared" si="25"/>
        <v/>
      </c>
      <c r="J787" s="221"/>
    </row>
    <row r="788" spans="1:10" s="90" customFormat="1" ht="14.25" hidden="1" x14ac:dyDescent="0.3">
      <c r="A788" s="141"/>
      <c r="B788" s="160">
        <v>772</v>
      </c>
      <c r="C788" s="224"/>
      <c r="D788" s="213"/>
      <c r="E788" s="215"/>
      <c r="F788" s="214"/>
      <c r="G788" s="214"/>
      <c r="H788" s="74" t="str">
        <f t="shared" si="24"/>
        <v/>
      </c>
      <c r="I788" s="188" t="str">
        <f t="shared" si="25"/>
        <v/>
      </c>
      <c r="J788" s="221"/>
    </row>
    <row r="789" spans="1:10" s="90" customFormat="1" ht="14.25" hidden="1" x14ac:dyDescent="0.3">
      <c r="A789" s="141"/>
      <c r="B789" s="160">
        <v>773</v>
      </c>
      <c r="C789" s="224"/>
      <c r="D789" s="213"/>
      <c r="E789" s="215"/>
      <c r="F789" s="214"/>
      <c r="G789" s="214"/>
      <c r="H789" s="74" t="str">
        <f t="shared" si="24"/>
        <v/>
      </c>
      <c r="I789" s="188" t="str">
        <f t="shared" si="25"/>
        <v/>
      </c>
      <c r="J789" s="221"/>
    </row>
    <row r="790" spans="1:10" s="90" customFormat="1" ht="14.25" hidden="1" x14ac:dyDescent="0.3">
      <c r="A790" s="141"/>
      <c r="B790" s="160">
        <v>774</v>
      </c>
      <c r="C790" s="224"/>
      <c r="D790" s="216"/>
      <c r="E790" s="215"/>
      <c r="F790" s="217"/>
      <c r="G790" s="218"/>
      <c r="H790" s="74" t="str">
        <f t="shared" si="24"/>
        <v/>
      </c>
      <c r="I790" s="188" t="str">
        <f t="shared" si="25"/>
        <v/>
      </c>
      <c r="J790" s="221"/>
    </row>
    <row r="791" spans="1:10" s="90" customFormat="1" ht="14.25" hidden="1" x14ac:dyDescent="0.3">
      <c r="A791" s="141"/>
      <c r="B791" s="160">
        <v>775</v>
      </c>
      <c r="C791" s="224"/>
      <c r="D791" s="213"/>
      <c r="E791" s="215"/>
      <c r="F791" s="214"/>
      <c r="G791" s="214"/>
      <c r="H791" s="74" t="str">
        <f t="shared" si="24"/>
        <v/>
      </c>
      <c r="I791" s="188" t="str">
        <f t="shared" si="25"/>
        <v/>
      </c>
      <c r="J791" s="221"/>
    </row>
    <row r="792" spans="1:10" s="90" customFormat="1" ht="14.25" hidden="1" x14ac:dyDescent="0.3">
      <c r="A792" s="141"/>
      <c r="B792" s="160">
        <v>776</v>
      </c>
      <c r="C792" s="224"/>
      <c r="D792" s="213"/>
      <c r="E792" s="215"/>
      <c r="F792" s="214"/>
      <c r="G792" s="214"/>
      <c r="H792" s="74" t="str">
        <f t="shared" si="24"/>
        <v/>
      </c>
      <c r="I792" s="188" t="str">
        <f t="shared" si="25"/>
        <v/>
      </c>
      <c r="J792" s="221"/>
    </row>
    <row r="793" spans="1:10" s="90" customFormat="1" ht="14.25" hidden="1" x14ac:dyDescent="0.3">
      <c r="A793" s="141"/>
      <c r="B793" s="160">
        <v>777</v>
      </c>
      <c r="C793" s="224"/>
      <c r="D793" s="216"/>
      <c r="E793" s="215"/>
      <c r="F793" s="217"/>
      <c r="G793" s="218"/>
      <c r="H793" s="74" t="str">
        <f t="shared" si="24"/>
        <v/>
      </c>
      <c r="I793" s="188" t="str">
        <f t="shared" si="25"/>
        <v/>
      </c>
      <c r="J793" s="221"/>
    </row>
    <row r="794" spans="1:10" s="90" customFormat="1" ht="14.25" hidden="1" x14ac:dyDescent="0.3">
      <c r="A794" s="141"/>
      <c r="B794" s="160">
        <v>778</v>
      </c>
      <c r="C794" s="224"/>
      <c r="D794" s="213"/>
      <c r="E794" s="215"/>
      <c r="F794" s="214"/>
      <c r="G794" s="214"/>
      <c r="H794" s="74" t="str">
        <f t="shared" si="24"/>
        <v/>
      </c>
      <c r="I794" s="188" t="str">
        <f t="shared" si="25"/>
        <v/>
      </c>
      <c r="J794" s="221"/>
    </row>
    <row r="795" spans="1:10" s="90" customFormat="1" ht="14.25" hidden="1" x14ac:dyDescent="0.3">
      <c r="A795" s="141"/>
      <c r="B795" s="160">
        <v>779</v>
      </c>
      <c r="C795" s="224"/>
      <c r="D795" s="213"/>
      <c r="E795" s="215"/>
      <c r="F795" s="214"/>
      <c r="G795" s="214"/>
      <c r="H795" s="74" t="str">
        <f t="shared" si="24"/>
        <v/>
      </c>
      <c r="I795" s="188" t="str">
        <f t="shared" si="25"/>
        <v/>
      </c>
      <c r="J795" s="221"/>
    </row>
    <row r="796" spans="1:10" s="90" customFormat="1" ht="14.25" hidden="1" x14ac:dyDescent="0.3">
      <c r="A796" s="141"/>
      <c r="B796" s="160">
        <v>780</v>
      </c>
      <c r="C796" s="224"/>
      <c r="D796" s="216"/>
      <c r="E796" s="215"/>
      <c r="F796" s="217"/>
      <c r="G796" s="218"/>
      <c r="H796" s="74" t="str">
        <f t="shared" si="24"/>
        <v/>
      </c>
      <c r="I796" s="188" t="str">
        <f t="shared" si="25"/>
        <v/>
      </c>
      <c r="J796" s="221"/>
    </row>
    <row r="797" spans="1:10" s="90" customFormat="1" ht="14.25" hidden="1" x14ac:dyDescent="0.3">
      <c r="A797" s="141"/>
      <c r="B797" s="160">
        <v>781</v>
      </c>
      <c r="C797" s="224"/>
      <c r="D797" s="213"/>
      <c r="E797" s="215"/>
      <c r="F797" s="214"/>
      <c r="G797" s="214"/>
      <c r="H797" s="74" t="str">
        <f t="shared" si="24"/>
        <v/>
      </c>
      <c r="I797" s="188" t="str">
        <f t="shared" si="25"/>
        <v/>
      </c>
      <c r="J797" s="221"/>
    </row>
    <row r="798" spans="1:10" s="90" customFormat="1" ht="14.25" hidden="1" x14ac:dyDescent="0.3">
      <c r="A798" s="141"/>
      <c r="B798" s="160">
        <v>782</v>
      </c>
      <c r="C798" s="224"/>
      <c r="D798" s="213"/>
      <c r="E798" s="215"/>
      <c r="F798" s="214"/>
      <c r="G798" s="214"/>
      <c r="H798" s="74" t="str">
        <f t="shared" si="24"/>
        <v/>
      </c>
      <c r="I798" s="188" t="str">
        <f t="shared" si="25"/>
        <v/>
      </c>
      <c r="J798" s="221"/>
    </row>
    <row r="799" spans="1:10" s="90" customFormat="1" ht="14.25" hidden="1" x14ac:dyDescent="0.3">
      <c r="A799" s="141"/>
      <c r="B799" s="160">
        <v>783</v>
      </c>
      <c r="C799" s="224"/>
      <c r="D799" s="216"/>
      <c r="E799" s="215"/>
      <c r="F799" s="217"/>
      <c r="G799" s="218"/>
      <c r="H799" s="74" t="str">
        <f t="shared" si="24"/>
        <v/>
      </c>
      <c r="I799" s="188" t="str">
        <f t="shared" si="25"/>
        <v/>
      </c>
      <c r="J799" s="221"/>
    </row>
    <row r="800" spans="1:10" s="90" customFormat="1" ht="14.25" hidden="1" x14ac:dyDescent="0.3">
      <c r="A800" s="141"/>
      <c r="B800" s="160">
        <v>784</v>
      </c>
      <c r="C800" s="224"/>
      <c r="D800" s="213"/>
      <c r="E800" s="215"/>
      <c r="F800" s="214"/>
      <c r="G800" s="214"/>
      <c r="H800" s="74" t="str">
        <f t="shared" si="24"/>
        <v/>
      </c>
      <c r="I800" s="188" t="str">
        <f t="shared" si="25"/>
        <v/>
      </c>
      <c r="J800" s="221"/>
    </row>
    <row r="801" spans="1:10" s="90" customFormat="1" ht="14.25" hidden="1" x14ac:dyDescent="0.3">
      <c r="A801" s="141"/>
      <c r="B801" s="160">
        <v>785</v>
      </c>
      <c r="C801" s="224"/>
      <c r="D801" s="213"/>
      <c r="E801" s="215"/>
      <c r="F801" s="214"/>
      <c r="G801" s="214"/>
      <c r="H801" s="74" t="str">
        <f t="shared" si="24"/>
        <v/>
      </c>
      <c r="I801" s="188" t="str">
        <f t="shared" si="25"/>
        <v/>
      </c>
      <c r="J801" s="221"/>
    </row>
    <row r="802" spans="1:10" s="90" customFormat="1" ht="14.25" hidden="1" x14ac:dyDescent="0.3">
      <c r="A802" s="141"/>
      <c r="B802" s="160">
        <v>786</v>
      </c>
      <c r="C802" s="224"/>
      <c r="D802" s="216"/>
      <c r="E802" s="215"/>
      <c r="F802" s="217"/>
      <c r="G802" s="218"/>
      <c r="H802" s="74" t="str">
        <f t="shared" si="24"/>
        <v/>
      </c>
      <c r="I802" s="188" t="str">
        <f t="shared" si="25"/>
        <v/>
      </c>
      <c r="J802" s="221"/>
    </row>
    <row r="803" spans="1:10" s="90" customFormat="1" ht="14.25" hidden="1" x14ac:dyDescent="0.3">
      <c r="A803" s="141"/>
      <c r="B803" s="160">
        <v>787</v>
      </c>
      <c r="C803" s="224"/>
      <c r="D803" s="213"/>
      <c r="E803" s="215"/>
      <c r="F803" s="214"/>
      <c r="G803" s="214"/>
      <c r="H803" s="74" t="str">
        <f t="shared" si="24"/>
        <v/>
      </c>
      <c r="I803" s="188" t="str">
        <f t="shared" si="25"/>
        <v/>
      </c>
      <c r="J803" s="221"/>
    </row>
    <row r="804" spans="1:10" s="90" customFormat="1" ht="14.25" hidden="1" x14ac:dyDescent="0.3">
      <c r="A804" s="141"/>
      <c r="B804" s="160">
        <v>788</v>
      </c>
      <c r="C804" s="224"/>
      <c r="D804" s="213"/>
      <c r="E804" s="215"/>
      <c r="F804" s="214"/>
      <c r="G804" s="214"/>
      <c r="H804" s="74" t="str">
        <f t="shared" si="24"/>
        <v/>
      </c>
      <c r="I804" s="188" t="str">
        <f t="shared" si="25"/>
        <v/>
      </c>
      <c r="J804" s="221"/>
    </row>
    <row r="805" spans="1:10" s="90" customFormat="1" ht="14.25" hidden="1" x14ac:dyDescent="0.3">
      <c r="A805" s="141"/>
      <c r="B805" s="160">
        <v>789</v>
      </c>
      <c r="C805" s="224"/>
      <c r="D805" s="216"/>
      <c r="E805" s="215"/>
      <c r="F805" s="217"/>
      <c r="G805" s="218"/>
      <c r="H805" s="74" t="str">
        <f t="shared" si="24"/>
        <v/>
      </c>
      <c r="I805" s="188" t="str">
        <f t="shared" si="25"/>
        <v/>
      </c>
      <c r="J805" s="221"/>
    </row>
    <row r="806" spans="1:10" s="90" customFormat="1" ht="14.25" hidden="1" x14ac:dyDescent="0.3">
      <c r="A806" s="141"/>
      <c r="B806" s="160">
        <v>790</v>
      </c>
      <c r="C806" s="224"/>
      <c r="D806" s="213"/>
      <c r="E806" s="215"/>
      <c r="F806" s="214"/>
      <c r="G806" s="214"/>
      <c r="H806" s="74" t="str">
        <f t="shared" si="24"/>
        <v/>
      </c>
      <c r="I806" s="188" t="str">
        <f t="shared" si="25"/>
        <v/>
      </c>
      <c r="J806" s="221"/>
    </row>
    <row r="807" spans="1:10" s="90" customFormat="1" ht="14.25" hidden="1" x14ac:dyDescent="0.3">
      <c r="A807" s="141"/>
      <c r="B807" s="160">
        <v>791</v>
      </c>
      <c r="C807" s="224"/>
      <c r="D807" s="213"/>
      <c r="E807" s="215"/>
      <c r="F807" s="214"/>
      <c r="G807" s="214"/>
      <c r="H807" s="74" t="str">
        <f t="shared" si="24"/>
        <v/>
      </c>
      <c r="I807" s="188" t="str">
        <f t="shared" si="25"/>
        <v/>
      </c>
      <c r="J807" s="221"/>
    </row>
    <row r="808" spans="1:10" s="90" customFormat="1" ht="14.25" hidden="1" x14ac:dyDescent="0.3">
      <c r="A808" s="141"/>
      <c r="B808" s="160">
        <v>792</v>
      </c>
      <c r="C808" s="224"/>
      <c r="D808" s="216"/>
      <c r="E808" s="215"/>
      <c r="F808" s="217"/>
      <c r="G808" s="218"/>
      <c r="H808" s="74" t="str">
        <f t="shared" si="24"/>
        <v/>
      </c>
      <c r="I808" s="188" t="str">
        <f t="shared" si="25"/>
        <v/>
      </c>
      <c r="J808" s="221"/>
    </row>
    <row r="809" spans="1:10" s="90" customFormat="1" ht="14.25" hidden="1" x14ac:dyDescent="0.3">
      <c r="A809" s="141"/>
      <c r="B809" s="160">
        <v>793</v>
      </c>
      <c r="C809" s="224"/>
      <c r="D809" s="213"/>
      <c r="E809" s="215"/>
      <c r="F809" s="214"/>
      <c r="G809" s="214"/>
      <c r="H809" s="74" t="str">
        <f t="shared" si="24"/>
        <v/>
      </c>
      <c r="I809" s="188" t="str">
        <f t="shared" si="25"/>
        <v/>
      </c>
      <c r="J809" s="221"/>
    </row>
    <row r="810" spans="1:10" s="90" customFormat="1" ht="14.25" hidden="1" x14ac:dyDescent="0.3">
      <c r="A810" s="141"/>
      <c r="B810" s="160">
        <v>794</v>
      </c>
      <c r="C810" s="224"/>
      <c r="D810" s="213"/>
      <c r="E810" s="215"/>
      <c r="F810" s="214"/>
      <c r="G810" s="214"/>
      <c r="H810" s="74" t="str">
        <f t="shared" si="24"/>
        <v/>
      </c>
      <c r="I810" s="188" t="str">
        <f t="shared" si="25"/>
        <v/>
      </c>
      <c r="J810" s="221"/>
    </row>
    <row r="811" spans="1:10" s="90" customFormat="1" ht="14.25" hidden="1" x14ac:dyDescent="0.3">
      <c r="A811" s="141"/>
      <c r="B811" s="160">
        <v>795</v>
      </c>
      <c r="C811" s="224"/>
      <c r="D811" s="216"/>
      <c r="E811" s="215"/>
      <c r="F811" s="217"/>
      <c r="G811" s="218"/>
      <c r="H811" s="74" t="str">
        <f t="shared" si="24"/>
        <v/>
      </c>
      <c r="I811" s="188" t="str">
        <f t="shared" si="25"/>
        <v/>
      </c>
      <c r="J811" s="221"/>
    </row>
    <row r="812" spans="1:10" s="90" customFormat="1" ht="14.25" hidden="1" x14ac:dyDescent="0.3">
      <c r="A812" s="141"/>
      <c r="B812" s="160">
        <v>796</v>
      </c>
      <c r="C812" s="224"/>
      <c r="D812" s="213"/>
      <c r="E812" s="215"/>
      <c r="F812" s="214"/>
      <c r="G812" s="214"/>
      <c r="H812" s="74" t="str">
        <f t="shared" si="24"/>
        <v/>
      </c>
      <c r="I812" s="188" t="str">
        <f t="shared" si="25"/>
        <v/>
      </c>
      <c r="J812" s="221"/>
    </row>
    <row r="813" spans="1:10" s="90" customFormat="1" ht="14.25" hidden="1" x14ac:dyDescent="0.3">
      <c r="A813" s="141"/>
      <c r="B813" s="160">
        <v>797</v>
      </c>
      <c r="C813" s="224"/>
      <c r="D813" s="213"/>
      <c r="E813" s="215"/>
      <c r="F813" s="214"/>
      <c r="G813" s="214"/>
      <c r="H813" s="74" t="str">
        <f t="shared" si="24"/>
        <v/>
      </c>
      <c r="I813" s="188" t="str">
        <f t="shared" si="25"/>
        <v/>
      </c>
      <c r="J813" s="221"/>
    </row>
    <row r="814" spans="1:10" s="90" customFormat="1" ht="14.25" hidden="1" x14ac:dyDescent="0.3">
      <c r="A814" s="141"/>
      <c r="B814" s="160">
        <v>798</v>
      </c>
      <c r="C814" s="224"/>
      <c r="D814" s="216"/>
      <c r="E814" s="215"/>
      <c r="F814" s="217"/>
      <c r="G814" s="218"/>
      <c r="H814" s="74" t="str">
        <f t="shared" si="24"/>
        <v/>
      </c>
      <c r="I814" s="188" t="str">
        <f t="shared" si="25"/>
        <v/>
      </c>
      <c r="J814" s="221"/>
    </row>
    <row r="815" spans="1:10" s="90" customFormat="1" ht="14.25" hidden="1" x14ac:dyDescent="0.3">
      <c r="A815" s="141"/>
      <c r="B815" s="160">
        <v>799</v>
      </c>
      <c r="C815" s="224"/>
      <c r="D815" s="213"/>
      <c r="E815" s="215"/>
      <c r="F815" s="214"/>
      <c r="G815" s="214"/>
      <c r="H815" s="74" t="str">
        <f t="shared" si="24"/>
        <v/>
      </c>
      <c r="I815" s="188" t="str">
        <f t="shared" si="25"/>
        <v/>
      </c>
      <c r="J815" s="221"/>
    </row>
    <row r="816" spans="1:10" s="90" customFormat="1" ht="14.25" hidden="1" x14ac:dyDescent="0.3">
      <c r="A816" s="141"/>
      <c r="B816" s="160">
        <v>800</v>
      </c>
      <c r="C816" s="224"/>
      <c r="D816" s="213"/>
      <c r="E816" s="215"/>
      <c r="F816" s="214"/>
      <c r="G816" s="214"/>
      <c r="H816" s="74" t="str">
        <f t="shared" si="24"/>
        <v/>
      </c>
      <c r="I816" s="188" t="str">
        <f t="shared" si="25"/>
        <v/>
      </c>
      <c r="J816" s="221"/>
    </row>
    <row r="817" spans="1:10" s="90" customFormat="1" ht="14.25" hidden="1" x14ac:dyDescent="0.3">
      <c r="A817" s="141"/>
      <c r="B817" s="160">
        <v>801</v>
      </c>
      <c r="C817" s="224"/>
      <c r="D817" s="216"/>
      <c r="E817" s="215"/>
      <c r="F817" s="217"/>
      <c r="G817" s="218"/>
      <c r="H817" s="74" t="str">
        <f t="shared" si="24"/>
        <v/>
      </c>
      <c r="I817" s="188" t="str">
        <f t="shared" si="25"/>
        <v/>
      </c>
      <c r="J817" s="221"/>
    </row>
    <row r="818" spans="1:10" s="90" customFormat="1" ht="14.25" hidden="1" x14ac:dyDescent="0.3">
      <c r="A818" s="141"/>
      <c r="B818" s="160">
        <v>802</v>
      </c>
      <c r="C818" s="224"/>
      <c r="D818" s="213"/>
      <c r="E818" s="215"/>
      <c r="F818" s="214"/>
      <c r="G818" s="214"/>
      <c r="H818" s="74" t="str">
        <f t="shared" si="24"/>
        <v/>
      </c>
      <c r="I818" s="188" t="str">
        <f t="shared" si="25"/>
        <v/>
      </c>
      <c r="J818" s="221"/>
    </row>
    <row r="819" spans="1:10" s="90" customFormat="1" ht="14.25" hidden="1" x14ac:dyDescent="0.3">
      <c r="A819" s="141"/>
      <c r="B819" s="160">
        <v>803</v>
      </c>
      <c r="C819" s="224"/>
      <c r="D819" s="213"/>
      <c r="E819" s="215"/>
      <c r="F819" s="214"/>
      <c r="G819" s="214"/>
      <c r="H819" s="74" t="str">
        <f t="shared" si="24"/>
        <v/>
      </c>
      <c r="I819" s="188" t="str">
        <f t="shared" si="25"/>
        <v/>
      </c>
      <c r="J819" s="221"/>
    </row>
    <row r="820" spans="1:10" s="90" customFormat="1" ht="14.25" hidden="1" x14ac:dyDescent="0.3">
      <c r="A820" s="141"/>
      <c r="B820" s="160">
        <v>804</v>
      </c>
      <c r="C820" s="224"/>
      <c r="D820" s="216"/>
      <c r="E820" s="215"/>
      <c r="F820" s="217"/>
      <c r="G820" s="218"/>
      <c r="H820" s="74" t="str">
        <f t="shared" si="24"/>
        <v/>
      </c>
      <c r="I820" s="188" t="str">
        <f t="shared" si="25"/>
        <v/>
      </c>
      <c r="J820" s="221"/>
    </row>
    <row r="821" spans="1:10" s="90" customFormat="1" ht="14.25" hidden="1" x14ac:dyDescent="0.3">
      <c r="A821" s="141"/>
      <c r="B821" s="160">
        <v>805</v>
      </c>
      <c r="C821" s="224"/>
      <c r="D821" s="213"/>
      <c r="E821" s="215"/>
      <c r="F821" s="214"/>
      <c r="G821" s="214"/>
      <c r="H821" s="74" t="str">
        <f t="shared" si="24"/>
        <v/>
      </c>
      <c r="I821" s="188" t="str">
        <f t="shared" si="25"/>
        <v/>
      </c>
      <c r="J821" s="221"/>
    </row>
    <row r="822" spans="1:10" s="90" customFormat="1" ht="14.25" hidden="1" x14ac:dyDescent="0.3">
      <c r="A822" s="141"/>
      <c r="B822" s="160">
        <v>806</v>
      </c>
      <c r="C822" s="224"/>
      <c r="D822" s="213"/>
      <c r="E822" s="215"/>
      <c r="F822" s="214"/>
      <c r="G822" s="214"/>
      <c r="H822" s="74" t="str">
        <f t="shared" si="24"/>
        <v/>
      </c>
      <c r="I822" s="188" t="str">
        <f t="shared" si="25"/>
        <v/>
      </c>
      <c r="J822" s="221"/>
    </row>
    <row r="823" spans="1:10" s="90" customFormat="1" ht="14.25" hidden="1" x14ac:dyDescent="0.3">
      <c r="A823" s="141"/>
      <c r="B823" s="160">
        <v>807</v>
      </c>
      <c r="C823" s="224"/>
      <c r="D823" s="216"/>
      <c r="E823" s="215"/>
      <c r="F823" s="217"/>
      <c r="G823" s="218"/>
      <c r="H823" s="74" t="str">
        <f t="shared" si="24"/>
        <v/>
      </c>
      <c r="I823" s="188" t="str">
        <f t="shared" si="25"/>
        <v/>
      </c>
      <c r="J823" s="221"/>
    </row>
    <row r="824" spans="1:10" s="90" customFormat="1" ht="14.25" hidden="1" x14ac:dyDescent="0.3">
      <c r="A824" s="141"/>
      <c r="B824" s="160">
        <v>808</v>
      </c>
      <c r="C824" s="224"/>
      <c r="D824" s="213"/>
      <c r="E824" s="215"/>
      <c r="F824" s="214"/>
      <c r="G824" s="214"/>
      <c r="H824" s="74" t="str">
        <f t="shared" si="24"/>
        <v/>
      </c>
      <c r="I824" s="188" t="str">
        <f t="shared" si="25"/>
        <v/>
      </c>
      <c r="J824" s="221"/>
    </row>
    <row r="825" spans="1:10" s="90" customFormat="1" ht="14.25" hidden="1" x14ac:dyDescent="0.3">
      <c r="A825" s="141"/>
      <c r="B825" s="160">
        <v>809</v>
      </c>
      <c r="C825" s="224"/>
      <c r="D825" s="213"/>
      <c r="E825" s="215"/>
      <c r="F825" s="214"/>
      <c r="G825" s="214"/>
      <c r="H825" s="74" t="str">
        <f t="shared" si="24"/>
        <v/>
      </c>
      <c r="I825" s="188" t="str">
        <f t="shared" si="25"/>
        <v/>
      </c>
      <c r="J825" s="221"/>
    </row>
    <row r="826" spans="1:10" s="90" customFormat="1" ht="14.25" hidden="1" x14ac:dyDescent="0.3">
      <c r="A826" s="141"/>
      <c r="B826" s="160">
        <v>810</v>
      </c>
      <c r="C826" s="224"/>
      <c r="D826" s="216"/>
      <c r="E826" s="215"/>
      <c r="F826" s="217"/>
      <c r="G826" s="218"/>
      <c r="H826" s="74" t="str">
        <f t="shared" si="24"/>
        <v/>
      </c>
      <c r="I826" s="188" t="str">
        <f t="shared" si="25"/>
        <v/>
      </c>
      <c r="J826" s="221"/>
    </row>
    <row r="827" spans="1:10" s="90" customFormat="1" ht="14.25" hidden="1" x14ac:dyDescent="0.3">
      <c r="A827" s="141"/>
      <c r="B827" s="160">
        <v>811</v>
      </c>
      <c r="C827" s="224"/>
      <c r="D827" s="213"/>
      <c r="E827" s="215"/>
      <c r="F827" s="214"/>
      <c r="G827" s="214"/>
      <c r="H827" s="74" t="str">
        <f t="shared" si="24"/>
        <v/>
      </c>
      <c r="I827" s="188" t="str">
        <f t="shared" si="25"/>
        <v/>
      </c>
      <c r="J827" s="221"/>
    </row>
    <row r="828" spans="1:10" s="90" customFormat="1" ht="14.25" hidden="1" x14ac:dyDescent="0.3">
      <c r="A828" s="141"/>
      <c r="B828" s="160">
        <v>812</v>
      </c>
      <c r="C828" s="224"/>
      <c r="D828" s="213"/>
      <c r="E828" s="215"/>
      <c r="F828" s="214"/>
      <c r="G828" s="214"/>
      <c r="H828" s="74" t="str">
        <f t="shared" si="24"/>
        <v/>
      </c>
      <c r="I828" s="188" t="str">
        <f t="shared" si="25"/>
        <v/>
      </c>
      <c r="J828" s="221"/>
    </row>
    <row r="829" spans="1:10" s="90" customFormat="1" ht="14.25" hidden="1" x14ac:dyDescent="0.3">
      <c r="A829" s="141"/>
      <c r="B829" s="160">
        <v>813</v>
      </c>
      <c r="C829" s="224"/>
      <c r="D829" s="216"/>
      <c r="E829" s="215"/>
      <c r="F829" s="217"/>
      <c r="G829" s="218"/>
      <c r="H829" s="74" t="str">
        <f t="shared" si="24"/>
        <v/>
      </c>
      <c r="I829" s="188" t="str">
        <f t="shared" si="25"/>
        <v/>
      </c>
      <c r="J829" s="221"/>
    </row>
    <row r="830" spans="1:10" s="90" customFormat="1" ht="14.25" hidden="1" x14ac:dyDescent="0.3">
      <c r="A830" s="141"/>
      <c r="B830" s="160">
        <v>814</v>
      </c>
      <c r="C830" s="224"/>
      <c r="D830" s="213"/>
      <c r="E830" s="215"/>
      <c r="F830" s="214"/>
      <c r="G830" s="214"/>
      <c r="H830" s="74" t="str">
        <f t="shared" si="24"/>
        <v/>
      </c>
      <c r="I830" s="188" t="str">
        <f t="shared" si="25"/>
        <v/>
      </c>
      <c r="J830" s="221"/>
    </row>
    <row r="831" spans="1:10" s="90" customFormat="1" ht="14.25" hidden="1" x14ac:dyDescent="0.3">
      <c r="A831" s="141"/>
      <c r="B831" s="160">
        <v>815</v>
      </c>
      <c r="C831" s="224"/>
      <c r="D831" s="213"/>
      <c r="E831" s="215"/>
      <c r="F831" s="214"/>
      <c r="G831" s="214"/>
      <c r="H831" s="74" t="str">
        <f t="shared" si="24"/>
        <v/>
      </c>
      <c r="I831" s="188" t="str">
        <f t="shared" si="25"/>
        <v/>
      </c>
      <c r="J831" s="221"/>
    </row>
    <row r="832" spans="1:10" s="90" customFormat="1" ht="14.25" hidden="1" x14ac:dyDescent="0.3">
      <c r="A832" s="141"/>
      <c r="B832" s="160">
        <v>816</v>
      </c>
      <c r="C832" s="224"/>
      <c r="D832" s="216"/>
      <c r="E832" s="215"/>
      <c r="F832" s="217"/>
      <c r="G832" s="218"/>
      <c r="H832" s="74" t="str">
        <f t="shared" si="24"/>
        <v/>
      </c>
      <c r="I832" s="188" t="str">
        <f t="shared" si="25"/>
        <v/>
      </c>
      <c r="J832" s="221"/>
    </row>
    <row r="833" spans="1:10" s="90" customFormat="1" ht="14.25" hidden="1" x14ac:dyDescent="0.3">
      <c r="A833" s="141"/>
      <c r="B833" s="160">
        <v>817</v>
      </c>
      <c r="C833" s="224"/>
      <c r="D833" s="213"/>
      <c r="E833" s="215"/>
      <c r="F833" s="214"/>
      <c r="G833" s="214"/>
      <c r="H833" s="74" t="str">
        <f t="shared" si="24"/>
        <v/>
      </c>
      <c r="I833" s="188" t="str">
        <f t="shared" si="25"/>
        <v/>
      </c>
      <c r="J833" s="221"/>
    </row>
    <row r="834" spans="1:10" s="90" customFormat="1" ht="14.25" hidden="1" x14ac:dyDescent="0.3">
      <c r="A834" s="141"/>
      <c r="B834" s="160">
        <v>818</v>
      </c>
      <c r="C834" s="224"/>
      <c r="D834" s="213"/>
      <c r="E834" s="215"/>
      <c r="F834" s="214"/>
      <c r="G834" s="214"/>
      <c r="H834" s="74" t="str">
        <f t="shared" si="24"/>
        <v/>
      </c>
      <c r="I834" s="188" t="str">
        <f t="shared" si="25"/>
        <v/>
      </c>
      <c r="J834" s="221"/>
    </row>
    <row r="835" spans="1:10" s="90" customFormat="1" ht="14.25" hidden="1" x14ac:dyDescent="0.3">
      <c r="A835" s="141"/>
      <c r="B835" s="160">
        <v>819</v>
      </c>
      <c r="C835" s="224"/>
      <c r="D835" s="216"/>
      <c r="E835" s="215"/>
      <c r="F835" s="217"/>
      <c r="G835" s="218"/>
      <c r="H835" s="74" t="str">
        <f t="shared" si="24"/>
        <v/>
      </c>
      <c r="I835" s="188" t="str">
        <f t="shared" si="25"/>
        <v/>
      </c>
      <c r="J835" s="221"/>
    </row>
    <row r="836" spans="1:10" s="90" customFormat="1" ht="14.25" hidden="1" x14ac:dyDescent="0.3">
      <c r="A836" s="141"/>
      <c r="B836" s="160">
        <v>820</v>
      </c>
      <c r="C836" s="224"/>
      <c r="D836" s="213"/>
      <c r="E836" s="215"/>
      <c r="F836" s="214"/>
      <c r="G836" s="214"/>
      <c r="H836" s="74" t="str">
        <f t="shared" si="24"/>
        <v/>
      </c>
      <c r="I836" s="188" t="str">
        <f t="shared" si="25"/>
        <v/>
      </c>
      <c r="J836" s="221"/>
    </row>
    <row r="837" spans="1:10" s="90" customFormat="1" ht="14.25" hidden="1" x14ac:dyDescent="0.3">
      <c r="A837" s="141"/>
      <c r="B837" s="160">
        <v>821</v>
      </c>
      <c r="C837" s="224"/>
      <c r="D837" s="213"/>
      <c r="E837" s="215"/>
      <c r="F837" s="214"/>
      <c r="G837" s="214"/>
      <c r="H837" s="74" t="str">
        <f t="shared" si="24"/>
        <v/>
      </c>
      <c r="I837" s="188" t="str">
        <f t="shared" si="25"/>
        <v/>
      </c>
      <c r="J837" s="221"/>
    </row>
    <row r="838" spans="1:10" s="90" customFormat="1" ht="14.25" hidden="1" x14ac:dyDescent="0.3">
      <c r="A838" s="141"/>
      <c r="B838" s="160">
        <v>822</v>
      </c>
      <c r="C838" s="224"/>
      <c r="D838" s="216"/>
      <c r="E838" s="215"/>
      <c r="F838" s="217"/>
      <c r="G838" s="218"/>
      <c r="H838" s="74" t="str">
        <f t="shared" si="24"/>
        <v/>
      </c>
      <c r="I838" s="188" t="str">
        <f t="shared" si="25"/>
        <v/>
      </c>
      <c r="J838" s="221"/>
    </row>
    <row r="839" spans="1:10" s="90" customFormat="1" ht="14.25" hidden="1" x14ac:dyDescent="0.3">
      <c r="A839" s="141"/>
      <c r="B839" s="160">
        <v>823</v>
      </c>
      <c r="C839" s="224"/>
      <c r="D839" s="213"/>
      <c r="E839" s="215"/>
      <c r="F839" s="214"/>
      <c r="G839" s="214"/>
      <c r="H839" s="74" t="str">
        <f t="shared" si="24"/>
        <v/>
      </c>
      <c r="I839" s="188" t="str">
        <f t="shared" si="25"/>
        <v/>
      </c>
      <c r="J839" s="221"/>
    </row>
    <row r="840" spans="1:10" s="90" customFormat="1" ht="14.25" hidden="1" x14ac:dyDescent="0.3">
      <c r="A840" s="141"/>
      <c r="B840" s="160">
        <v>824</v>
      </c>
      <c r="C840" s="224"/>
      <c r="D840" s="213"/>
      <c r="E840" s="215"/>
      <c r="F840" s="214"/>
      <c r="G840" s="214"/>
      <c r="H840" s="74" t="str">
        <f t="shared" si="24"/>
        <v/>
      </c>
      <c r="I840" s="188" t="str">
        <f t="shared" si="25"/>
        <v/>
      </c>
      <c r="J840" s="221"/>
    </row>
    <row r="841" spans="1:10" s="90" customFormat="1" ht="14.25" hidden="1" x14ac:dyDescent="0.3">
      <c r="A841" s="141"/>
      <c r="B841" s="160">
        <v>825</v>
      </c>
      <c r="C841" s="224"/>
      <c r="D841" s="216"/>
      <c r="E841" s="215"/>
      <c r="F841" s="217"/>
      <c r="G841" s="218"/>
      <c r="H841" s="74" t="str">
        <f t="shared" si="24"/>
        <v/>
      </c>
      <c r="I841" s="188" t="str">
        <f t="shared" si="25"/>
        <v/>
      </c>
      <c r="J841" s="221"/>
    </row>
    <row r="842" spans="1:10" s="90" customFormat="1" ht="14.25" hidden="1" x14ac:dyDescent="0.3">
      <c r="A842" s="141"/>
      <c r="B842" s="160">
        <v>826</v>
      </c>
      <c r="C842" s="224"/>
      <c r="D842" s="213"/>
      <c r="E842" s="215"/>
      <c r="F842" s="214"/>
      <c r="G842" s="214"/>
      <c r="H842" s="74" t="str">
        <f t="shared" si="24"/>
        <v/>
      </c>
      <c r="I842" s="188" t="str">
        <f t="shared" si="25"/>
        <v/>
      </c>
      <c r="J842" s="221"/>
    </row>
    <row r="843" spans="1:10" s="90" customFormat="1" ht="14.25" hidden="1" x14ac:dyDescent="0.3">
      <c r="A843" s="141"/>
      <c r="B843" s="160">
        <v>827</v>
      </c>
      <c r="C843" s="224"/>
      <c r="D843" s="213"/>
      <c r="E843" s="215"/>
      <c r="F843" s="214"/>
      <c r="G843" s="214"/>
      <c r="H843" s="74" t="str">
        <f t="shared" si="24"/>
        <v/>
      </c>
      <c r="I843" s="188" t="str">
        <f t="shared" si="25"/>
        <v/>
      </c>
      <c r="J843" s="221"/>
    </row>
    <row r="844" spans="1:10" s="90" customFormat="1" ht="14.25" hidden="1" x14ac:dyDescent="0.3">
      <c r="A844" s="141"/>
      <c r="B844" s="160">
        <v>828</v>
      </c>
      <c r="C844" s="224"/>
      <c r="D844" s="216"/>
      <c r="E844" s="215"/>
      <c r="F844" s="217"/>
      <c r="G844" s="218"/>
      <c r="H844" s="74" t="str">
        <f t="shared" si="24"/>
        <v/>
      </c>
      <c r="I844" s="188" t="str">
        <f t="shared" si="25"/>
        <v/>
      </c>
      <c r="J844" s="221"/>
    </row>
    <row r="845" spans="1:10" s="90" customFormat="1" ht="14.25" hidden="1" x14ac:dyDescent="0.3">
      <c r="A845" s="141"/>
      <c r="B845" s="160">
        <v>829</v>
      </c>
      <c r="C845" s="224"/>
      <c r="D845" s="213"/>
      <c r="E845" s="215"/>
      <c r="F845" s="214"/>
      <c r="G845" s="214"/>
      <c r="H845" s="74" t="str">
        <f t="shared" si="24"/>
        <v/>
      </c>
      <c r="I845" s="188" t="str">
        <f t="shared" si="25"/>
        <v/>
      </c>
      <c r="J845" s="221"/>
    </row>
    <row r="846" spans="1:10" s="90" customFormat="1" ht="14.25" hidden="1" x14ac:dyDescent="0.3">
      <c r="A846" s="141"/>
      <c r="B846" s="160">
        <v>830</v>
      </c>
      <c r="C846" s="224"/>
      <c r="D846" s="213"/>
      <c r="E846" s="215"/>
      <c r="F846" s="214"/>
      <c r="G846" s="214"/>
      <c r="H846" s="74" t="str">
        <f t="shared" si="24"/>
        <v/>
      </c>
      <c r="I846" s="188" t="str">
        <f t="shared" si="25"/>
        <v/>
      </c>
      <c r="J846" s="221"/>
    </row>
    <row r="847" spans="1:10" s="90" customFormat="1" ht="14.25" hidden="1" x14ac:dyDescent="0.3">
      <c r="A847" s="141"/>
      <c r="B847" s="160">
        <v>831</v>
      </c>
      <c r="C847" s="224"/>
      <c r="D847" s="216"/>
      <c r="E847" s="215"/>
      <c r="F847" s="217"/>
      <c r="G847" s="218"/>
      <c r="H847" s="74" t="str">
        <f t="shared" si="24"/>
        <v/>
      </c>
      <c r="I847" s="188" t="str">
        <f t="shared" si="25"/>
        <v/>
      </c>
      <c r="J847" s="221"/>
    </row>
    <row r="848" spans="1:10" s="90" customFormat="1" ht="14.25" hidden="1" x14ac:dyDescent="0.3">
      <c r="A848" s="141"/>
      <c r="B848" s="160">
        <v>832</v>
      </c>
      <c r="C848" s="224"/>
      <c r="D848" s="213"/>
      <c r="E848" s="215"/>
      <c r="F848" s="214"/>
      <c r="G848" s="214"/>
      <c r="H848" s="74" t="str">
        <f t="shared" si="24"/>
        <v/>
      </c>
      <c r="I848" s="188" t="str">
        <f t="shared" si="25"/>
        <v/>
      </c>
      <c r="J848" s="221"/>
    </row>
    <row r="849" spans="1:10" s="90" customFormat="1" ht="14.25" hidden="1" x14ac:dyDescent="0.3">
      <c r="A849" s="141"/>
      <c r="B849" s="160">
        <v>833</v>
      </c>
      <c r="C849" s="224"/>
      <c r="D849" s="213"/>
      <c r="E849" s="215"/>
      <c r="F849" s="214"/>
      <c r="G849" s="214"/>
      <c r="H849" s="74" t="str">
        <f t="shared" si="24"/>
        <v/>
      </c>
      <c r="I849" s="188" t="str">
        <f t="shared" si="25"/>
        <v/>
      </c>
      <c r="J849" s="221"/>
    </row>
    <row r="850" spans="1:10" s="90" customFormat="1" ht="14.25" hidden="1" x14ac:dyDescent="0.3">
      <c r="A850" s="141"/>
      <c r="B850" s="160">
        <v>834</v>
      </c>
      <c r="C850" s="224"/>
      <c r="D850" s="216"/>
      <c r="E850" s="215"/>
      <c r="F850" s="217"/>
      <c r="G850" s="218"/>
      <c r="H850" s="74" t="str">
        <f t="shared" ref="H850:H913" si="26">ObterComplexidadeFuncao(E850,F850,G850)</f>
        <v/>
      </c>
      <c r="I850" s="188" t="str">
        <f t="shared" ref="I850:I913" si="27">ObterContribuicaoFuncao(E850,H850)</f>
        <v/>
      </c>
      <c r="J850" s="221"/>
    </row>
    <row r="851" spans="1:10" s="90" customFormat="1" ht="14.25" hidden="1" x14ac:dyDescent="0.3">
      <c r="A851" s="141"/>
      <c r="B851" s="160">
        <v>835</v>
      </c>
      <c r="C851" s="224"/>
      <c r="D851" s="213"/>
      <c r="E851" s="215"/>
      <c r="F851" s="214"/>
      <c r="G851" s="214"/>
      <c r="H851" s="74" t="str">
        <f t="shared" si="26"/>
        <v/>
      </c>
      <c r="I851" s="188" t="str">
        <f t="shared" si="27"/>
        <v/>
      </c>
      <c r="J851" s="221"/>
    </row>
    <row r="852" spans="1:10" s="90" customFormat="1" ht="14.25" hidden="1" x14ac:dyDescent="0.3">
      <c r="A852" s="141"/>
      <c r="B852" s="160">
        <v>836</v>
      </c>
      <c r="C852" s="224"/>
      <c r="D852" s="213"/>
      <c r="E852" s="215"/>
      <c r="F852" s="214"/>
      <c r="G852" s="214"/>
      <c r="H852" s="74" t="str">
        <f t="shared" si="26"/>
        <v/>
      </c>
      <c r="I852" s="188" t="str">
        <f t="shared" si="27"/>
        <v/>
      </c>
      <c r="J852" s="221"/>
    </row>
    <row r="853" spans="1:10" s="90" customFormat="1" ht="14.25" hidden="1" x14ac:dyDescent="0.3">
      <c r="A853" s="141"/>
      <c r="B853" s="160">
        <v>837</v>
      </c>
      <c r="C853" s="224"/>
      <c r="D853" s="216"/>
      <c r="E853" s="215"/>
      <c r="F853" s="217"/>
      <c r="G853" s="218"/>
      <c r="H853" s="74" t="str">
        <f t="shared" si="26"/>
        <v/>
      </c>
      <c r="I853" s="188" t="str">
        <f t="shared" si="27"/>
        <v/>
      </c>
      <c r="J853" s="221"/>
    </row>
    <row r="854" spans="1:10" s="90" customFormat="1" ht="14.25" hidden="1" x14ac:dyDescent="0.3">
      <c r="A854" s="141"/>
      <c r="B854" s="160">
        <v>838</v>
      </c>
      <c r="C854" s="224"/>
      <c r="D854" s="213"/>
      <c r="E854" s="215"/>
      <c r="F854" s="214"/>
      <c r="G854" s="214"/>
      <c r="H854" s="74" t="str">
        <f t="shared" si="26"/>
        <v/>
      </c>
      <c r="I854" s="188" t="str">
        <f t="shared" si="27"/>
        <v/>
      </c>
      <c r="J854" s="221"/>
    </row>
    <row r="855" spans="1:10" s="90" customFormat="1" ht="14.25" hidden="1" x14ac:dyDescent="0.3">
      <c r="A855" s="141"/>
      <c r="B855" s="160">
        <v>839</v>
      </c>
      <c r="C855" s="224"/>
      <c r="D855" s="213"/>
      <c r="E855" s="215"/>
      <c r="F855" s="214"/>
      <c r="G855" s="214"/>
      <c r="H855" s="74" t="str">
        <f t="shared" si="26"/>
        <v/>
      </c>
      <c r="I855" s="188" t="str">
        <f t="shared" si="27"/>
        <v/>
      </c>
      <c r="J855" s="221"/>
    </row>
    <row r="856" spans="1:10" s="90" customFormat="1" ht="14.25" hidden="1" x14ac:dyDescent="0.3">
      <c r="A856" s="141"/>
      <c r="B856" s="160">
        <v>840</v>
      </c>
      <c r="C856" s="224"/>
      <c r="D856" s="216"/>
      <c r="E856" s="215"/>
      <c r="F856" s="217"/>
      <c r="G856" s="218"/>
      <c r="H856" s="74" t="str">
        <f t="shared" si="26"/>
        <v/>
      </c>
      <c r="I856" s="188" t="str">
        <f t="shared" si="27"/>
        <v/>
      </c>
      <c r="J856" s="221"/>
    </row>
    <row r="857" spans="1:10" s="90" customFormat="1" ht="14.25" hidden="1" x14ac:dyDescent="0.3">
      <c r="A857" s="141"/>
      <c r="B857" s="160">
        <v>841</v>
      </c>
      <c r="C857" s="224"/>
      <c r="D857" s="213"/>
      <c r="E857" s="215"/>
      <c r="F857" s="214"/>
      <c r="G857" s="214"/>
      <c r="H857" s="74" t="str">
        <f t="shared" si="26"/>
        <v/>
      </c>
      <c r="I857" s="188" t="str">
        <f t="shared" si="27"/>
        <v/>
      </c>
      <c r="J857" s="221"/>
    </row>
    <row r="858" spans="1:10" s="90" customFormat="1" ht="14.25" hidden="1" x14ac:dyDescent="0.3">
      <c r="A858" s="141"/>
      <c r="B858" s="160">
        <v>842</v>
      </c>
      <c r="C858" s="224"/>
      <c r="D858" s="213"/>
      <c r="E858" s="215"/>
      <c r="F858" s="214"/>
      <c r="G858" s="214"/>
      <c r="H858" s="74" t="str">
        <f t="shared" si="26"/>
        <v/>
      </c>
      <c r="I858" s="188" t="str">
        <f t="shared" si="27"/>
        <v/>
      </c>
      <c r="J858" s="221"/>
    </row>
    <row r="859" spans="1:10" s="90" customFormat="1" ht="14.25" hidden="1" x14ac:dyDescent="0.3">
      <c r="A859" s="141"/>
      <c r="B859" s="160">
        <v>843</v>
      </c>
      <c r="C859" s="224"/>
      <c r="D859" s="216"/>
      <c r="E859" s="215"/>
      <c r="F859" s="217"/>
      <c r="G859" s="218"/>
      <c r="H859" s="74" t="str">
        <f t="shared" si="26"/>
        <v/>
      </c>
      <c r="I859" s="188" t="str">
        <f t="shared" si="27"/>
        <v/>
      </c>
      <c r="J859" s="221"/>
    </row>
    <row r="860" spans="1:10" s="90" customFormat="1" ht="14.25" hidden="1" x14ac:dyDescent="0.3">
      <c r="A860" s="141"/>
      <c r="B860" s="160">
        <v>844</v>
      </c>
      <c r="C860" s="224"/>
      <c r="D860" s="213"/>
      <c r="E860" s="215"/>
      <c r="F860" s="214"/>
      <c r="G860" s="214"/>
      <c r="H860" s="74" t="str">
        <f t="shared" si="26"/>
        <v/>
      </c>
      <c r="I860" s="188" t="str">
        <f t="shared" si="27"/>
        <v/>
      </c>
      <c r="J860" s="221"/>
    </row>
    <row r="861" spans="1:10" s="90" customFormat="1" ht="14.25" hidden="1" x14ac:dyDescent="0.3">
      <c r="A861" s="141"/>
      <c r="B861" s="160">
        <v>845</v>
      </c>
      <c r="C861" s="224"/>
      <c r="D861" s="213"/>
      <c r="E861" s="215"/>
      <c r="F861" s="214"/>
      <c r="G861" s="214"/>
      <c r="H861" s="74" t="str">
        <f t="shared" si="26"/>
        <v/>
      </c>
      <c r="I861" s="188" t="str">
        <f t="shared" si="27"/>
        <v/>
      </c>
      <c r="J861" s="221"/>
    </row>
    <row r="862" spans="1:10" s="90" customFormat="1" ht="14.25" hidden="1" x14ac:dyDescent="0.3">
      <c r="A862" s="141"/>
      <c r="B862" s="160">
        <v>846</v>
      </c>
      <c r="C862" s="224"/>
      <c r="D862" s="216"/>
      <c r="E862" s="215"/>
      <c r="F862" s="217"/>
      <c r="G862" s="218"/>
      <c r="H862" s="74" t="str">
        <f t="shared" si="26"/>
        <v/>
      </c>
      <c r="I862" s="188" t="str">
        <f t="shared" si="27"/>
        <v/>
      </c>
      <c r="J862" s="221"/>
    </row>
    <row r="863" spans="1:10" s="90" customFormat="1" ht="14.25" hidden="1" x14ac:dyDescent="0.3">
      <c r="A863" s="141"/>
      <c r="B863" s="160">
        <v>847</v>
      </c>
      <c r="C863" s="224"/>
      <c r="D863" s="213"/>
      <c r="E863" s="215"/>
      <c r="F863" s="214"/>
      <c r="G863" s="214"/>
      <c r="H863" s="74" t="str">
        <f t="shared" si="26"/>
        <v/>
      </c>
      <c r="I863" s="188" t="str">
        <f t="shared" si="27"/>
        <v/>
      </c>
      <c r="J863" s="221"/>
    </row>
    <row r="864" spans="1:10" s="90" customFormat="1" ht="14.25" hidden="1" x14ac:dyDescent="0.3">
      <c r="A864" s="141"/>
      <c r="B864" s="160">
        <v>848</v>
      </c>
      <c r="C864" s="224"/>
      <c r="D864" s="213"/>
      <c r="E864" s="215"/>
      <c r="F864" s="214"/>
      <c r="G864" s="214"/>
      <c r="H864" s="74" t="str">
        <f t="shared" si="26"/>
        <v/>
      </c>
      <c r="I864" s="188" t="str">
        <f t="shared" si="27"/>
        <v/>
      </c>
      <c r="J864" s="221"/>
    </row>
    <row r="865" spans="1:10" s="90" customFormat="1" ht="14.25" hidden="1" x14ac:dyDescent="0.3">
      <c r="A865" s="141"/>
      <c r="B865" s="160">
        <v>849</v>
      </c>
      <c r="C865" s="224"/>
      <c r="D865" s="216"/>
      <c r="E865" s="215"/>
      <c r="F865" s="217"/>
      <c r="G865" s="218"/>
      <c r="H865" s="74" t="str">
        <f t="shared" si="26"/>
        <v/>
      </c>
      <c r="I865" s="188" t="str">
        <f t="shared" si="27"/>
        <v/>
      </c>
      <c r="J865" s="221"/>
    </row>
    <row r="866" spans="1:10" s="90" customFormat="1" ht="14.25" hidden="1" x14ac:dyDescent="0.3">
      <c r="A866" s="141"/>
      <c r="B866" s="160">
        <v>850</v>
      </c>
      <c r="C866" s="224"/>
      <c r="D866" s="213"/>
      <c r="E866" s="215"/>
      <c r="F866" s="214"/>
      <c r="G866" s="214"/>
      <c r="H866" s="74" t="str">
        <f t="shared" si="26"/>
        <v/>
      </c>
      <c r="I866" s="188" t="str">
        <f t="shared" si="27"/>
        <v/>
      </c>
      <c r="J866" s="221"/>
    </row>
    <row r="867" spans="1:10" s="90" customFormat="1" ht="14.25" hidden="1" x14ac:dyDescent="0.3">
      <c r="A867" s="141"/>
      <c r="B867" s="160">
        <v>851</v>
      </c>
      <c r="C867" s="224"/>
      <c r="D867" s="213"/>
      <c r="E867" s="215"/>
      <c r="F867" s="214"/>
      <c r="G867" s="214"/>
      <c r="H867" s="74" t="str">
        <f t="shared" si="26"/>
        <v/>
      </c>
      <c r="I867" s="188" t="str">
        <f t="shared" si="27"/>
        <v/>
      </c>
      <c r="J867" s="221"/>
    </row>
    <row r="868" spans="1:10" s="90" customFormat="1" ht="14.25" hidden="1" x14ac:dyDescent="0.3">
      <c r="A868" s="141"/>
      <c r="B868" s="160">
        <v>852</v>
      </c>
      <c r="C868" s="224"/>
      <c r="D868" s="216"/>
      <c r="E868" s="215"/>
      <c r="F868" s="217"/>
      <c r="G868" s="218"/>
      <c r="H868" s="74" t="str">
        <f t="shared" si="26"/>
        <v/>
      </c>
      <c r="I868" s="188" t="str">
        <f t="shared" si="27"/>
        <v/>
      </c>
      <c r="J868" s="221"/>
    </row>
    <row r="869" spans="1:10" s="90" customFormat="1" ht="14.25" hidden="1" x14ac:dyDescent="0.3">
      <c r="A869" s="141"/>
      <c r="B869" s="160">
        <v>853</v>
      </c>
      <c r="C869" s="224"/>
      <c r="D869" s="213"/>
      <c r="E869" s="215"/>
      <c r="F869" s="214"/>
      <c r="G869" s="214"/>
      <c r="H869" s="74" t="str">
        <f t="shared" si="26"/>
        <v/>
      </c>
      <c r="I869" s="188" t="str">
        <f t="shared" si="27"/>
        <v/>
      </c>
      <c r="J869" s="221"/>
    </row>
    <row r="870" spans="1:10" s="90" customFormat="1" ht="14.25" hidden="1" x14ac:dyDescent="0.3">
      <c r="A870" s="141"/>
      <c r="B870" s="160">
        <v>854</v>
      </c>
      <c r="C870" s="224"/>
      <c r="D870" s="213"/>
      <c r="E870" s="215"/>
      <c r="F870" s="214"/>
      <c r="G870" s="214"/>
      <c r="H870" s="74" t="str">
        <f t="shared" si="26"/>
        <v/>
      </c>
      <c r="I870" s="188" t="str">
        <f t="shared" si="27"/>
        <v/>
      </c>
      <c r="J870" s="221"/>
    </row>
    <row r="871" spans="1:10" s="90" customFormat="1" ht="14.25" hidden="1" x14ac:dyDescent="0.3">
      <c r="A871" s="141"/>
      <c r="B871" s="160">
        <v>855</v>
      </c>
      <c r="C871" s="224"/>
      <c r="D871" s="216"/>
      <c r="E871" s="215"/>
      <c r="F871" s="217"/>
      <c r="G871" s="218"/>
      <c r="H871" s="74" t="str">
        <f t="shared" si="26"/>
        <v/>
      </c>
      <c r="I871" s="188" t="str">
        <f t="shared" si="27"/>
        <v/>
      </c>
      <c r="J871" s="221"/>
    </row>
    <row r="872" spans="1:10" s="90" customFormat="1" ht="14.25" hidden="1" x14ac:dyDescent="0.3">
      <c r="A872" s="141"/>
      <c r="B872" s="160">
        <v>856</v>
      </c>
      <c r="C872" s="224"/>
      <c r="D872" s="213"/>
      <c r="E872" s="215"/>
      <c r="F872" s="214"/>
      <c r="G872" s="214"/>
      <c r="H872" s="74" t="str">
        <f t="shared" si="26"/>
        <v/>
      </c>
      <c r="I872" s="188" t="str">
        <f t="shared" si="27"/>
        <v/>
      </c>
      <c r="J872" s="221"/>
    </row>
    <row r="873" spans="1:10" s="90" customFormat="1" ht="14.25" hidden="1" x14ac:dyDescent="0.3">
      <c r="A873" s="141"/>
      <c r="B873" s="160">
        <v>857</v>
      </c>
      <c r="C873" s="224"/>
      <c r="D873" s="213"/>
      <c r="E873" s="215"/>
      <c r="F873" s="214"/>
      <c r="G873" s="214"/>
      <c r="H873" s="74" t="str">
        <f t="shared" si="26"/>
        <v/>
      </c>
      <c r="I873" s="188" t="str">
        <f t="shared" si="27"/>
        <v/>
      </c>
      <c r="J873" s="221"/>
    </row>
    <row r="874" spans="1:10" s="90" customFormat="1" ht="14.25" hidden="1" x14ac:dyDescent="0.3">
      <c r="A874" s="141"/>
      <c r="B874" s="160">
        <v>858</v>
      </c>
      <c r="C874" s="224"/>
      <c r="D874" s="216"/>
      <c r="E874" s="215"/>
      <c r="F874" s="217"/>
      <c r="G874" s="218"/>
      <c r="H874" s="74" t="str">
        <f t="shared" si="26"/>
        <v/>
      </c>
      <c r="I874" s="188" t="str">
        <f t="shared" si="27"/>
        <v/>
      </c>
      <c r="J874" s="221"/>
    </row>
    <row r="875" spans="1:10" s="90" customFormat="1" ht="14.25" hidden="1" x14ac:dyDescent="0.3">
      <c r="A875" s="141"/>
      <c r="B875" s="160">
        <v>859</v>
      </c>
      <c r="C875" s="224"/>
      <c r="D875" s="213"/>
      <c r="E875" s="215"/>
      <c r="F875" s="214"/>
      <c r="G875" s="214"/>
      <c r="H875" s="74" t="str">
        <f t="shared" si="26"/>
        <v/>
      </c>
      <c r="I875" s="188" t="str">
        <f t="shared" si="27"/>
        <v/>
      </c>
      <c r="J875" s="221"/>
    </row>
    <row r="876" spans="1:10" s="90" customFormat="1" ht="14.25" hidden="1" x14ac:dyDescent="0.3">
      <c r="A876" s="141"/>
      <c r="B876" s="160">
        <v>860</v>
      </c>
      <c r="C876" s="224"/>
      <c r="D876" s="213"/>
      <c r="E876" s="215"/>
      <c r="F876" s="214"/>
      <c r="G876" s="214"/>
      <c r="H876" s="74" t="str">
        <f t="shared" si="26"/>
        <v/>
      </c>
      <c r="I876" s="188" t="str">
        <f t="shared" si="27"/>
        <v/>
      </c>
      <c r="J876" s="221"/>
    </row>
    <row r="877" spans="1:10" s="90" customFormat="1" ht="14.25" hidden="1" x14ac:dyDescent="0.3">
      <c r="A877" s="141"/>
      <c r="B877" s="160">
        <v>861</v>
      </c>
      <c r="C877" s="224"/>
      <c r="D877" s="216"/>
      <c r="E877" s="215"/>
      <c r="F877" s="217"/>
      <c r="G877" s="218"/>
      <c r="H877" s="74" t="str">
        <f t="shared" si="26"/>
        <v/>
      </c>
      <c r="I877" s="188" t="str">
        <f t="shared" si="27"/>
        <v/>
      </c>
      <c r="J877" s="221"/>
    </row>
    <row r="878" spans="1:10" s="90" customFormat="1" ht="14.25" hidden="1" x14ac:dyDescent="0.3">
      <c r="A878" s="141"/>
      <c r="B878" s="160">
        <v>862</v>
      </c>
      <c r="C878" s="224"/>
      <c r="D878" s="213"/>
      <c r="E878" s="215"/>
      <c r="F878" s="214"/>
      <c r="G878" s="214"/>
      <c r="H878" s="74" t="str">
        <f t="shared" si="26"/>
        <v/>
      </c>
      <c r="I878" s="188" t="str">
        <f t="shared" si="27"/>
        <v/>
      </c>
      <c r="J878" s="221"/>
    </row>
    <row r="879" spans="1:10" s="90" customFormat="1" ht="14.25" hidden="1" x14ac:dyDescent="0.3">
      <c r="A879" s="141"/>
      <c r="B879" s="160">
        <v>863</v>
      </c>
      <c r="C879" s="224"/>
      <c r="D879" s="213"/>
      <c r="E879" s="215"/>
      <c r="F879" s="214"/>
      <c r="G879" s="214"/>
      <c r="H879" s="74" t="str">
        <f t="shared" si="26"/>
        <v/>
      </c>
      <c r="I879" s="188" t="str">
        <f t="shared" si="27"/>
        <v/>
      </c>
      <c r="J879" s="221"/>
    </row>
    <row r="880" spans="1:10" s="90" customFormat="1" ht="14.25" hidden="1" x14ac:dyDescent="0.3">
      <c r="A880" s="141"/>
      <c r="B880" s="160">
        <v>864</v>
      </c>
      <c r="C880" s="224"/>
      <c r="D880" s="216"/>
      <c r="E880" s="215"/>
      <c r="F880" s="217"/>
      <c r="G880" s="218"/>
      <c r="H880" s="74" t="str">
        <f t="shared" si="26"/>
        <v/>
      </c>
      <c r="I880" s="188" t="str">
        <f t="shared" si="27"/>
        <v/>
      </c>
      <c r="J880" s="221"/>
    </row>
    <row r="881" spans="1:10" s="90" customFormat="1" ht="14.25" hidden="1" x14ac:dyDescent="0.3">
      <c r="A881" s="141"/>
      <c r="B881" s="160">
        <v>865</v>
      </c>
      <c r="C881" s="224"/>
      <c r="D881" s="213"/>
      <c r="E881" s="215"/>
      <c r="F881" s="214"/>
      <c r="G881" s="214"/>
      <c r="H881" s="74" t="str">
        <f t="shared" si="26"/>
        <v/>
      </c>
      <c r="I881" s="188" t="str">
        <f t="shared" si="27"/>
        <v/>
      </c>
      <c r="J881" s="221"/>
    </row>
    <row r="882" spans="1:10" s="90" customFormat="1" ht="14.25" hidden="1" x14ac:dyDescent="0.3">
      <c r="A882" s="141"/>
      <c r="B882" s="160">
        <v>866</v>
      </c>
      <c r="C882" s="224"/>
      <c r="D882" s="213"/>
      <c r="E882" s="215"/>
      <c r="F882" s="214"/>
      <c r="G882" s="214"/>
      <c r="H882" s="74" t="str">
        <f t="shared" si="26"/>
        <v/>
      </c>
      <c r="I882" s="188" t="str">
        <f t="shared" si="27"/>
        <v/>
      </c>
      <c r="J882" s="221"/>
    </row>
    <row r="883" spans="1:10" s="90" customFormat="1" ht="14.25" hidden="1" x14ac:dyDescent="0.3">
      <c r="A883" s="141"/>
      <c r="B883" s="160">
        <v>867</v>
      </c>
      <c r="C883" s="224"/>
      <c r="D883" s="216"/>
      <c r="E883" s="215"/>
      <c r="F883" s="217"/>
      <c r="G883" s="218"/>
      <c r="H883" s="74" t="str">
        <f t="shared" si="26"/>
        <v/>
      </c>
      <c r="I883" s="188" t="str">
        <f t="shared" si="27"/>
        <v/>
      </c>
      <c r="J883" s="221"/>
    </row>
    <row r="884" spans="1:10" s="90" customFormat="1" ht="14.25" hidden="1" x14ac:dyDescent="0.3">
      <c r="A884" s="141"/>
      <c r="B884" s="160">
        <v>868</v>
      </c>
      <c r="C884" s="224"/>
      <c r="D884" s="213"/>
      <c r="E884" s="215"/>
      <c r="F884" s="214"/>
      <c r="G884" s="214"/>
      <c r="H884" s="74" t="str">
        <f t="shared" si="26"/>
        <v/>
      </c>
      <c r="I884" s="188" t="str">
        <f t="shared" si="27"/>
        <v/>
      </c>
      <c r="J884" s="221"/>
    </row>
    <row r="885" spans="1:10" s="90" customFormat="1" ht="14.25" hidden="1" x14ac:dyDescent="0.3">
      <c r="A885" s="141"/>
      <c r="B885" s="160">
        <v>869</v>
      </c>
      <c r="C885" s="224"/>
      <c r="D885" s="213"/>
      <c r="E885" s="215"/>
      <c r="F885" s="214"/>
      <c r="G885" s="214"/>
      <c r="H885" s="74" t="str">
        <f t="shared" si="26"/>
        <v/>
      </c>
      <c r="I885" s="188" t="str">
        <f t="shared" si="27"/>
        <v/>
      </c>
      <c r="J885" s="221"/>
    </row>
    <row r="886" spans="1:10" s="90" customFormat="1" ht="14.25" hidden="1" x14ac:dyDescent="0.3">
      <c r="A886" s="141"/>
      <c r="B886" s="160">
        <v>870</v>
      </c>
      <c r="C886" s="224"/>
      <c r="D886" s="216"/>
      <c r="E886" s="215"/>
      <c r="F886" s="217"/>
      <c r="G886" s="218"/>
      <c r="H886" s="74" t="str">
        <f t="shared" si="26"/>
        <v/>
      </c>
      <c r="I886" s="188" t="str">
        <f t="shared" si="27"/>
        <v/>
      </c>
      <c r="J886" s="221"/>
    </row>
    <row r="887" spans="1:10" s="90" customFormat="1" ht="14.25" hidden="1" x14ac:dyDescent="0.3">
      <c r="A887" s="141"/>
      <c r="B887" s="160">
        <v>871</v>
      </c>
      <c r="C887" s="224"/>
      <c r="D887" s="213"/>
      <c r="E887" s="215"/>
      <c r="F887" s="214"/>
      <c r="G887" s="214"/>
      <c r="H887" s="74" t="str">
        <f t="shared" si="26"/>
        <v/>
      </c>
      <c r="I887" s="188" t="str">
        <f t="shared" si="27"/>
        <v/>
      </c>
      <c r="J887" s="221"/>
    </row>
    <row r="888" spans="1:10" s="90" customFormat="1" ht="14.25" hidden="1" x14ac:dyDescent="0.3">
      <c r="A888" s="141"/>
      <c r="B888" s="160">
        <v>872</v>
      </c>
      <c r="C888" s="224"/>
      <c r="D888" s="213"/>
      <c r="E888" s="215"/>
      <c r="F888" s="214"/>
      <c r="G888" s="214"/>
      <c r="H888" s="74" t="str">
        <f t="shared" si="26"/>
        <v/>
      </c>
      <c r="I888" s="188" t="str">
        <f t="shared" si="27"/>
        <v/>
      </c>
      <c r="J888" s="221"/>
    </row>
    <row r="889" spans="1:10" s="90" customFormat="1" ht="14.25" hidden="1" x14ac:dyDescent="0.3">
      <c r="A889" s="141"/>
      <c r="B889" s="160">
        <v>873</v>
      </c>
      <c r="C889" s="224"/>
      <c r="D889" s="216"/>
      <c r="E889" s="215"/>
      <c r="F889" s="217"/>
      <c r="G889" s="218"/>
      <c r="H889" s="74" t="str">
        <f t="shared" si="26"/>
        <v/>
      </c>
      <c r="I889" s="188" t="str">
        <f t="shared" si="27"/>
        <v/>
      </c>
      <c r="J889" s="221"/>
    </row>
    <row r="890" spans="1:10" s="90" customFormat="1" ht="14.25" hidden="1" x14ac:dyDescent="0.3">
      <c r="A890" s="141"/>
      <c r="B890" s="160">
        <v>874</v>
      </c>
      <c r="C890" s="224"/>
      <c r="D890" s="213"/>
      <c r="E890" s="215"/>
      <c r="F890" s="214"/>
      <c r="G890" s="214"/>
      <c r="H890" s="74" t="str">
        <f t="shared" si="26"/>
        <v/>
      </c>
      <c r="I890" s="188" t="str">
        <f t="shared" si="27"/>
        <v/>
      </c>
      <c r="J890" s="221"/>
    </row>
    <row r="891" spans="1:10" s="90" customFormat="1" ht="14.25" hidden="1" x14ac:dyDescent="0.3">
      <c r="A891" s="141"/>
      <c r="B891" s="160">
        <v>875</v>
      </c>
      <c r="C891" s="224"/>
      <c r="D891" s="213"/>
      <c r="E891" s="215"/>
      <c r="F891" s="214"/>
      <c r="G891" s="214"/>
      <c r="H891" s="74" t="str">
        <f t="shared" si="26"/>
        <v/>
      </c>
      <c r="I891" s="188" t="str">
        <f t="shared" si="27"/>
        <v/>
      </c>
      <c r="J891" s="221"/>
    </row>
    <row r="892" spans="1:10" s="90" customFormat="1" ht="14.25" hidden="1" x14ac:dyDescent="0.3">
      <c r="A892" s="141"/>
      <c r="B892" s="160">
        <v>876</v>
      </c>
      <c r="C892" s="224"/>
      <c r="D892" s="216"/>
      <c r="E892" s="215"/>
      <c r="F892" s="217"/>
      <c r="G892" s="218"/>
      <c r="H892" s="74" t="str">
        <f t="shared" si="26"/>
        <v/>
      </c>
      <c r="I892" s="188" t="str">
        <f t="shared" si="27"/>
        <v/>
      </c>
      <c r="J892" s="221"/>
    </row>
    <row r="893" spans="1:10" s="90" customFormat="1" ht="14.25" hidden="1" x14ac:dyDescent="0.3">
      <c r="A893" s="141"/>
      <c r="B893" s="160">
        <v>877</v>
      </c>
      <c r="C893" s="224"/>
      <c r="D893" s="213"/>
      <c r="E893" s="215"/>
      <c r="F893" s="214"/>
      <c r="G893" s="214"/>
      <c r="H893" s="74" t="str">
        <f t="shared" si="26"/>
        <v/>
      </c>
      <c r="I893" s="188" t="str">
        <f t="shared" si="27"/>
        <v/>
      </c>
      <c r="J893" s="221"/>
    </row>
    <row r="894" spans="1:10" s="90" customFormat="1" ht="14.25" hidden="1" x14ac:dyDescent="0.3">
      <c r="A894" s="141"/>
      <c r="B894" s="160">
        <v>878</v>
      </c>
      <c r="C894" s="224"/>
      <c r="D894" s="213"/>
      <c r="E894" s="215"/>
      <c r="F894" s="214"/>
      <c r="G894" s="214"/>
      <c r="H894" s="74" t="str">
        <f t="shared" si="26"/>
        <v/>
      </c>
      <c r="I894" s="188" t="str">
        <f t="shared" si="27"/>
        <v/>
      </c>
      <c r="J894" s="221"/>
    </row>
    <row r="895" spans="1:10" s="90" customFormat="1" ht="14.25" hidden="1" x14ac:dyDescent="0.3">
      <c r="A895" s="141"/>
      <c r="B895" s="160">
        <v>879</v>
      </c>
      <c r="C895" s="224"/>
      <c r="D895" s="216"/>
      <c r="E895" s="215"/>
      <c r="F895" s="217"/>
      <c r="G895" s="218"/>
      <c r="H895" s="74" t="str">
        <f t="shared" si="26"/>
        <v/>
      </c>
      <c r="I895" s="188" t="str">
        <f t="shared" si="27"/>
        <v/>
      </c>
      <c r="J895" s="221"/>
    </row>
    <row r="896" spans="1:10" s="90" customFormat="1" ht="14.25" hidden="1" x14ac:dyDescent="0.3">
      <c r="A896" s="141"/>
      <c r="B896" s="160">
        <v>880</v>
      </c>
      <c r="C896" s="224"/>
      <c r="D896" s="213"/>
      <c r="E896" s="215"/>
      <c r="F896" s="214"/>
      <c r="G896" s="214"/>
      <c r="H896" s="74" t="str">
        <f t="shared" si="26"/>
        <v/>
      </c>
      <c r="I896" s="188" t="str">
        <f t="shared" si="27"/>
        <v/>
      </c>
      <c r="J896" s="221"/>
    </row>
    <row r="897" spans="1:10" s="90" customFormat="1" ht="14.25" hidden="1" x14ac:dyDescent="0.3">
      <c r="A897" s="141"/>
      <c r="B897" s="160">
        <v>881</v>
      </c>
      <c r="C897" s="224"/>
      <c r="D897" s="213"/>
      <c r="E897" s="215"/>
      <c r="F897" s="214"/>
      <c r="G897" s="214"/>
      <c r="H897" s="74" t="str">
        <f t="shared" si="26"/>
        <v/>
      </c>
      <c r="I897" s="188" t="str">
        <f t="shared" si="27"/>
        <v/>
      </c>
      <c r="J897" s="221"/>
    </row>
    <row r="898" spans="1:10" s="90" customFormat="1" ht="14.25" hidden="1" x14ac:dyDescent="0.3">
      <c r="A898" s="141"/>
      <c r="B898" s="160">
        <v>882</v>
      </c>
      <c r="C898" s="224"/>
      <c r="D898" s="216"/>
      <c r="E898" s="215"/>
      <c r="F898" s="217"/>
      <c r="G898" s="218"/>
      <c r="H898" s="74" t="str">
        <f t="shared" si="26"/>
        <v/>
      </c>
      <c r="I898" s="188" t="str">
        <f t="shared" si="27"/>
        <v/>
      </c>
      <c r="J898" s="221"/>
    </row>
    <row r="899" spans="1:10" s="90" customFormat="1" ht="14.25" hidden="1" x14ac:dyDescent="0.3">
      <c r="A899" s="141"/>
      <c r="B899" s="160">
        <v>883</v>
      </c>
      <c r="C899" s="224"/>
      <c r="D899" s="213"/>
      <c r="E899" s="215"/>
      <c r="F899" s="214"/>
      <c r="G899" s="214"/>
      <c r="H899" s="74" t="str">
        <f t="shared" si="26"/>
        <v/>
      </c>
      <c r="I899" s="188" t="str">
        <f t="shared" si="27"/>
        <v/>
      </c>
      <c r="J899" s="221"/>
    </row>
    <row r="900" spans="1:10" s="90" customFormat="1" ht="14.25" hidden="1" x14ac:dyDescent="0.3">
      <c r="A900" s="141"/>
      <c r="B900" s="160">
        <v>884</v>
      </c>
      <c r="C900" s="224"/>
      <c r="D900" s="213"/>
      <c r="E900" s="215"/>
      <c r="F900" s="214"/>
      <c r="G900" s="214"/>
      <c r="H900" s="74" t="str">
        <f t="shared" si="26"/>
        <v/>
      </c>
      <c r="I900" s="188" t="str">
        <f t="shared" si="27"/>
        <v/>
      </c>
      <c r="J900" s="221"/>
    </row>
    <row r="901" spans="1:10" s="90" customFormat="1" ht="14.25" hidden="1" x14ac:dyDescent="0.3">
      <c r="A901" s="141"/>
      <c r="B901" s="160">
        <v>885</v>
      </c>
      <c r="C901" s="224"/>
      <c r="D901" s="216"/>
      <c r="E901" s="215"/>
      <c r="F901" s="217"/>
      <c r="G901" s="218"/>
      <c r="H901" s="74" t="str">
        <f t="shared" si="26"/>
        <v/>
      </c>
      <c r="I901" s="188" t="str">
        <f t="shared" si="27"/>
        <v/>
      </c>
      <c r="J901" s="221"/>
    </row>
    <row r="902" spans="1:10" s="90" customFormat="1" ht="14.25" hidden="1" x14ac:dyDescent="0.3">
      <c r="A902" s="141"/>
      <c r="B902" s="160">
        <v>886</v>
      </c>
      <c r="C902" s="224"/>
      <c r="D902" s="213"/>
      <c r="E902" s="215"/>
      <c r="F902" s="214"/>
      <c r="G902" s="214"/>
      <c r="H902" s="74" t="str">
        <f t="shared" si="26"/>
        <v/>
      </c>
      <c r="I902" s="188" t="str">
        <f t="shared" si="27"/>
        <v/>
      </c>
      <c r="J902" s="221"/>
    </row>
    <row r="903" spans="1:10" s="90" customFormat="1" ht="14.25" hidden="1" x14ac:dyDescent="0.3">
      <c r="A903" s="141"/>
      <c r="B903" s="160">
        <v>887</v>
      </c>
      <c r="C903" s="224"/>
      <c r="D903" s="213"/>
      <c r="E903" s="215"/>
      <c r="F903" s="214"/>
      <c r="G903" s="214"/>
      <c r="H903" s="74" t="str">
        <f t="shared" si="26"/>
        <v/>
      </c>
      <c r="I903" s="188" t="str">
        <f t="shared" si="27"/>
        <v/>
      </c>
      <c r="J903" s="221"/>
    </row>
    <row r="904" spans="1:10" s="90" customFormat="1" ht="14.25" hidden="1" x14ac:dyDescent="0.3">
      <c r="A904" s="141"/>
      <c r="B904" s="160">
        <v>888</v>
      </c>
      <c r="C904" s="224"/>
      <c r="D904" s="216"/>
      <c r="E904" s="215"/>
      <c r="F904" s="217"/>
      <c r="G904" s="218"/>
      <c r="H904" s="74" t="str">
        <f t="shared" si="26"/>
        <v/>
      </c>
      <c r="I904" s="188" t="str">
        <f t="shared" si="27"/>
        <v/>
      </c>
      <c r="J904" s="221"/>
    </row>
    <row r="905" spans="1:10" s="90" customFormat="1" ht="14.25" hidden="1" x14ac:dyDescent="0.3">
      <c r="A905" s="141"/>
      <c r="B905" s="160">
        <v>889</v>
      </c>
      <c r="C905" s="224"/>
      <c r="D905" s="213"/>
      <c r="E905" s="215"/>
      <c r="F905" s="214"/>
      <c r="G905" s="214"/>
      <c r="H905" s="74" t="str">
        <f t="shared" si="26"/>
        <v/>
      </c>
      <c r="I905" s="188" t="str">
        <f t="shared" si="27"/>
        <v/>
      </c>
      <c r="J905" s="221"/>
    </row>
    <row r="906" spans="1:10" s="90" customFormat="1" ht="14.25" hidden="1" x14ac:dyDescent="0.3">
      <c r="A906" s="141"/>
      <c r="B906" s="160">
        <v>890</v>
      </c>
      <c r="C906" s="224"/>
      <c r="D906" s="213"/>
      <c r="E906" s="215"/>
      <c r="F906" s="214"/>
      <c r="G906" s="214"/>
      <c r="H906" s="74" t="str">
        <f t="shared" si="26"/>
        <v/>
      </c>
      <c r="I906" s="188" t="str">
        <f t="shared" si="27"/>
        <v/>
      </c>
      <c r="J906" s="221"/>
    </row>
    <row r="907" spans="1:10" s="90" customFormat="1" ht="14.25" hidden="1" x14ac:dyDescent="0.3">
      <c r="A907" s="141"/>
      <c r="B907" s="160">
        <v>891</v>
      </c>
      <c r="C907" s="224"/>
      <c r="D907" s="216"/>
      <c r="E907" s="215"/>
      <c r="F907" s="217"/>
      <c r="G907" s="218"/>
      <c r="H907" s="74" t="str">
        <f t="shared" si="26"/>
        <v/>
      </c>
      <c r="I907" s="188" t="str">
        <f t="shared" si="27"/>
        <v/>
      </c>
      <c r="J907" s="221"/>
    </row>
    <row r="908" spans="1:10" s="90" customFormat="1" ht="14.25" hidden="1" x14ac:dyDescent="0.3">
      <c r="A908" s="141"/>
      <c r="B908" s="160">
        <v>892</v>
      </c>
      <c r="C908" s="224"/>
      <c r="D908" s="213"/>
      <c r="E908" s="215"/>
      <c r="F908" s="214"/>
      <c r="G908" s="214"/>
      <c r="H908" s="74" t="str">
        <f t="shared" si="26"/>
        <v/>
      </c>
      <c r="I908" s="188" t="str">
        <f t="shared" si="27"/>
        <v/>
      </c>
      <c r="J908" s="221"/>
    </row>
    <row r="909" spans="1:10" s="90" customFormat="1" ht="14.25" hidden="1" x14ac:dyDescent="0.3">
      <c r="A909" s="141"/>
      <c r="B909" s="160">
        <v>893</v>
      </c>
      <c r="C909" s="224"/>
      <c r="D909" s="213"/>
      <c r="E909" s="215"/>
      <c r="F909" s="214"/>
      <c r="G909" s="214"/>
      <c r="H909" s="74" t="str">
        <f t="shared" si="26"/>
        <v/>
      </c>
      <c r="I909" s="188" t="str">
        <f t="shared" si="27"/>
        <v/>
      </c>
      <c r="J909" s="221"/>
    </row>
    <row r="910" spans="1:10" s="90" customFormat="1" ht="14.25" hidden="1" x14ac:dyDescent="0.3">
      <c r="A910" s="141"/>
      <c r="B910" s="160">
        <v>894</v>
      </c>
      <c r="C910" s="224"/>
      <c r="D910" s="216"/>
      <c r="E910" s="215"/>
      <c r="F910" s="217"/>
      <c r="G910" s="218"/>
      <c r="H910" s="74" t="str">
        <f t="shared" si="26"/>
        <v/>
      </c>
      <c r="I910" s="188" t="str">
        <f t="shared" si="27"/>
        <v/>
      </c>
      <c r="J910" s="221"/>
    </row>
    <row r="911" spans="1:10" s="90" customFormat="1" ht="14.25" hidden="1" x14ac:dyDescent="0.3">
      <c r="A911" s="141"/>
      <c r="B911" s="160">
        <v>895</v>
      </c>
      <c r="C911" s="224"/>
      <c r="D911" s="213"/>
      <c r="E911" s="215"/>
      <c r="F911" s="214"/>
      <c r="G911" s="214"/>
      <c r="H911" s="74" t="str">
        <f t="shared" si="26"/>
        <v/>
      </c>
      <c r="I911" s="188" t="str">
        <f t="shared" si="27"/>
        <v/>
      </c>
      <c r="J911" s="221"/>
    </row>
    <row r="912" spans="1:10" s="90" customFormat="1" ht="14.25" hidden="1" x14ac:dyDescent="0.3">
      <c r="A912" s="141"/>
      <c r="B912" s="160">
        <v>896</v>
      </c>
      <c r="C912" s="224"/>
      <c r="D912" s="213"/>
      <c r="E912" s="215"/>
      <c r="F912" s="214"/>
      <c r="G912" s="214"/>
      <c r="H912" s="74" t="str">
        <f t="shared" si="26"/>
        <v/>
      </c>
      <c r="I912" s="188" t="str">
        <f t="shared" si="27"/>
        <v/>
      </c>
      <c r="J912" s="221"/>
    </row>
    <row r="913" spans="1:10" s="90" customFormat="1" ht="14.25" hidden="1" x14ac:dyDescent="0.3">
      <c r="A913" s="141"/>
      <c r="B913" s="160">
        <v>897</v>
      </c>
      <c r="C913" s="224"/>
      <c r="D913" s="216"/>
      <c r="E913" s="215"/>
      <c r="F913" s="217"/>
      <c r="G913" s="218"/>
      <c r="H913" s="74" t="str">
        <f t="shared" si="26"/>
        <v/>
      </c>
      <c r="I913" s="188" t="str">
        <f t="shared" si="27"/>
        <v/>
      </c>
      <c r="J913" s="221"/>
    </row>
    <row r="914" spans="1:10" s="90" customFormat="1" ht="14.25" hidden="1" x14ac:dyDescent="0.3">
      <c r="A914" s="141"/>
      <c r="B914" s="160">
        <v>898</v>
      </c>
      <c r="C914" s="224"/>
      <c r="D914" s="213"/>
      <c r="E914" s="215"/>
      <c r="F914" s="214"/>
      <c r="G914" s="214"/>
      <c r="H914" s="74" t="str">
        <f t="shared" ref="H914:H977" si="28">ObterComplexidadeFuncao(E914,F914,G914)</f>
        <v/>
      </c>
      <c r="I914" s="188" t="str">
        <f t="shared" ref="I914:I977" si="29">ObterContribuicaoFuncao(E914,H914)</f>
        <v/>
      </c>
      <c r="J914" s="221"/>
    </row>
    <row r="915" spans="1:10" s="90" customFormat="1" ht="14.25" hidden="1" x14ac:dyDescent="0.3">
      <c r="A915" s="141"/>
      <c r="B915" s="160">
        <v>899</v>
      </c>
      <c r="C915" s="224"/>
      <c r="D915" s="213"/>
      <c r="E915" s="215"/>
      <c r="F915" s="214"/>
      <c r="G915" s="214"/>
      <c r="H915" s="74" t="str">
        <f t="shared" si="28"/>
        <v/>
      </c>
      <c r="I915" s="188" t="str">
        <f t="shared" si="29"/>
        <v/>
      </c>
      <c r="J915" s="221"/>
    </row>
    <row r="916" spans="1:10" s="90" customFormat="1" ht="14.25" hidden="1" x14ac:dyDescent="0.3">
      <c r="A916" s="141"/>
      <c r="B916" s="160">
        <v>900</v>
      </c>
      <c r="C916" s="224"/>
      <c r="D916" s="216"/>
      <c r="E916" s="215"/>
      <c r="F916" s="217"/>
      <c r="G916" s="218"/>
      <c r="H916" s="74" t="str">
        <f t="shared" si="28"/>
        <v/>
      </c>
      <c r="I916" s="188" t="str">
        <f t="shared" si="29"/>
        <v/>
      </c>
      <c r="J916" s="221"/>
    </row>
    <row r="917" spans="1:10" s="90" customFormat="1" ht="14.25" hidden="1" x14ac:dyDescent="0.3">
      <c r="A917" s="141"/>
      <c r="B917" s="160">
        <v>901</v>
      </c>
      <c r="C917" s="224"/>
      <c r="D917" s="213"/>
      <c r="E917" s="215"/>
      <c r="F917" s="214"/>
      <c r="G917" s="214"/>
      <c r="H917" s="74" t="str">
        <f t="shared" si="28"/>
        <v/>
      </c>
      <c r="I917" s="188" t="str">
        <f t="shared" si="29"/>
        <v/>
      </c>
      <c r="J917" s="221"/>
    </row>
    <row r="918" spans="1:10" s="90" customFormat="1" ht="14.25" hidden="1" x14ac:dyDescent="0.3">
      <c r="A918" s="141"/>
      <c r="B918" s="160">
        <v>902</v>
      </c>
      <c r="C918" s="224"/>
      <c r="D918" s="213"/>
      <c r="E918" s="215"/>
      <c r="F918" s="214"/>
      <c r="G918" s="214"/>
      <c r="H918" s="74" t="str">
        <f t="shared" si="28"/>
        <v/>
      </c>
      <c r="I918" s="188" t="str">
        <f t="shared" si="29"/>
        <v/>
      </c>
      <c r="J918" s="221"/>
    </row>
    <row r="919" spans="1:10" s="90" customFormat="1" ht="14.25" hidden="1" x14ac:dyDescent="0.3">
      <c r="A919" s="141"/>
      <c r="B919" s="160">
        <v>903</v>
      </c>
      <c r="C919" s="224"/>
      <c r="D919" s="216"/>
      <c r="E919" s="215"/>
      <c r="F919" s="217"/>
      <c r="G919" s="218"/>
      <c r="H919" s="74" t="str">
        <f t="shared" si="28"/>
        <v/>
      </c>
      <c r="I919" s="188" t="str">
        <f t="shared" si="29"/>
        <v/>
      </c>
      <c r="J919" s="221"/>
    </row>
    <row r="920" spans="1:10" s="90" customFormat="1" ht="14.25" hidden="1" x14ac:dyDescent="0.3">
      <c r="A920" s="141"/>
      <c r="B920" s="160">
        <v>904</v>
      </c>
      <c r="C920" s="224"/>
      <c r="D920" s="213"/>
      <c r="E920" s="215"/>
      <c r="F920" s="214"/>
      <c r="G920" s="214"/>
      <c r="H920" s="74" t="str">
        <f t="shared" si="28"/>
        <v/>
      </c>
      <c r="I920" s="188" t="str">
        <f t="shared" si="29"/>
        <v/>
      </c>
      <c r="J920" s="221"/>
    </row>
    <row r="921" spans="1:10" s="90" customFormat="1" ht="14.25" hidden="1" x14ac:dyDescent="0.3">
      <c r="A921" s="141"/>
      <c r="B921" s="160">
        <v>905</v>
      </c>
      <c r="C921" s="224"/>
      <c r="D921" s="213"/>
      <c r="E921" s="215"/>
      <c r="F921" s="214"/>
      <c r="G921" s="214"/>
      <c r="H921" s="74" t="str">
        <f t="shared" si="28"/>
        <v/>
      </c>
      <c r="I921" s="188" t="str">
        <f t="shared" si="29"/>
        <v/>
      </c>
      <c r="J921" s="221"/>
    </row>
    <row r="922" spans="1:10" s="90" customFormat="1" ht="14.25" hidden="1" x14ac:dyDescent="0.3">
      <c r="A922" s="141"/>
      <c r="B922" s="160">
        <v>906</v>
      </c>
      <c r="C922" s="224"/>
      <c r="D922" s="216"/>
      <c r="E922" s="215"/>
      <c r="F922" s="217"/>
      <c r="G922" s="218"/>
      <c r="H922" s="74" t="str">
        <f t="shared" si="28"/>
        <v/>
      </c>
      <c r="I922" s="188" t="str">
        <f t="shared" si="29"/>
        <v/>
      </c>
      <c r="J922" s="221"/>
    </row>
    <row r="923" spans="1:10" s="90" customFormat="1" ht="14.25" hidden="1" x14ac:dyDescent="0.3">
      <c r="A923" s="141"/>
      <c r="B923" s="160">
        <v>907</v>
      </c>
      <c r="C923" s="224"/>
      <c r="D923" s="213"/>
      <c r="E923" s="215"/>
      <c r="F923" s="214"/>
      <c r="G923" s="214"/>
      <c r="H923" s="74" t="str">
        <f t="shared" si="28"/>
        <v/>
      </c>
      <c r="I923" s="188" t="str">
        <f t="shared" si="29"/>
        <v/>
      </c>
      <c r="J923" s="221"/>
    </row>
    <row r="924" spans="1:10" s="90" customFormat="1" ht="14.25" hidden="1" x14ac:dyDescent="0.3">
      <c r="A924" s="141"/>
      <c r="B924" s="160">
        <v>908</v>
      </c>
      <c r="C924" s="224"/>
      <c r="D924" s="213"/>
      <c r="E924" s="215"/>
      <c r="F924" s="214"/>
      <c r="G924" s="214"/>
      <c r="H924" s="74" t="str">
        <f t="shared" si="28"/>
        <v/>
      </c>
      <c r="I924" s="188" t="str">
        <f t="shared" si="29"/>
        <v/>
      </c>
      <c r="J924" s="221"/>
    </row>
    <row r="925" spans="1:10" s="90" customFormat="1" ht="14.25" hidden="1" x14ac:dyDescent="0.3">
      <c r="A925" s="141"/>
      <c r="B925" s="160">
        <v>909</v>
      </c>
      <c r="C925" s="224"/>
      <c r="D925" s="216"/>
      <c r="E925" s="215"/>
      <c r="F925" s="217"/>
      <c r="G925" s="218"/>
      <c r="H925" s="74" t="str">
        <f t="shared" si="28"/>
        <v/>
      </c>
      <c r="I925" s="188" t="str">
        <f t="shared" si="29"/>
        <v/>
      </c>
      <c r="J925" s="221"/>
    </row>
    <row r="926" spans="1:10" s="90" customFormat="1" ht="14.25" hidden="1" x14ac:dyDescent="0.3">
      <c r="A926" s="141"/>
      <c r="B926" s="160">
        <v>910</v>
      </c>
      <c r="C926" s="224"/>
      <c r="D926" s="213"/>
      <c r="E926" s="215"/>
      <c r="F926" s="214"/>
      <c r="G926" s="214"/>
      <c r="H926" s="74" t="str">
        <f t="shared" si="28"/>
        <v/>
      </c>
      <c r="I926" s="188" t="str">
        <f t="shared" si="29"/>
        <v/>
      </c>
      <c r="J926" s="221"/>
    </row>
    <row r="927" spans="1:10" s="90" customFormat="1" ht="14.25" hidden="1" x14ac:dyDescent="0.3">
      <c r="A927" s="141"/>
      <c r="B927" s="160">
        <v>911</v>
      </c>
      <c r="C927" s="224"/>
      <c r="D927" s="213"/>
      <c r="E927" s="215"/>
      <c r="F927" s="214"/>
      <c r="G927" s="214"/>
      <c r="H927" s="74" t="str">
        <f t="shared" si="28"/>
        <v/>
      </c>
      <c r="I927" s="188" t="str">
        <f t="shared" si="29"/>
        <v/>
      </c>
      <c r="J927" s="221"/>
    </row>
    <row r="928" spans="1:10" s="90" customFormat="1" ht="14.25" hidden="1" x14ac:dyDescent="0.3">
      <c r="A928" s="141"/>
      <c r="B928" s="160">
        <v>912</v>
      </c>
      <c r="C928" s="224"/>
      <c r="D928" s="216"/>
      <c r="E928" s="215"/>
      <c r="F928" s="217"/>
      <c r="G928" s="218"/>
      <c r="H928" s="74" t="str">
        <f t="shared" si="28"/>
        <v/>
      </c>
      <c r="I928" s="188" t="str">
        <f t="shared" si="29"/>
        <v/>
      </c>
      <c r="J928" s="221"/>
    </row>
    <row r="929" spans="1:10" s="90" customFormat="1" ht="14.25" hidden="1" x14ac:dyDescent="0.3">
      <c r="A929" s="141"/>
      <c r="B929" s="160">
        <v>913</v>
      </c>
      <c r="C929" s="224"/>
      <c r="D929" s="213"/>
      <c r="E929" s="215"/>
      <c r="F929" s="214"/>
      <c r="G929" s="214"/>
      <c r="H929" s="74" t="str">
        <f t="shared" si="28"/>
        <v/>
      </c>
      <c r="I929" s="188" t="str">
        <f t="shared" si="29"/>
        <v/>
      </c>
      <c r="J929" s="221"/>
    </row>
    <row r="930" spans="1:10" s="90" customFormat="1" ht="14.25" hidden="1" x14ac:dyDescent="0.3">
      <c r="A930" s="141"/>
      <c r="B930" s="160">
        <v>914</v>
      </c>
      <c r="C930" s="224"/>
      <c r="D930" s="213"/>
      <c r="E930" s="215"/>
      <c r="F930" s="214"/>
      <c r="G930" s="214"/>
      <c r="H930" s="74" t="str">
        <f t="shared" si="28"/>
        <v/>
      </c>
      <c r="I930" s="188" t="str">
        <f t="shared" si="29"/>
        <v/>
      </c>
      <c r="J930" s="221"/>
    </row>
    <row r="931" spans="1:10" s="90" customFormat="1" ht="14.25" hidden="1" x14ac:dyDescent="0.3">
      <c r="A931" s="141"/>
      <c r="B931" s="160">
        <v>915</v>
      </c>
      <c r="C931" s="224"/>
      <c r="D931" s="216"/>
      <c r="E931" s="215"/>
      <c r="F931" s="217"/>
      <c r="G931" s="218"/>
      <c r="H931" s="74" t="str">
        <f t="shared" si="28"/>
        <v/>
      </c>
      <c r="I931" s="188" t="str">
        <f t="shared" si="29"/>
        <v/>
      </c>
      <c r="J931" s="221"/>
    </row>
    <row r="932" spans="1:10" s="90" customFormat="1" ht="14.25" hidden="1" x14ac:dyDescent="0.3">
      <c r="A932" s="141"/>
      <c r="B932" s="160">
        <v>916</v>
      </c>
      <c r="C932" s="224"/>
      <c r="D932" s="213"/>
      <c r="E932" s="215"/>
      <c r="F932" s="214"/>
      <c r="G932" s="214"/>
      <c r="H932" s="74" t="str">
        <f t="shared" si="28"/>
        <v/>
      </c>
      <c r="I932" s="188" t="str">
        <f t="shared" si="29"/>
        <v/>
      </c>
      <c r="J932" s="221"/>
    </row>
    <row r="933" spans="1:10" s="90" customFormat="1" ht="14.25" hidden="1" x14ac:dyDescent="0.3">
      <c r="A933" s="141"/>
      <c r="B933" s="160">
        <v>917</v>
      </c>
      <c r="C933" s="224"/>
      <c r="D933" s="213"/>
      <c r="E933" s="215"/>
      <c r="F933" s="214"/>
      <c r="G933" s="214"/>
      <c r="H933" s="74" t="str">
        <f t="shared" si="28"/>
        <v/>
      </c>
      <c r="I933" s="188" t="str">
        <f t="shared" si="29"/>
        <v/>
      </c>
      <c r="J933" s="221"/>
    </row>
    <row r="934" spans="1:10" s="90" customFormat="1" ht="14.25" hidden="1" x14ac:dyDescent="0.3">
      <c r="A934" s="141"/>
      <c r="B934" s="160">
        <v>918</v>
      </c>
      <c r="C934" s="224"/>
      <c r="D934" s="216"/>
      <c r="E934" s="215"/>
      <c r="F934" s="217"/>
      <c r="G934" s="218"/>
      <c r="H934" s="74" t="str">
        <f t="shared" si="28"/>
        <v/>
      </c>
      <c r="I934" s="188" t="str">
        <f t="shared" si="29"/>
        <v/>
      </c>
      <c r="J934" s="221"/>
    </row>
    <row r="935" spans="1:10" s="90" customFormat="1" ht="14.25" hidden="1" x14ac:dyDescent="0.3">
      <c r="A935" s="141"/>
      <c r="B935" s="160">
        <v>919</v>
      </c>
      <c r="C935" s="224"/>
      <c r="D935" s="213"/>
      <c r="E935" s="215"/>
      <c r="F935" s="214"/>
      <c r="G935" s="214"/>
      <c r="H935" s="74" t="str">
        <f t="shared" si="28"/>
        <v/>
      </c>
      <c r="I935" s="188" t="str">
        <f t="shared" si="29"/>
        <v/>
      </c>
      <c r="J935" s="221"/>
    </row>
    <row r="936" spans="1:10" s="90" customFormat="1" ht="14.25" hidden="1" x14ac:dyDescent="0.3">
      <c r="A936" s="141"/>
      <c r="B936" s="160">
        <v>920</v>
      </c>
      <c r="C936" s="224"/>
      <c r="D936" s="213"/>
      <c r="E936" s="215"/>
      <c r="F936" s="214"/>
      <c r="G936" s="214"/>
      <c r="H936" s="74" t="str">
        <f t="shared" si="28"/>
        <v/>
      </c>
      <c r="I936" s="188" t="str">
        <f t="shared" si="29"/>
        <v/>
      </c>
      <c r="J936" s="221"/>
    </row>
    <row r="937" spans="1:10" s="90" customFormat="1" ht="14.25" hidden="1" x14ac:dyDescent="0.3">
      <c r="A937" s="141"/>
      <c r="B937" s="160">
        <v>921</v>
      </c>
      <c r="C937" s="224"/>
      <c r="D937" s="216"/>
      <c r="E937" s="215"/>
      <c r="F937" s="217"/>
      <c r="G937" s="218"/>
      <c r="H937" s="74" t="str">
        <f t="shared" si="28"/>
        <v/>
      </c>
      <c r="I937" s="188" t="str">
        <f t="shared" si="29"/>
        <v/>
      </c>
      <c r="J937" s="221"/>
    </row>
    <row r="938" spans="1:10" s="90" customFormat="1" ht="14.25" hidden="1" x14ac:dyDescent="0.3">
      <c r="A938" s="141"/>
      <c r="B938" s="160">
        <v>922</v>
      </c>
      <c r="C938" s="224"/>
      <c r="D938" s="213"/>
      <c r="E938" s="215"/>
      <c r="F938" s="214"/>
      <c r="G938" s="214"/>
      <c r="H938" s="74" t="str">
        <f t="shared" si="28"/>
        <v/>
      </c>
      <c r="I938" s="188" t="str">
        <f t="shared" si="29"/>
        <v/>
      </c>
      <c r="J938" s="221"/>
    </row>
    <row r="939" spans="1:10" s="90" customFormat="1" ht="14.25" hidden="1" x14ac:dyDescent="0.3">
      <c r="A939" s="141"/>
      <c r="B939" s="160">
        <v>923</v>
      </c>
      <c r="C939" s="224"/>
      <c r="D939" s="213"/>
      <c r="E939" s="215"/>
      <c r="F939" s="214"/>
      <c r="G939" s="214"/>
      <c r="H939" s="74" t="str">
        <f t="shared" si="28"/>
        <v/>
      </c>
      <c r="I939" s="188" t="str">
        <f t="shared" si="29"/>
        <v/>
      </c>
      <c r="J939" s="221"/>
    </row>
    <row r="940" spans="1:10" s="90" customFormat="1" ht="14.25" hidden="1" x14ac:dyDescent="0.3">
      <c r="A940" s="141"/>
      <c r="B940" s="160">
        <v>924</v>
      </c>
      <c r="C940" s="224"/>
      <c r="D940" s="216"/>
      <c r="E940" s="215"/>
      <c r="F940" s="217"/>
      <c r="G940" s="218"/>
      <c r="H940" s="74" t="str">
        <f t="shared" si="28"/>
        <v/>
      </c>
      <c r="I940" s="188" t="str">
        <f t="shared" si="29"/>
        <v/>
      </c>
      <c r="J940" s="221"/>
    </row>
    <row r="941" spans="1:10" s="90" customFormat="1" ht="14.25" hidden="1" x14ac:dyDescent="0.3">
      <c r="A941" s="141"/>
      <c r="B941" s="160">
        <v>925</v>
      </c>
      <c r="C941" s="224"/>
      <c r="D941" s="213"/>
      <c r="E941" s="215"/>
      <c r="F941" s="214"/>
      <c r="G941" s="214"/>
      <c r="H941" s="74" t="str">
        <f t="shared" si="28"/>
        <v/>
      </c>
      <c r="I941" s="188" t="str">
        <f t="shared" si="29"/>
        <v/>
      </c>
      <c r="J941" s="221"/>
    </row>
    <row r="942" spans="1:10" s="90" customFormat="1" ht="14.25" hidden="1" x14ac:dyDescent="0.3">
      <c r="A942" s="141"/>
      <c r="B942" s="160">
        <v>926</v>
      </c>
      <c r="C942" s="224"/>
      <c r="D942" s="213"/>
      <c r="E942" s="215"/>
      <c r="F942" s="214"/>
      <c r="G942" s="214"/>
      <c r="H942" s="74" t="str">
        <f t="shared" si="28"/>
        <v/>
      </c>
      <c r="I942" s="188" t="str">
        <f t="shared" si="29"/>
        <v/>
      </c>
      <c r="J942" s="221"/>
    </row>
    <row r="943" spans="1:10" s="90" customFormat="1" ht="14.25" hidden="1" x14ac:dyDescent="0.3">
      <c r="A943" s="141"/>
      <c r="B943" s="160">
        <v>927</v>
      </c>
      <c r="C943" s="224"/>
      <c r="D943" s="216"/>
      <c r="E943" s="215"/>
      <c r="F943" s="217"/>
      <c r="G943" s="218"/>
      <c r="H943" s="74" t="str">
        <f t="shared" si="28"/>
        <v/>
      </c>
      <c r="I943" s="188" t="str">
        <f t="shared" si="29"/>
        <v/>
      </c>
      <c r="J943" s="221"/>
    </row>
    <row r="944" spans="1:10" s="90" customFormat="1" ht="14.25" hidden="1" x14ac:dyDescent="0.3">
      <c r="A944" s="141"/>
      <c r="B944" s="160">
        <v>928</v>
      </c>
      <c r="C944" s="224"/>
      <c r="D944" s="213"/>
      <c r="E944" s="215"/>
      <c r="F944" s="214"/>
      <c r="G944" s="214"/>
      <c r="H944" s="74" t="str">
        <f t="shared" si="28"/>
        <v/>
      </c>
      <c r="I944" s="188" t="str">
        <f t="shared" si="29"/>
        <v/>
      </c>
      <c r="J944" s="221"/>
    </row>
    <row r="945" spans="1:10" s="90" customFormat="1" ht="14.25" hidden="1" x14ac:dyDescent="0.3">
      <c r="A945" s="141"/>
      <c r="B945" s="160">
        <v>929</v>
      </c>
      <c r="C945" s="224"/>
      <c r="D945" s="213"/>
      <c r="E945" s="215"/>
      <c r="F945" s="214"/>
      <c r="G945" s="214"/>
      <c r="H945" s="74" t="str">
        <f t="shared" si="28"/>
        <v/>
      </c>
      <c r="I945" s="188" t="str">
        <f t="shared" si="29"/>
        <v/>
      </c>
      <c r="J945" s="221"/>
    </row>
    <row r="946" spans="1:10" s="90" customFormat="1" ht="14.25" hidden="1" x14ac:dyDescent="0.3">
      <c r="A946" s="141"/>
      <c r="B946" s="160">
        <v>930</v>
      </c>
      <c r="C946" s="224"/>
      <c r="D946" s="216"/>
      <c r="E946" s="215"/>
      <c r="F946" s="217"/>
      <c r="G946" s="218"/>
      <c r="H946" s="74" t="str">
        <f t="shared" si="28"/>
        <v/>
      </c>
      <c r="I946" s="188" t="str">
        <f t="shared" si="29"/>
        <v/>
      </c>
      <c r="J946" s="221"/>
    </row>
    <row r="947" spans="1:10" s="90" customFormat="1" ht="14.25" hidden="1" x14ac:dyDescent="0.3">
      <c r="A947" s="141"/>
      <c r="B947" s="160">
        <v>931</v>
      </c>
      <c r="C947" s="224"/>
      <c r="D947" s="213"/>
      <c r="E947" s="215"/>
      <c r="F947" s="214"/>
      <c r="G947" s="214"/>
      <c r="H947" s="74" t="str">
        <f t="shared" si="28"/>
        <v/>
      </c>
      <c r="I947" s="188" t="str">
        <f t="shared" si="29"/>
        <v/>
      </c>
      <c r="J947" s="221"/>
    </row>
    <row r="948" spans="1:10" s="90" customFormat="1" ht="14.25" hidden="1" x14ac:dyDescent="0.3">
      <c r="A948" s="141"/>
      <c r="B948" s="160">
        <v>932</v>
      </c>
      <c r="C948" s="224"/>
      <c r="D948" s="213"/>
      <c r="E948" s="215"/>
      <c r="F948" s="214"/>
      <c r="G948" s="214"/>
      <c r="H948" s="74" t="str">
        <f t="shared" si="28"/>
        <v/>
      </c>
      <c r="I948" s="188" t="str">
        <f t="shared" si="29"/>
        <v/>
      </c>
      <c r="J948" s="221"/>
    </row>
    <row r="949" spans="1:10" s="90" customFormat="1" ht="14.25" hidden="1" x14ac:dyDescent="0.3">
      <c r="A949" s="141"/>
      <c r="B949" s="160">
        <v>933</v>
      </c>
      <c r="C949" s="224"/>
      <c r="D949" s="216"/>
      <c r="E949" s="215"/>
      <c r="F949" s="217"/>
      <c r="G949" s="218"/>
      <c r="H949" s="74" t="str">
        <f t="shared" si="28"/>
        <v/>
      </c>
      <c r="I949" s="188" t="str">
        <f t="shared" si="29"/>
        <v/>
      </c>
      <c r="J949" s="221"/>
    </row>
    <row r="950" spans="1:10" s="90" customFormat="1" ht="14.25" hidden="1" x14ac:dyDescent="0.3">
      <c r="A950" s="141"/>
      <c r="B950" s="160">
        <v>934</v>
      </c>
      <c r="C950" s="224"/>
      <c r="D950" s="213"/>
      <c r="E950" s="215"/>
      <c r="F950" s="214"/>
      <c r="G950" s="214"/>
      <c r="H950" s="74" t="str">
        <f t="shared" si="28"/>
        <v/>
      </c>
      <c r="I950" s="188" t="str">
        <f t="shared" si="29"/>
        <v/>
      </c>
      <c r="J950" s="221"/>
    </row>
    <row r="951" spans="1:10" s="90" customFormat="1" ht="14.25" hidden="1" x14ac:dyDescent="0.3">
      <c r="A951" s="141"/>
      <c r="B951" s="160">
        <v>935</v>
      </c>
      <c r="C951" s="224"/>
      <c r="D951" s="213"/>
      <c r="E951" s="215"/>
      <c r="F951" s="214"/>
      <c r="G951" s="214"/>
      <c r="H951" s="74" t="str">
        <f t="shared" si="28"/>
        <v/>
      </c>
      <c r="I951" s="188" t="str">
        <f t="shared" si="29"/>
        <v/>
      </c>
      <c r="J951" s="221"/>
    </row>
    <row r="952" spans="1:10" s="90" customFormat="1" ht="14.25" hidden="1" x14ac:dyDescent="0.3">
      <c r="A952" s="141"/>
      <c r="B952" s="160">
        <v>936</v>
      </c>
      <c r="C952" s="224"/>
      <c r="D952" s="216"/>
      <c r="E952" s="215"/>
      <c r="F952" s="217"/>
      <c r="G952" s="218"/>
      <c r="H952" s="74" t="str">
        <f t="shared" si="28"/>
        <v/>
      </c>
      <c r="I952" s="188" t="str">
        <f t="shared" si="29"/>
        <v/>
      </c>
      <c r="J952" s="221"/>
    </row>
    <row r="953" spans="1:10" s="90" customFormat="1" ht="14.25" hidden="1" x14ac:dyDescent="0.3">
      <c r="A953" s="141"/>
      <c r="B953" s="160">
        <v>937</v>
      </c>
      <c r="C953" s="224"/>
      <c r="D953" s="213"/>
      <c r="E953" s="215"/>
      <c r="F953" s="214"/>
      <c r="G953" s="214"/>
      <c r="H953" s="74" t="str">
        <f t="shared" si="28"/>
        <v/>
      </c>
      <c r="I953" s="188" t="str">
        <f t="shared" si="29"/>
        <v/>
      </c>
      <c r="J953" s="221"/>
    </row>
    <row r="954" spans="1:10" s="90" customFormat="1" ht="14.25" hidden="1" x14ac:dyDescent="0.3">
      <c r="A954" s="141"/>
      <c r="B954" s="160">
        <v>938</v>
      </c>
      <c r="C954" s="224"/>
      <c r="D954" s="213"/>
      <c r="E954" s="215"/>
      <c r="F954" s="214"/>
      <c r="G954" s="214"/>
      <c r="H954" s="74" t="str">
        <f t="shared" si="28"/>
        <v/>
      </c>
      <c r="I954" s="188" t="str">
        <f t="shared" si="29"/>
        <v/>
      </c>
      <c r="J954" s="221"/>
    </row>
    <row r="955" spans="1:10" s="90" customFormat="1" ht="14.25" hidden="1" x14ac:dyDescent="0.3">
      <c r="A955" s="141"/>
      <c r="B955" s="160">
        <v>939</v>
      </c>
      <c r="C955" s="224"/>
      <c r="D955" s="216"/>
      <c r="E955" s="215"/>
      <c r="F955" s="217"/>
      <c r="G955" s="218"/>
      <c r="H955" s="74" t="str">
        <f t="shared" si="28"/>
        <v/>
      </c>
      <c r="I955" s="188" t="str">
        <f t="shared" si="29"/>
        <v/>
      </c>
      <c r="J955" s="221"/>
    </row>
    <row r="956" spans="1:10" s="90" customFormat="1" ht="14.25" hidden="1" x14ac:dyDescent="0.3">
      <c r="A956" s="141"/>
      <c r="B956" s="160">
        <v>940</v>
      </c>
      <c r="C956" s="224"/>
      <c r="D956" s="213"/>
      <c r="E956" s="215"/>
      <c r="F956" s="214"/>
      <c r="G956" s="214"/>
      <c r="H956" s="74" t="str">
        <f t="shared" si="28"/>
        <v/>
      </c>
      <c r="I956" s="188" t="str">
        <f t="shared" si="29"/>
        <v/>
      </c>
      <c r="J956" s="221"/>
    </row>
    <row r="957" spans="1:10" s="90" customFormat="1" ht="14.25" hidden="1" x14ac:dyDescent="0.3">
      <c r="A957" s="141"/>
      <c r="B957" s="160">
        <v>941</v>
      </c>
      <c r="C957" s="224"/>
      <c r="D957" s="213"/>
      <c r="E957" s="215"/>
      <c r="F957" s="214"/>
      <c r="G957" s="214"/>
      <c r="H957" s="74" t="str">
        <f t="shared" si="28"/>
        <v/>
      </c>
      <c r="I957" s="188" t="str">
        <f t="shared" si="29"/>
        <v/>
      </c>
      <c r="J957" s="221"/>
    </row>
    <row r="958" spans="1:10" s="90" customFormat="1" ht="14.25" hidden="1" x14ac:dyDescent="0.3">
      <c r="A958" s="141"/>
      <c r="B958" s="160">
        <v>942</v>
      </c>
      <c r="C958" s="224"/>
      <c r="D958" s="216"/>
      <c r="E958" s="215"/>
      <c r="F958" s="217"/>
      <c r="G958" s="218"/>
      <c r="H958" s="74" t="str">
        <f t="shared" si="28"/>
        <v/>
      </c>
      <c r="I958" s="188" t="str">
        <f t="shared" si="29"/>
        <v/>
      </c>
      <c r="J958" s="221"/>
    </row>
    <row r="959" spans="1:10" s="90" customFormat="1" ht="14.25" hidden="1" x14ac:dyDescent="0.3">
      <c r="A959" s="141"/>
      <c r="B959" s="160">
        <v>943</v>
      </c>
      <c r="C959" s="224"/>
      <c r="D959" s="213"/>
      <c r="E959" s="215"/>
      <c r="F959" s="214"/>
      <c r="G959" s="214"/>
      <c r="H959" s="74" t="str">
        <f t="shared" si="28"/>
        <v/>
      </c>
      <c r="I959" s="188" t="str">
        <f t="shared" si="29"/>
        <v/>
      </c>
      <c r="J959" s="221"/>
    </row>
    <row r="960" spans="1:10" s="90" customFormat="1" ht="14.25" hidden="1" x14ac:dyDescent="0.3">
      <c r="A960" s="141"/>
      <c r="B960" s="160">
        <v>944</v>
      </c>
      <c r="C960" s="224"/>
      <c r="D960" s="213"/>
      <c r="E960" s="215"/>
      <c r="F960" s="214"/>
      <c r="G960" s="214"/>
      <c r="H960" s="74" t="str">
        <f t="shared" si="28"/>
        <v/>
      </c>
      <c r="I960" s="188" t="str">
        <f t="shared" si="29"/>
        <v/>
      </c>
      <c r="J960" s="221"/>
    </row>
    <row r="961" spans="1:10" s="90" customFormat="1" ht="14.25" hidden="1" x14ac:dyDescent="0.3">
      <c r="A961" s="141"/>
      <c r="B961" s="160">
        <v>945</v>
      </c>
      <c r="C961" s="224"/>
      <c r="D961" s="216"/>
      <c r="E961" s="215"/>
      <c r="F961" s="217"/>
      <c r="G961" s="218"/>
      <c r="H961" s="74" t="str">
        <f t="shared" si="28"/>
        <v/>
      </c>
      <c r="I961" s="188" t="str">
        <f t="shared" si="29"/>
        <v/>
      </c>
      <c r="J961" s="221"/>
    </row>
    <row r="962" spans="1:10" s="90" customFormat="1" ht="14.25" hidden="1" x14ac:dyDescent="0.3">
      <c r="A962" s="141"/>
      <c r="B962" s="160">
        <v>946</v>
      </c>
      <c r="C962" s="224"/>
      <c r="D962" s="213"/>
      <c r="E962" s="215"/>
      <c r="F962" s="214"/>
      <c r="G962" s="214"/>
      <c r="H962" s="74" t="str">
        <f t="shared" si="28"/>
        <v/>
      </c>
      <c r="I962" s="188" t="str">
        <f t="shared" si="29"/>
        <v/>
      </c>
      <c r="J962" s="221"/>
    </row>
    <row r="963" spans="1:10" s="90" customFormat="1" ht="14.25" hidden="1" x14ac:dyDescent="0.3">
      <c r="A963" s="141"/>
      <c r="B963" s="160">
        <v>947</v>
      </c>
      <c r="C963" s="224"/>
      <c r="D963" s="213"/>
      <c r="E963" s="215"/>
      <c r="F963" s="214"/>
      <c r="G963" s="214"/>
      <c r="H963" s="74" t="str">
        <f t="shared" si="28"/>
        <v/>
      </c>
      <c r="I963" s="188" t="str">
        <f t="shared" si="29"/>
        <v/>
      </c>
      <c r="J963" s="221"/>
    </row>
    <row r="964" spans="1:10" s="90" customFormat="1" ht="14.25" hidden="1" x14ac:dyDescent="0.3">
      <c r="A964" s="141"/>
      <c r="B964" s="160">
        <v>948</v>
      </c>
      <c r="C964" s="224"/>
      <c r="D964" s="216"/>
      <c r="E964" s="215"/>
      <c r="F964" s="217"/>
      <c r="G964" s="218"/>
      <c r="H964" s="74" t="str">
        <f t="shared" si="28"/>
        <v/>
      </c>
      <c r="I964" s="188" t="str">
        <f t="shared" si="29"/>
        <v/>
      </c>
      <c r="J964" s="221"/>
    </row>
    <row r="965" spans="1:10" s="90" customFormat="1" ht="14.25" hidden="1" x14ac:dyDescent="0.3">
      <c r="A965" s="141"/>
      <c r="B965" s="160">
        <v>949</v>
      </c>
      <c r="C965" s="224"/>
      <c r="D965" s="213"/>
      <c r="E965" s="215"/>
      <c r="F965" s="214"/>
      <c r="G965" s="214"/>
      <c r="H965" s="74" t="str">
        <f t="shared" si="28"/>
        <v/>
      </c>
      <c r="I965" s="188" t="str">
        <f t="shared" si="29"/>
        <v/>
      </c>
      <c r="J965" s="221"/>
    </row>
    <row r="966" spans="1:10" s="90" customFormat="1" ht="14.25" hidden="1" x14ac:dyDescent="0.3">
      <c r="A966" s="141"/>
      <c r="B966" s="160">
        <v>950</v>
      </c>
      <c r="C966" s="224"/>
      <c r="D966" s="213"/>
      <c r="E966" s="215"/>
      <c r="F966" s="214"/>
      <c r="G966" s="214"/>
      <c r="H966" s="74" t="str">
        <f t="shared" si="28"/>
        <v/>
      </c>
      <c r="I966" s="188" t="str">
        <f t="shared" si="29"/>
        <v/>
      </c>
      <c r="J966" s="221"/>
    </row>
    <row r="967" spans="1:10" s="90" customFormat="1" ht="14.25" hidden="1" x14ac:dyDescent="0.3">
      <c r="A967" s="141"/>
      <c r="B967" s="160">
        <v>951</v>
      </c>
      <c r="C967" s="224"/>
      <c r="D967" s="216"/>
      <c r="E967" s="215"/>
      <c r="F967" s="217"/>
      <c r="G967" s="218"/>
      <c r="H967" s="74" t="str">
        <f t="shared" si="28"/>
        <v/>
      </c>
      <c r="I967" s="188" t="str">
        <f t="shared" si="29"/>
        <v/>
      </c>
      <c r="J967" s="221"/>
    </row>
    <row r="968" spans="1:10" s="90" customFormat="1" ht="14.25" hidden="1" x14ac:dyDescent="0.3">
      <c r="A968" s="141"/>
      <c r="B968" s="160">
        <v>952</v>
      </c>
      <c r="C968" s="224"/>
      <c r="D968" s="213"/>
      <c r="E968" s="215"/>
      <c r="F968" s="214"/>
      <c r="G968" s="214"/>
      <c r="H968" s="74" t="str">
        <f t="shared" si="28"/>
        <v/>
      </c>
      <c r="I968" s="188" t="str">
        <f t="shared" si="29"/>
        <v/>
      </c>
      <c r="J968" s="221"/>
    </row>
    <row r="969" spans="1:10" s="90" customFormat="1" ht="14.25" hidden="1" x14ac:dyDescent="0.3">
      <c r="A969" s="141"/>
      <c r="B969" s="160">
        <v>953</v>
      </c>
      <c r="C969" s="224"/>
      <c r="D969" s="213"/>
      <c r="E969" s="215"/>
      <c r="F969" s="214"/>
      <c r="G969" s="214"/>
      <c r="H969" s="74" t="str">
        <f t="shared" si="28"/>
        <v/>
      </c>
      <c r="I969" s="188" t="str">
        <f t="shared" si="29"/>
        <v/>
      </c>
      <c r="J969" s="221"/>
    </row>
    <row r="970" spans="1:10" s="90" customFormat="1" ht="14.25" hidden="1" x14ac:dyDescent="0.3">
      <c r="A970" s="141"/>
      <c r="B970" s="160">
        <v>954</v>
      </c>
      <c r="C970" s="224"/>
      <c r="D970" s="216"/>
      <c r="E970" s="215"/>
      <c r="F970" s="217"/>
      <c r="G970" s="218"/>
      <c r="H970" s="74" t="str">
        <f t="shared" si="28"/>
        <v/>
      </c>
      <c r="I970" s="188" t="str">
        <f t="shared" si="29"/>
        <v/>
      </c>
      <c r="J970" s="221"/>
    </row>
    <row r="971" spans="1:10" s="90" customFormat="1" ht="14.25" hidden="1" x14ac:dyDescent="0.3">
      <c r="A971" s="141"/>
      <c r="B971" s="160">
        <v>955</v>
      </c>
      <c r="C971" s="224"/>
      <c r="D971" s="213"/>
      <c r="E971" s="215"/>
      <c r="F971" s="214"/>
      <c r="G971" s="214"/>
      <c r="H971" s="74" t="str">
        <f t="shared" si="28"/>
        <v/>
      </c>
      <c r="I971" s="188" t="str">
        <f t="shared" si="29"/>
        <v/>
      </c>
      <c r="J971" s="221"/>
    </row>
    <row r="972" spans="1:10" s="90" customFormat="1" ht="14.25" hidden="1" x14ac:dyDescent="0.3">
      <c r="A972" s="141"/>
      <c r="B972" s="160">
        <v>956</v>
      </c>
      <c r="C972" s="224"/>
      <c r="D972" s="213"/>
      <c r="E972" s="215"/>
      <c r="F972" s="214"/>
      <c r="G972" s="214"/>
      <c r="H972" s="74" t="str">
        <f t="shared" si="28"/>
        <v/>
      </c>
      <c r="I972" s="188" t="str">
        <f t="shared" si="29"/>
        <v/>
      </c>
      <c r="J972" s="221"/>
    </row>
    <row r="973" spans="1:10" s="90" customFormat="1" ht="14.25" hidden="1" x14ac:dyDescent="0.3">
      <c r="A973" s="141"/>
      <c r="B973" s="160">
        <v>957</v>
      </c>
      <c r="C973" s="224"/>
      <c r="D973" s="216"/>
      <c r="E973" s="215"/>
      <c r="F973" s="217"/>
      <c r="G973" s="218"/>
      <c r="H973" s="74" t="str">
        <f t="shared" si="28"/>
        <v/>
      </c>
      <c r="I973" s="188" t="str">
        <f t="shared" si="29"/>
        <v/>
      </c>
      <c r="J973" s="221"/>
    </row>
    <row r="974" spans="1:10" s="90" customFormat="1" ht="14.25" hidden="1" x14ac:dyDescent="0.3">
      <c r="A974" s="141"/>
      <c r="B974" s="160">
        <v>958</v>
      </c>
      <c r="C974" s="224"/>
      <c r="D974" s="213"/>
      <c r="E974" s="215"/>
      <c r="F974" s="214"/>
      <c r="G974" s="214"/>
      <c r="H974" s="74" t="str">
        <f t="shared" si="28"/>
        <v/>
      </c>
      <c r="I974" s="188" t="str">
        <f t="shared" si="29"/>
        <v/>
      </c>
      <c r="J974" s="221"/>
    </row>
    <row r="975" spans="1:10" s="90" customFormat="1" ht="14.25" hidden="1" x14ac:dyDescent="0.3">
      <c r="A975" s="141"/>
      <c r="B975" s="160">
        <v>959</v>
      </c>
      <c r="C975" s="224"/>
      <c r="D975" s="213"/>
      <c r="E975" s="215"/>
      <c r="F975" s="214"/>
      <c r="G975" s="214"/>
      <c r="H975" s="74" t="str">
        <f t="shared" si="28"/>
        <v/>
      </c>
      <c r="I975" s="188" t="str">
        <f t="shared" si="29"/>
        <v/>
      </c>
      <c r="J975" s="221"/>
    </row>
    <row r="976" spans="1:10" s="90" customFormat="1" ht="14.25" hidden="1" x14ac:dyDescent="0.3">
      <c r="A976" s="141"/>
      <c r="B976" s="160">
        <v>960</v>
      </c>
      <c r="C976" s="224"/>
      <c r="D976" s="216"/>
      <c r="E976" s="215"/>
      <c r="F976" s="217"/>
      <c r="G976" s="218"/>
      <c r="H976" s="74" t="str">
        <f t="shared" si="28"/>
        <v/>
      </c>
      <c r="I976" s="188" t="str">
        <f t="shared" si="29"/>
        <v/>
      </c>
      <c r="J976" s="221"/>
    </row>
    <row r="977" spans="1:10" s="90" customFormat="1" ht="14.25" hidden="1" x14ac:dyDescent="0.3">
      <c r="A977" s="141"/>
      <c r="B977" s="160">
        <v>961</v>
      </c>
      <c r="C977" s="224"/>
      <c r="D977" s="213"/>
      <c r="E977" s="215"/>
      <c r="F977" s="214"/>
      <c r="G977" s="214"/>
      <c r="H977" s="74" t="str">
        <f t="shared" si="28"/>
        <v/>
      </c>
      <c r="I977" s="188" t="str">
        <f t="shared" si="29"/>
        <v/>
      </c>
      <c r="J977" s="221"/>
    </row>
    <row r="978" spans="1:10" s="90" customFormat="1" ht="14.25" hidden="1" x14ac:dyDescent="0.3">
      <c r="A978" s="141"/>
      <c r="B978" s="160">
        <v>962</v>
      </c>
      <c r="C978" s="224"/>
      <c r="D978" s="213"/>
      <c r="E978" s="215"/>
      <c r="F978" s="214"/>
      <c r="G978" s="214"/>
      <c r="H978" s="74" t="str">
        <f t="shared" ref="H978:H1016" si="30">ObterComplexidadeFuncao(E978,F978,G978)</f>
        <v/>
      </c>
      <c r="I978" s="188" t="str">
        <f t="shared" ref="I978:I1016" si="31">ObterContribuicaoFuncao(E978,H978)</f>
        <v/>
      </c>
      <c r="J978" s="221"/>
    </row>
    <row r="979" spans="1:10" s="90" customFormat="1" ht="14.25" hidden="1" x14ac:dyDescent="0.3">
      <c r="A979" s="141"/>
      <c r="B979" s="160">
        <v>963</v>
      </c>
      <c r="C979" s="224"/>
      <c r="D979" s="216"/>
      <c r="E979" s="215"/>
      <c r="F979" s="217"/>
      <c r="G979" s="218"/>
      <c r="H979" s="74" t="str">
        <f t="shared" si="30"/>
        <v/>
      </c>
      <c r="I979" s="188" t="str">
        <f t="shared" si="31"/>
        <v/>
      </c>
      <c r="J979" s="221"/>
    </row>
    <row r="980" spans="1:10" s="90" customFormat="1" ht="14.25" hidden="1" x14ac:dyDescent="0.3">
      <c r="A980" s="141"/>
      <c r="B980" s="160">
        <v>964</v>
      </c>
      <c r="C980" s="224"/>
      <c r="D980" s="213"/>
      <c r="E980" s="215"/>
      <c r="F980" s="214"/>
      <c r="G980" s="214"/>
      <c r="H980" s="74" t="str">
        <f t="shared" si="30"/>
        <v/>
      </c>
      <c r="I980" s="188" t="str">
        <f t="shared" si="31"/>
        <v/>
      </c>
      <c r="J980" s="221"/>
    </row>
    <row r="981" spans="1:10" s="90" customFormat="1" ht="14.25" hidden="1" x14ac:dyDescent="0.3">
      <c r="A981" s="141"/>
      <c r="B981" s="160">
        <v>965</v>
      </c>
      <c r="C981" s="224"/>
      <c r="D981" s="213"/>
      <c r="E981" s="215"/>
      <c r="F981" s="214"/>
      <c r="G981" s="214"/>
      <c r="H981" s="74" t="str">
        <f t="shared" si="30"/>
        <v/>
      </c>
      <c r="I981" s="188" t="str">
        <f t="shared" si="31"/>
        <v/>
      </c>
      <c r="J981" s="221"/>
    </row>
    <row r="982" spans="1:10" s="90" customFormat="1" ht="14.25" hidden="1" x14ac:dyDescent="0.3">
      <c r="A982" s="141"/>
      <c r="B982" s="160">
        <v>966</v>
      </c>
      <c r="C982" s="224"/>
      <c r="D982" s="216"/>
      <c r="E982" s="215"/>
      <c r="F982" s="217"/>
      <c r="G982" s="218"/>
      <c r="H982" s="74" t="str">
        <f t="shared" si="30"/>
        <v/>
      </c>
      <c r="I982" s="188" t="str">
        <f t="shared" si="31"/>
        <v/>
      </c>
      <c r="J982" s="221"/>
    </row>
    <row r="983" spans="1:10" s="90" customFormat="1" ht="14.25" hidden="1" x14ac:dyDescent="0.3">
      <c r="A983" s="141"/>
      <c r="B983" s="160">
        <v>967</v>
      </c>
      <c r="C983" s="224"/>
      <c r="D983" s="213"/>
      <c r="E983" s="215"/>
      <c r="F983" s="214"/>
      <c r="G983" s="214"/>
      <c r="H983" s="74" t="str">
        <f t="shared" si="30"/>
        <v/>
      </c>
      <c r="I983" s="188" t="str">
        <f t="shared" si="31"/>
        <v/>
      </c>
      <c r="J983" s="221"/>
    </row>
    <row r="984" spans="1:10" s="90" customFormat="1" ht="14.25" hidden="1" x14ac:dyDescent="0.3">
      <c r="A984" s="141"/>
      <c r="B984" s="160">
        <v>968</v>
      </c>
      <c r="C984" s="224"/>
      <c r="D984" s="213"/>
      <c r="E984" s="215"/>
      <c r="F984" s="214"/>
      <c r="G984" s="214"/>
      <c r="H984" s="74" t="str">
        <f t="shared" si="30"/>
        <v/>
      </c>
      <c r="I984" s="188" t="str">
        <f t="shared" si="31"/>
        <v/>
      </c>
      <c r="J984" s="221"/>
    </row>
    <row r="985" spans="1:10" s="90" customFormat="1" ht="14.25" hidden="1" x14ac:dyDescent="0.3">
      <c r="A985" s="141"/>
      <c r="B985" s="160">
        <v>969</v>
      </c>
      <c r="C985" s="224"/>
      <c r="D985" s="216"/>
      <c r="E985" s="215"/>
      <c r="F985" s="217"/>
      <c r="G985" s="218"/>
      <c r="H985" s="74" t="str">
        <f t="shared" si="30"/>
        <v/>
      </c>
      <c r="I985" s="188" t="str">
        <f t="shared" si="31"/>
        <v/>
      </c>
      <c r="J985" s="221"/>
    </row>
    <row r="986" spans="1:10" s="90" customFormat="1" ht="14.25" hidden="1" x14ac:dyDescent="0.3">
      <c r="A986" s="141"/>
      <c r="B986" s="160">
        <v>970</v>
      </c>
      <c r="C986" s="224"/>
      <c r="D986" s="213"/>
      <c r="E986" s="215"/>
      <c r="F986" s="214"/>
      <c r="G986" s="214"/>
      <c r="H986" s="74" t="str">
        <f t="shared" si="30"/>
        <v/>
      </c>
      <c r="I986" s="188" t="str">
        <f t="shared" si="31"/>
        <v/>
      </c>
      <c r="J986" s="221"/>
    </row>
    <row r="987" spans="1:10" s="90" customFormat="1" ht="14.25" hidden="1" x14ac:dyDescent="0.3">
      <c r="A987" s="141"/>
      <c r="B987" s="160">
        <v>971</v>
      </c>
      <c r="C987" s="224"/>
      <c r="D987" s="213"/>
      <c r="E987" s="215"/>
      <c r="F987" s="214"/>
      <c r="G987" s="214"/>
      <c r="H987" s="74" t="str">
        <f t="shared" si="30"/>
        <v/>
      </c>
      <c r="I987" s="188" t="str">
        <f t="shared" si="31"/>
        <v/>
      </c>
      <c r="J987" s="221"/>
    </row>
    <row r="988" spans="1:10" s="90" customFormat="1" ht="14.25" hidden="1" x14ac:dyDescent="0.3">
      <c r="A988" s="141"/>
      <c r="B988" s="160">
        <v>972</v>
      </c>
      <c r="C988" s="224"/>
      <c r="D988" s="216"/>
      <c r="E988" s="215"/>
      <c r="F988" s="217"/>
      <c r="G988" s="218"/>
      <c r="H988" s="74" t="str">
        <f t="shared" si="30"/>
        <v/>
      </c>
      <c r="I988" s="188" t="str">
        <f t="shared" si="31"/>
        <v/>
      </c>
      <c r="J988" s="221"/>
    </row>
    <row r="989" spans="1:10" s="90" customFormat="1" ht="14.25" hidden="1" x14ac:dyDescent="0.3">
      <c r="A989" s="141"/>
      <c r="B989" s="160">
        <v>973</v>
      </c>
      <c r="C989" s="224"/>
      <c r="D989" s="213"/>
      <c r="E989" s="215"/>
      <c r="F989" s="214"/>
      <c r="G989" s="214"/>
      <c r="H989" s="74" t="str">
        <f t="shared" si="30"/>
        <v/>
      </c>
      <c r="I989" s="188" t="str">
        <f t="shared" si="31"/>
        <v/>
      </c>
      <c r="J989" s="221"/>
    </row>
    <row r="990" spans="1:10" s="90" customFormat="1" ht="14.25" hidden="1" x14ac:dyDescent="0.3">
      <c r="A990" s="141"/>
      <c r="B990" s="160">
        <v>974</v>
      </c>
      <c r="C990" s="224"/>
      <c r="D990" s="213"/>
      <c r="E990" s="215"/>
      <c r="F990" s="214"/>
      <c r="G990" s="214"/>
      <c r="H990" s="74" t="str">
        <f t="shared" si="30"/>
        <v/>
      </c>
      <c r="I990" s="188" t="str">
        <f t="shared" si="31"/>
        <v/>
      </c>
      <c r="J990" s="221"/>
    </row>
    <row r="991" spans="1:10" s="90" customFormat="1" ht="14.25" hidden="1" x14ac:dyDescent="0.3">
      <c r="A991" s="141"/>
      <c r="B991" s="160">
        <v>975</v>
      </c>
      <c r="C991" s="224"/>
      <c r="D991" s="216"/>
      <c r="E991" s="215"/>
      <c r="F991" s="217"/>
      <c r="G991" s="218"/>
      <c r="H991" s="74" t="str">
        <f t="shared" si="30"/>
        <v/>
      </c>
      <c r="I991" s="188" t="str">
        <f t="shared" si="31"/>
        <v/>
      </c>
      <c r="J991" s="221"/>
    </row>
    <row r="992" spans="1:10" s="90" customFormat="1" ht="14.25" hidden="1" x14ac:dyDescent="0.3">
      <c r="A992" s="141"/>
      <c r="B992" s="160">
        <v>976</v>
      </c>
      <c r="C992" s="224"/>
      <c r="D992" s="213"/>
      <c r="E992" s="215"/>
      <c r="F992" s="214"/>
      <c r="G992" s="214"/>
      <c r="H992" s="74" t="str">
        <f t="shared" si="30"/>
        <v/>
      </c>
      <c r="I992" s="188" t="str">
        <f t="shared" si="31"/>
        <v/>
      </c>
      <c r="J992" s="221"/>
    </row>
    <row r="993" spans="1:10" s="90" customFormat="1" ht="14.25" hidden="1" x14ac:dyDescent="0.3">
      <c r="A993" s="141"/>
      <c r="B993" s="160">
        <v>977</v>
      </c>
      <c r="C993" s="224"/>
      <c r="D993" s="213"/>
      <c r="E993" s="215"/>
      <c r="F993" s="214"/>
      <c r="G993" s="214"/>
      <c r="H993" s="74" t="str">
        <f t="shared" si="30"/>
        <v/>
      </c>
      <c r="I993" s="188" t="str">
        <f t="shared" si="31"/>
        <v/>
      </c>
      <c r="J993" s="221"/>
    </row>
    <row r="994" spans="1:10" s="90" customFormat="1" ht="14.25" hidden="1" x14ac:dyDescent="0.3">
      <c r="A994" s="141"/>
      <c r="B994" s="160">
        <v>978</v>
      </c>
      <c r="C994" s="224"/>
      <c r="D994" s="216"/>
      <c r="E994" s="215"/>
      <c r="F994" s="217"/>
      <c r="G994" s="218"/>
      <c r="H994" s="74" t="str">
        <f t="shared" si="30"/>
        <v/>
      </c>
      <c r="I994" s="188" t="str">
        <f t="shared" si="31"/>
        <v/>
      </c>
      <c r="J994" s="221"/>
    </row>
    <row r="995" spans="1:10" s="90" customFormat="1" ht="14.25" hidden="1" x14ac:dyDescent="0.3">
      <c r="A995" s="141"/>
      <c r="B995" s="160">
        <v>979</v>
      </c>
      <c r="C995" s="224"/>
      <c r="D995" s="213"/>
      <c r="E995" s="215"/>
      <c r="F995" s="214"/>
      <c r="G995" s="214"/>
      <c r="H995" s="74" t="str">
        <f t="shared" si="30"/>
        <v/>
      </c>
      <c r="I995" s="188" t="str">
        <f t="shared" si="31"/>
        <v/>
      </c>
      <c r="J995" s="221"/>
    </row>
    <row r="996" spans="1:10" s="90" customFormat="1" ht="14.25" hidden="1" x14ac:dyDescent="0.3">
      <c r="A996" s="141"/>
      <c r="B996" s="160">
        <v>980</v>
      </c>
      <c r="C996" s="224"/>
      <c r="D996" s="213"/>
      <c r="E996" s="215"/>
      <c r="F996" s="214"/>
      <c r="G996" s="214"/>
      <c r="H996" s="74" t="str">
        <f t="shared" si="30"/>
        <v/>
      </c>
      <c r="I996" s="188" t="str">
        <f t="shared" si="31"/>
        <v/>
      </c>
      <c r="J996" s="221"/>
    </row>
    <row r="997" spans="1:10" s="90" customFormat="1" ht="14.25" hidden="1" x14ac:dyDescent="0.3">
      <c r="A997" s="141"/>
      <c r="B997" s="160">
        <v>981</v>
      </c>
      <c r="C997" s="224"/>
      <c r="D997" s="216"/>
      <c r="E997" s="215"/>
      <c r="F997" s="217"/>
      <c r="G997" s="218"/>
      <c r="H997" s="74" t="str">
        <f t="shared" si="30"/>
        <v/>
      </c>
      <c r="I997" s="188" t="str">
        <f t="shared" si="31"/>
        <v/>
      </c>
      <c r="J997" s="221"/>
    </row>
    <row r="998" spans="1:10" s="90" customFormat="1" ht="14.25" hidden="1" x14ac:dyDescent="0.3">
      <c r="A998" s="141"/>
      <c r="B998" s="160">
        <v>982</v>
      </c>
      <c r="C998" s="224"/>
      <c r="D998" s="213"/>
      <c r="E998" s="215"/>
      <c r="F998" s="214"/>
      <c r="G998" s="214"/>
      <c r="H998" s="74" t="str">
        <f t="shared" si="30"/>
        <v/>
      </c>
      <c r="I998" s="188" t="str">
        <f t="shared" si="31"/>
        <v/>
      </c>
      <c r="J998" s="221"/>
    </row>
    <row r="999" spans="1:10" s="90" customFormat="1" ht="14.25" hidden="1" x14ac:dyDescent="0.3">
      <c r="A999" s="141"/>
      <c r="B999" s="160">
        <v>983</v>
      </c>
      <c r="C999" s="224"/>
      <c r="D999" s="213"/>
      <c r="E999" s="215"/>
      <c r="F999" s="214"/>
      <c r="G999" s="214"/>
      <c r="H999" s="74" t="str">
        <f t="shared" si="30"/>
        <v/>
      </c>
      <c r="I999" s="188" t="str">
        <f t="shared" si="31"/>
        <v/>
      </c>
      <c r="J999" s="221"/>
    </row>
    <row r="1000" spans="1:10" s="90" customFormat="1" ht="14.25" hidden="1" x14ac:dyDescent="0.3">
      <c r="A1000" s="141"/>
      <c r="B1000" s="160">
        <v>984</v>
      </c>
      <c r="C1000" s="224"/>
      <c r="D1000" s="216"/>
      <c r="E1000" s="215"/>
      <c r="F1000" s="217"/>
      <c r="G1000" s="218"/>
      <c r="H1000" s="74" t="str">
        <f t="shared" si="30"/>
        <v/>
      </c>
      <c r="I1000" s="188" t="str">
        <f t="shared" si="31"/>
        <v/>
      </c>
      <c r="J1000" s="221"/>
    </row>
    <row r="1001" spans="1:10" s="90" customFormat="1" ht="14.25" hidden="1" x14ac:dyDescent="0.3">
      <c r="A1001" s="141"/>
      <c r="B1001" s="160">
        <v>985</v>
      </c>
      <c r="C1001" s="224"/>
      <c r="D1001" s="213"/>
      <c r="E1001" s="215"/>
      <c r="F1001" s="214"/>
      <c r="G1001" s="214"/>
      <c r="H1001" s="74" t="str">
        <f t="shared" si="30"/>
        <v/>
      </c>
      <c r="I1001" s="188" t="str">
        <f t="shared" si="31"/>
        <v/>
      </c>
      <c r="J1001" s="221"/>
    </row>
    <row r="1002" spans="1:10" s="90" customFormat="1" ht="14.25" hidden="1" x14ac:dyDescent="0.3">
      <c r="A1002" s="141"/>
      <c r="B1002" s="160">
        <v>986</v>
      </c>
      <c r="C1002" s="224"/>
      <c r="D1002" s="213"/>
      <c r="E1002" s="215"/>
      <c r="F1002" s="214"/>
      <c r="G1002" s="214"/>
      <c r="H1002" s="74" t="str">
        <f t="shared" si="30"/>
        <v/>
      </c>
      <c r="I1002" s="188" t="str">
        <f t="shared" si="31"/>
        <v/>
      </c>
      <c r="J1002" s="221"/>
    </row>
    <row r="1003" spans="1:10" s="90" customFormat="1" ht="14.25" hidden="1" x14ac:dyDescent="0.3">
      <c r="A1003" s="141"/>
      <c r="B1003" s="160">
        <v>987</v>
      </c>
      <c r="C1003" s="224"/>
      <c r="D1003" s="216"/>
      <c r="E1003" s="215"/>
      <c r="F1003" s="217"/>
      <c r="G1003" s="218"/>
      <c r="H1003" s="74" t="str">
        <f t="shared" si="30"/>
        <v/>
      </c>
      <c r="I1003" s="188" t="str">
        <f t="shared" si="31"/>
        <v/>
      </c>
      <c r="J1003" s="221"/>
    </row>
    <row r="1004" spans="1:10" s="90" customFormat="1" ht="14.25" hidden="1" x14ac:dyDescent="0.3">
      <c r="A1004" s="141"/>
      <c r="B1004" s="160">
        <v>988</v>
      </c>
      <c r="C1004" s="224"/>
      <c r="D1004" s="213"/>
      <c r="E1004" s="215"/>
      <c r="F1004" s="214"/>
      <c r="G1004" s="214"/>
      <c r="H1004" s="74" t="str">
        <f t="shared" si="30"/>
        <v/>
      </c>
      <c r="I1004" s="188" t="str">
        <f t="shared" si="31"/>
        <v/>
      </c>
      <c r="J1004" s="221"/>
    </row>
    <row r="1005" spans="1:10" s="90" customFormat="1" ht="14.25" hidden="1" x14ac:dyDescent="0.3">
      <c r="A1005" s="141"/>
      <c r="B1005" s="160">
        <v>989</v>
      </c>
      <c r="C1005" s="224"/>
      <c r="D1005" s="213"/>
      <c r="E1005" s="215"/>
      <c r="F1005" s="214"/>
      <c r="G1005" s="214"/>
      <c r="H1005" s="74" t="str">
        <f t="shared" si="30"/>
        <v/>
      </c>
      <c r="I1005" s="188" t="str">
        <f t="shared" si="31"/>
        <v/>
      </c>
      <c r="J1005" s="221"/>
    </row>
    <row r="1006" spans="1:10" s="90" customFormat="1" ht="14.25" hidden="1" x14ac:dyDescent="0.3">
      <c r="A1006" s="141"/>
      <c r="B1006" s="160">
        <v>990</v>
      </c>
      <c r="C1006" s="224"/>
      <c r="D1006" s="216"/>
      <c r="E1006" s="215"/>
      <c r="F1006" s="217"/>
      <c r="G1006" s="218"/>
      <c r="H1006" s="74" t="str">
        <f t="shared" si="30"/>
        <v/>
      </c>
      <c r="I1006" s="188" t="str">
        <f t="shared" si="31"/>
        <v/>
      </c>
      <c r="J1006" s="221"/>
    </row>
    <row r="1007" spans="1:10" s="90" customFormat="1" ht="14.25" hidden="1" x14ac:dyDescent="0.3">
      <c r="A1007" s="141"/>
      <c r="B1007" s="160">
        <v>991</v>
      </c>
      <c r="C1007" s="224"/>
      <c r="D1007" s="213"/>
      <c r="E1007" s="215"/>
      <c r="F1007" s="214"/>
      <c r="G1007" s="214"/>
      <c r="H1007" s="74" t="str">
        <f t="shared" si="30"/>
        <v/>
      </c>
      <c r="I1007" s="188" t="str">
        <f t="shared" si="31"/>
        <v/>
      </c>
      <c r="J1007" s="221"/>
    </row>
    <row r="1008" spans="1:10" s="90" customFormat="1" ht="14.25" hidden="1" x14ac:dyDescent="0.3">
      <c r="A1008" s="141"/>
      <c r="B1008" s="160">
        <v>992</v>
      </c>
      <c r="C1008" s="224"/>
      <c r="D1008" s="213"/>
      <c r="E1008" s="215"/>
      <c r="F1008" s="214"/>
      <c r="G1008" s="214"/>
      <c r="H1008" s="74" t="str">
        <f t="shared" si="30"/>
        <v/>
      </c>
      <c r="I1008" s="188" t="str">
        <f t="shared" si="31"/>
        <v/>
      </c>
      <c r="J1008" s="221"/>
    </row>
    <row r="1009" spans="1:10" s="90" customFormat="1" ht="14.25" hidden="1" x14ac:dyDescent="0.3">
      <c r="A1009" s="141"/>
      <c r="B1009" s="160">
        <v>993</v>
      </c>
      <c r="C1009" s="224"/>
      <c r="D1009" s="216"/>
      <c r="E1009" s="215"/>
      <c r="F1009" s="217"/>
      <c r="G1009" s="218"/>
      <c r="H1009" s="74" t="str">
        <f t="shared" si="30"/>
        <v/>
      </c>
      <c r="I1009" s="188" t="str">
        <f t="shared" si="31"/>
        <v/>
      </c>
      <c r="J1009" s="221"/>
    </row>
    <row r="1010" spans="1:10" s="90" customFormat="1" ht="14.25" hidden="1" x14ac:dyDescent="0.3">
      <c r="A1010" s="141"/>
      <c r="B1010" s="160">
        <v>994</v>
      </c>
      <c r="C1010" s="224"/>
      <c r="D1010" s="213"/>
      <c r="E1010" s="215"/>
      <c r="F1010" s="214"/>
      <c r="G1010" s="214"/>
      <c r="H1010" s="74" t="str">
        <f t="shared" si="30"/>
        <v/>
      </c>
      <c r="I1010" s="188" t="str">
        <f t="shared" si="31"/>
        <v/>
      </c>
      <c r="J1010" s="221"/>
    </row>
    <row r="1011" spans="1:10" s="90" customFormat="1" ht="14.25" hidden="1" x14ac:dyDescent="0.3">
      <c r="A1011" s="141"/>
      <c r="B1011" s="160">
        <v>995</v>
      </c>
      <c r="C1011" s="224"/>
      <c r="D1011" s="213"/>
      <c r="E1011" s="215"/>
      <c r="F1011" s="214"/>
      <c r="G1011" s="214"/>
      <c r="H1011" s="74" t="str">
        <f t="shared" si="30"/>
        <v/>
      </c>
      <c r="I1011" s="188" t="str">
        <f t="shared" si="31"/>
        <v/>
      </c>
      <c r="J1011" s="221"/>
    </row>
    <row r="1012" spans="1:10" s="90" customFormat="1" ht="14.25" hidden="1" x14ac:dyDescent="0.3">
      <c r="A1012" s="141"/>
      <c r="B1012" s="160">
        <v>996</v>
      </c>
      <c r="C1012" s="224"/>
      <c r="D1012" s="216"/>
      <c r="E1012" s="215"/>
      <c r="F1012" s="217"/>
      <c r="G1012" s="218"/>
      <c r="H1012" s="74" t="str">
        <f t="shared" si="30"/>
        <v/>
      </c>
      <c r="I1012" s="188" t="str">
        <f t="shared" si="31"/>
        <v/>
      </c>
      <c r="J1012" s="221"/>
    </row>
    <row r="1013" spans="1:10" s="90" customFormat="1" ht="14.25" hidden="1" x14ac:dyDescent="0.3">
      <c r="A1013" s="141"/>
      <c r="B1013" s="160">
        <v>997</v>
      </c>
      <c r="C1013" s="224"/>
      <c r="D1013" s="213"/>
      <c r="E1013" s="215"/>
      <c r="F1013" s="214"/>
      <c r="G1013" s="214"/>
      <c r="H1013" s="74" t="str">
        <f t="shared" si="30"/>
        <v/>
      </c>
      <c r="I1013" s="188" t="str">
        <f t="shared" si="31"/>
        <v/>
      </c>
      <c r="J1013" s="221"/>
    </row>
    <row r="1014" spans="1:10" s="90" customFormat="1" ht="14.25" hidden="1" x14ac:dyDescent="0.3">
      <c r="A1014" s="141"/>
      <c r="B1014" s="160">
        <v>998</v>
      </c>
      <c r="C1014" s="224"/>
      <c r="D1014" s="213"/>
      <c r="E1014" s="215"/>
      <c r="F1014" s="214"/>
      <c r="G1014" s="214"/>
      <c r="H1014" s="74" t="str">
        <f t="shared" si="30"/>
        <v/>
      </c>
      <c r="I1014" s="188" t="str">
        <f t="shared" si="31"/>
        <v/>
      </c>
      <c r="J1014" s="221"/>
    </row>
    <row r="1015" spans="1:10" s="90" customFormat="1" ht="14.25" hidden="1" x14ac:dyDescent="0.3">
      <c r="A1015" s="141"/>
      <c r="B1015" s="160">
        <v>999</v>
      </c>
      <c r="C1015" s="224"/>
      <c r="D1015" s="216"/>
      <c r="E1015" s="215"/>
      <c r="F1015" s="217"/>
      <c r="G1015" s="218"/>
      <c r="H1015" s="74" t="str">
        <f t="shared" si="30"/>
        <v/>
      </c>
      <c r="I1015" s="188" t="str">
        <f t="shared" si="31"/>
        <v/>
      </c>
      <c r="J1015" s="221"/>
    </row>
    <row r="1016" spans="1:10" s="90" customFormat="1" hidden="1" thickBot="1" x14ac:dyDescent="0.35">
      <c r="A1016" s="141"/>
      <c r="B1016" s="161">
        <v>1000</v>
      </c>
      <c r="C1016" s="224"/>
      <c r="D1016" s="219"/>
      <c r="E1016" s="215"/>
      <c r="F1016" s="220"/>
      <c r="G1016" s="220"/>
      <c r="H1016" s="154" t="str">
        <f t="shared" si="30"/>
        <v/>
      </c>
      <c r="I1016" s="188" t="str">
        <f t="shared" si="31"/>
        <v/>
      </c>
      <c r="J1016" s="222"/>
    </row>
    <row r="1017" spans="1:10" s="90" customFormat="1" hidden="1" thickBot="1" x14ac:dyDescent="0.35">
      <c r="A1017" s="141"/>
      <c r="B1017" s="156"/>
      <c r="C1017" s="162"/>
      <c r="D1017" s="162"/>
      <c r="E1017" s="163"/>
      <c r="F1017" s="163"/>
      <c r="G1017" s="164"/>
      <c r="H1017" s="91" t="e">
        <f>IF(#REF!&lt;&gt;"","Baixa",IF(#REF!&lt;&gt;"","Média",IF(#REF!&lt;&gt;"","Alta","")))</f>
        <v>#REF!</v>
      </c>
      <c r="J1017" s="190"/>
    </row>
    <row r="1018" spans="1:10" s="68" customFormat="1" ht="12.75" customHeight="1" thickBot="1" x14ac:dyDescent="0.35">
      <c r="A1018" s="92"/>
      <c r="B1018" s="165">
        <v>3</v>
      </c>
      <c r="C1018" s="158"/>
      <c r="D1018" s="157"/>
      <c r="E1018" s="157"/>
      <c r="F1018" s="157"/>
      <c r="G1018" s="157"/>
      <c r="H1018" s="157"/>
      <c r="I1018" s="189">
        <f>SUM(I17:I1017)</f>
        <v>161</v>
      </c>
      <c r="J1018" s="159"/>
    </row>
    <row r="1019" spans="1:10" s="68" customFormat="1" ht="12.75" hidden="1" customHeight="1" x14ac:dyDescent="0.3">
      <c r="A1019" s="92"/>
      <c r="B1019" s="92"/>
      <c r="C1019" s="93"/>
      <c r="D1019" s="92"/>
      <c r="E1019" s="92"/>
      <c r="F1019" s="92"/>
      <c r="G1019" s="92"/>
      <c r="H1019" s="92"/>
      <c r="J1019" s="92"/>
    </row>
    <row r="1020" spans="1:10" s="68" customFormat="1" ht="12.75" hidden="1" customHeight="1" x14ac:dyDescent="0.3">
      <c r="A1020" s="92"/>
      <c r="B1020" s="92"/>
      <c r="C1020" s="93"/>
      <c r="D1020" s="92"/>
      <c r="E1020" s="92"/>
      <c r="F1020" s="92"/>
      <c r="G1020" s="92"/>
      <c r="H1020" s="92"/>
      <c r="J1020" s="92"/>
    </row>
    <row r="1021" spans="1:10" s="68" customFormat="1" ht="12.75" hidden="1" customHeight="1" x14ac:dyDescent="0.3">
      <c r="A1021" s="93"/>
      <c r="B1021" s="93"/>
      <c r="C1021" s="93"/>
      <c r="D1021" s="93"/>
      <c r="E1021" s="93"/>
      <c r="F1021" s="93"/>
      <c r="G1021" s="93"/>
      <c r="H1021" s="94"/>
      <c r="J1021" s="93"/>
    </row>
    <row r="1022" spans="1:10" s="68" customFormat="1" ht="12.75" hidden="1" customHeight="1" x14ac:dyDescent="0.3">
      <c r="A1022" s="72">
        <v>1</v>
      </c>
      <c r="B1022" s="72">
        <v>10</v>
      </c>
      <c r="C1022" s="72"/>
      <c r="D1022" s="72"/>
      <c r="E1022" s="72"/>
      <c r="F1022" s="95"/>
      <c r="H1022" s="72"/>
      <c r="J1022" s="72"/>
    </row>
    <row r="1023" spans="1:10" s="68" customFormat="1" ht="12.75" hidden="1" customHeight="1" x14ac:dyDescent="0.3">
      <c r="A1023" s="71">
        <v>2</v>
      </c>
      <c r="B1023" s="72">
        <v>20</v>
      </c>
      <c r="C1023" s="71"/>
      <c r="D1023" s="71"/>
      <c r="E1023" s="71"/>
      <c r="F1023" s="95"/>
      <c r="H1023" s="71"/>
      <c r="J1023" s="71"/>
    </row>
    <row r="1024" spans="1:10" s="68" customFormat="1" ht="12.75" hidden="1" customHeight="1" x14ac:dyDescent="0.3">
      <c r="A1024" s="71">
        <v>3</v>
      </c>
      <c r="B1024" s="72">
        <v>30</v>
      </c>
      <c r="C1024" s="71"/>
      <c r="D1024" s="71"/>
      <c r="E1024" s="71"/>
      <c r="F1024" s="95"/>
      <c r="H1024" s="71"/>
      <c r="J1024" s="71"/>
    </row>
    <row r="1025" spans="1:10" s="68" customFormat="1" ht="12.75" hidden="1" customHeight="1" x14ac:dyDescent="0.3">
      <c r="A1025" s="68">
        <v>4</v>
      </c>
      <c r="B1025" s="72">
        <v>40</v>
      </c>
      <c r="F1025" s="69"/>
    </row>
    <row r="1026" spans="1:10" s="68" customFormat="1" ht="12.75" hidden="1" customHeight="1" x14ac:dyDescent="0.3">
      <c r="A1026" s="68">
        <v>5</v>
      </c>
      <c r="B1026" s="72">
        <v>50</v>
      </c>
      <c r="F1026" s="69"/>
    </row>
    <row r="1027" spans="1:10" s="68" customFormat="1" ht="12.75" hidden="1" customHeight="1" x14ac:dyDescent="0.3">
      <c r="A1027" s="68">
        <v>6</v>
      </c>
      <c r="B1027" s="72">
        <v>100</v>
      </c>
      <c r="F1027" s="69"/>
    </row>
    <row r="1028" spans="1:10" s="68" customFormat="1" ht="12.75" hidden="1" customHeight="1" x14ac:dyDescent="0.3">
      <c r="A1028" s="68">
        <v>7</v>
      </c>
      <c r="B1028" s="72">
        <v>200</v>
      </c>
      <c r="F1028" s="69"/>
    </row>
    <row r="1029" spans="1:10" s="68" customFormat="1" ht="12.75" hidden="1" customHeight="1" x14ac:dyDescent="0.3">
      <c r="A1029" s="68">
        <v>8</v>
      </c>
      <c r="B1029" s="72">
        <v>300</v>
      </c>
      <c r="F1029" s="69"/>
    </row>
    <row r="1030" spans="1:10" s="68" customFormat="1" ht="12.75" hidden="1" customHeight="1" x14ac:dyDescent="0.3">
      <c r="A1030" s="68">
        <v>9</v>
      </c>
      <c r="B1030" s="72">
        <v>500</v>
      </c>
      <c r="F1030" s="69"/>
    </row>
    <row r="1031" spans="1:10" s="68" customFormat="1" ht="12.75" hidden="1" customHeight="1" x14ac:dyDescent="0.3">
      <c r="A1031" s="68">
        <v>10</v>
      </c>
      <c r="B1031" s="72">
        <v>1000</v>
      </c>
      <c r="F1031" s="69"/>
    </row>
    <row r="1032" spans="1:10" s="68" customFormat="1" ht="12.75" hidden="1" customHeight="1" x14ac:dyDescent="0.3">
      <c r="B1032" s="72">
        <v>1</v>
      </c>
      <c r="F1032" s="69"/>
    </row>
    <row r="1033" spans="1:10" s="68" customFormat="1" ht="12.75" hidden="1" customHeight="1" x14ac:dyDescent="0.3">
      <c r="B1033" s="72">
        <v>2</v>
      </c>
      <c r="F1033" s="69"/>
    </row>
    <row r="1034" spans="1:10" s="68" customFormat="1" ht="12.75" hidden="1" customHeight="1" x14ac:dyDescent="0.2">
      <c r="B1034" s="68">
        <v>1</v>
      </c>
      <c r="F1034" s="69"/>
    </row>
    <row r="1035" spans="1:10" s="68" customFormat="1" ht="12.75" hidden="1" customHeight="1" x14ac:dyDescent="0.2">
      <c r="B1035" s="68">
        <f>IF(B1033&lt;&gt;"",VLOOKUP(B1033,A1022:B1031,2),0)</f>
        <v>20</v>
      </c>
      <c r="F1035" s="69"/>
    </row>
    <row r="1036" spans="1:10" s="90" customFormat="1" ht="12.75" customHeight="1" x14ac:dyDescent="0.3">
      <c r="A1036" s="92"/>
      <c r="B1036" s="92">
        <f>SUM(D1038:D1047)</f>
        <v>30</v>
      </c>
      <c r="C1036" s="166" t="s">
        <v>455</v>
      </c>
      <c r="D1036" s="92"/>
      <c r="E1036" s="92"/>
      <c r="F1036" s="92"/>
      <c r="G1036" s="92"/>
      <c r="H1036" s="92"/>
      <c r="J1036" s="92"/>
    </row>
    <row r="1037" spans="1:10" s="90" customFormat="1" ht="12.75" hidden="1" customHeight="1" x14ac:dyDescent="0.3">
      <c r="A1037" s="92"/>
      <c r="C1037" s="93"/>
      <c r="D1037" s="167"/>
      <c r="E1037" s="92"/>
      <c r="F1037" s="92"/>
      <c r="G1037" s="92"/>
      <c r="H1037" s="92"/>
      <c r="J1037" s="92"/>
    </row>
    <row r="1038" spans="1:10" s="90" customFormat="1" ht="12.75" hidden="1" customHeight="1" x14ac:dyDescent="0.3">
      <c r="A1038" s="92"/>
      <c r="B1038" s="92">
        <v>1</v>
      </c>
      <c r="C1038" s="93">
        <v>10</v>
      </c>
      <c r="D1038" s="167" t="str">
        <f>IF($B$1018=B1038,C1038,"")</f>
        <v/>
      </c>
      <c r="E1038" s="92"/>
      <c r="F1038" s="92"/>
      <c r="G1038" s="92"/>
      <c r="H1038" s="92"/>
      <c r="J1038" s="92"/>
    </row>
    <row r="1039" spans="1:10" s="96" customFormat="1" ht="12.75" hidden="1" customHeight="1" x14ac:dyDescent="0.3">
      <c r="A1039" s="92"/>
      <c r="B1039" s="92">
        <v>2</v>
      </c>
      <c r="C1039" s="93">
        <v>20</v>
      </c>
      <c r="D1039" s="167" t="str">
        <f t="shared" ref="D1039:D1047" si="32">IF($B$1018=B1039,C1039,"")</f>
        <v/>
      </c>
      <c r="E1039" s="92"/>
      <c r="F1039" s="92"/>
      <c r="G1039" s="92"/>
      <c r="H1039" s="92"/>
      <c r="J1039" s="92"/>
    </row>
    <row r="1040" spans="1:10" s="97" customFormat="1" ht="12.75" hidden="1" customHeight="1" x14ac:dyDescent="0.3">
      <c r="A1040" s="93"/>
      <c r="B1040" s="92">
        <v>3</v>
      </c>
      <c r="C1040" s="93">
        <v>30</v>
      </c>
      <c r="D1040" s="167">
        <f t="shared" si="32"/>
        <v>30</v>
      </c>
      <c r="E1040" s="93"/>
      <c r="F1040" s="93"/>
      <c r="G1040" s="93"/>
      <c r="H1040" s="94"/>
      <c r="J1040" s="93"/>
    </row>
    <row r="1041" spans="1:12" s="92" customFormat="1" hidden="1" x14ac:dyDescent="0.3">
      <c r="B1041" s="92">
        <v>4</v>
      </c>
      <c r="C1041" s="93">
        <v>40</v>
      </c>
      <c r="D1041" s="167" t="str">
        <f t="shared" si="32"/>
        <v/>
      </c>
    </row>
    <row r="1042" spans="1:12" s="92" customFormat="1" ht="15" hidden="1" customHeight="1" x14ac:dyDescent="0.3">
      <c r="B1042" s="92">
        <v>5</v>
      </c>
      <c r="C1042" s="93">
        <v>50</v>
      </c>
      <c r="D1042" s="167" t="str">
        <f t="shared" si="32"/>
        <v/>
      </c>
    </row>
    <row r="1043" spans="1:12" s="92" customFormat="1" ht="15" hidden="1" customHeight="1" x14ac:dyDescent="0.3">
      <c r="B1043" s="92">
        <v>6</v>
      </c>
      <c r="C1043" s="93">
        <v>100</v>
      </c>
      <c r="D1043" s="167" t="str">
        <f t="shared" si="32"/>
        <v/>
      </c>
    </row>
    <row r="1044" spans="1:12" ht="15" hidden="1" customHeight="1" x14ac:dyDescent="0.3">
      <c r="B1044" s="92">
        <v>7</v>
      </c>
      <c r="C1044" s="93">
        <v>200</v>
      </c>
      <c r="D1044" s="167" t="str">
        <f t="shared" si="32"/>
        <v/>
      </c>
    </row>
    <row r="1045" spans="1:12" hidden="1" x14ac:dyDescent="0.3">
      <c r="B1045" s="92">
        <v>8</v>
      </c>
      <c r="C1045" s="93">
        <v>300</v>
      </c>
      <c r="D1045" s="167" t="str">
        <f t="shared" si="32"/>
        <v/>
      </c>
    </row>
    <row r="1046" spans="1:12" hidden="1" x14ac:dyDescent="0.3">
      <c r="B1046" s="92">
        <v>9</v>
      </c>
      <c r="C1046" s="93">
        <v>500</v>
      </c>
      <c r="D1046" s="167" t="str">
        <f t="shared" si="32"/>
        <v/>
      </c>
    </row>
    <row r="1047" spans="1:12" hidden="1" x14ac:dyDescent="0.3">
      <c r="B1047" s="92">
        <v>10</v>
      </c>
      <c r="C1047" s="93">
        <v>1000</v>
      </c>
      <c r="D1047" s="167" t="str">
        <f t="shared" si="32"/>
        <v/>
      </c>
    </row>
    <row r="1048" spans="1:12" x14ac:dyDescent="0.3">
      <c r="B1048" s="92">
        <f>COUNTA(E17:E1017)</f>
        <v>23</v>
      </c>
      <c r="C1048" s="166" t="s">
        <v>458</v>
      </c>
    </row>
    <row r="1049" spans="1:12" x14ac:dyDescent="0.3">
      <c r="B1049" s="92">
        <f>COUNT(I17:I1017)</f>
        <v>23</v>
      </c>
      <c r="C1049" s="166" t="s">
        <v>459</v>
      </c>
    </row>
    <row r="1051" spans="1:12" hidden="1" x14ac:dyDescent="0.3">
      <c r="B1051" s="201" t="s">
        <v>227</v>
      </c>
      <c r="C1051" s="202" t="s">
        <v>433</v>
      </c>
      <c r="D1051" s="286" t="s">
        <v>475</v>
      </c>
      <c r="E1051" s="287"/>
    </row>
    <row r="1052" spans="1:12" s="94" customFormat="1" hidden="1" x14ac:dyDescent="0.3">
      <c r="A1052" s="93"/>
      <c r="B1052" s="203">
        <f>SUMIF($E$17:$E$1017,C1052,$I$17:$I$1017)</f>
        <v>161</v>
      </c>
      <c r="C1052" s="204" t="s">
        <v>152</v>
      </c>
      <c r="D1052" s="288" t="s">
        <v>484</v>
      </c>
      <c r="E1052" s="289"/>
      <c r="F1052" s="231">
        <f>IF(B1052&lt;&gt;"",COUNTIF($E$17:$E$1017,C1052),"")</f>
        <v>23</v>
      </c>
      <c r="I1052" s="93"/>
      <c r="J1052" s="93"/>
      <c r="K1052" s="93"/>
      <c r="L1052" s="93"/>
    </row>
    <row r="1053" spans="1:12" s="94" customFormat="1" hidden="1" x14ac:dyDescent="0.3">
      <c r="A1053" s="93"/>
      <c r="B1053" s="203">
        <f>SUMIF($E$17:$E$1017,C1053,$I$17:$I$1017)</f>
        <v>0</v>
      </c>
      <c r="C1053" s="204" t="s">
        <v>153</v>
      </c>
      <c r="D1053" s="288" t="s">
        <v>483</v>
      </c>
      <c r="E1053" s="289"/>
      <c r="F1053" s="231">
        <f>IF(B1053&lt;&gt;"",COUNTIF($E$17:$E$1017,C1053),"")</f>
        <v>0</v>
      </c>
      <c r="I1053" s="93"/>
      <c r="J1053" s="93"/>
      <c r="K1053" s="93"/>
      <c r="L1053" s="93"/>
    </row>
    <row r="1054" spans="1:12" s="94" customFormat="1" hidden="1" x14ac:dyDescent="0.3">
      <c r="A1054" s="93"/>
      <c r="B1054" s="93"/>
      <c r="C1054" s="93"/>
      <c r="D1054" s="93"/>
      <c r="E1054" s="93"/>
      <c r="I1054" s="93"/>
      <c r="J1054" s="93"/>
      <c r="K1054" s="93"/>
      <c r="L1054" s="93"/>
    </row>
    <row r="1055" spans="1:12" s="94" customFormat="1" hidden="1" x14ac:dyDescent="0.3">
      <c r="A1055" s="93"/>
      <c r="B1055" s="93"/>
      <c r="C1055" s="93"/>
      <c r="D1055" s="93"/>
      <c r="E1055" s="93"/>
      <c r="I1055" s="93"/>
      <c r="J1055" s="93"/>
      <c r="K1055" s="93"/>
      <c r="L1055" s="93"/>
    </row>
    <row r="1056" spans="1:12" s="94" customFormat="1" hidden="1" x14ac:dyDescent="0.3">
      <c r="A1056" s="93"/>
      <c r="B1056" s="93"/>
      <c r="C1056" s="93"/>
      <c r="D1056" s="93"/>
      <c r="E1056" s="93"/>
      <c r="I1056" s="93"/>
      <c r="J1056" s="93"/>
      <c r="K1056" s="93"/>
      <c r="L1056" s="93"/>
    </row>
    <row r="1057" spans="1:12" s="94" customFormat="1" hidden="1" x14ac:dyDescent="0.3">
      <c r="A1057" s="93"/>
      <c r="B1057" s="93"/>
      <c r="C1057" s="93"/>
      <c r="D1057" s="93"/>
      <c r="E1057" s="93"/>
      <c r="I1057" s="93"/>
      <c r="J1057" s="93"/>
      <c r="K1057" s="93"/>
      <c r="L1057" s="93"/>
    </row>
    <row r="1058" spans="1:12" s="94" customFormat="1" hidden="1" x14ac:dyDescent="0.3">
      <c r="A1058" s="93"/>
      <c r="B1058" s="93"/>
      <c r="C1058" s="93"/>
      <c r="D1058" s="93"/>
      <c r="E1058" s="93"/>
      <c r="I1058" s="93"/>
      <c r="J1058" s="93"/>
      <c r="K1058" s="93"/>
      <c r="L1058" s="93"/>
    </row>
    <row r="1059" spans="1:12" s="94" customFormat="1" hidden="1" x14ac:dyDescent="0.3">
      <c r="A1059" s="93"/>
      <c r="B1059" s="93"/>
      <c r="C1059" s="93"/>
      <c r="D1059" s="93"/>
      <c r="E1059" s="93"/>
      <c r="I1059" s="93"/>
      <c r="J1059" s="93"/>
      <c r="K1059" s="93"/>
      <c r="L1059" s="93"/>
    </row>
    <row r="1060" spans="1:12" s="94" customFormat="1" hidden="1" x14ac:dyDescent="0.3">
      <c r="A1060" s="93"/>
      <c r="B1060" s="93"/>
      <c r="C1060" s="93"/>
      <c r="D1060" s="93"/>
      <c r="E1060" s="93"/>
      <c r="I1060" s="93"/>
      <c r="J1060" s="93"/>
      <c r="K1060" s="93"/>
      <c r="L1060" s="93"/>
    </row>
    <row r="1061" spans="1:12" s="94" customFormat="1" hidden="1" x14ac:dyDescent="0.3">
      <c r="A1061" s="93"/>
      <c r="B1061" s="93"/>
      <c r="C1061" s="93"/>
      <c r="D1061" s="93"/>
      <c r="E1061" s="93"/>
      <c r="I1061" s="93"/>
      <c r="J1061" s="93"/>
      <c r="K1061" s="93"/>
      <c r="L1061" s="93"/>
    </row>
    <row r="1062" spans="1:12" hidden="1" x14ac:dyDescent="0.3"/>
    <row r="1063" spans="1:12" hidden="1" x14ac:dyDescent="0.3"/>
    <row r="1064" spans="1:12" hidden="1" x14ac:dyDescent="0.3"/>
    <row r="1065" spans="1:12" hidden="1" x14ac:dyDescent="0.3"/>
    <row r="1066" spans="1:12" hidden="1" x14ac:dyDescent="0.3"/>
    <row r="1067" spans="1:12" hidden="1" x14ac:dyDescent="0.3"/>
    <row r="1068" spans="1:12" hidden="1" x14ac:dyDescent="0.3"/>
    <row r="1069" spans="1:12" hidden="1" x14ac:dyDescent="0.3"/>
    <row r="1070" spans="1:12" hidden="1" x14ac:dyDescent="0.3"/>
    <row r="1071" spans="1:12" hidden="1" x14ac:dyDescent="0.3"/>
    <row r="1072" spans="1:1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</sheetData>
  <mergeCells count="8">
    <mergeCell ref="D1051:E1051"/>
    <mergeCell ref="D1053:E1053"/>
    <mergeCell ref="D1052:E1052"/>
    <mergeCell ref="J6:J8"/>
    <mergeCell ref="F11:H11"/>
    <mergeCell ref="D6:F6"/>
    <mergeCell ref="H6:H8"/>
    <mergeCell ref="C15:I15"/>
  </mergeCells>
  <dataValidations count="2">
    <dataValidation type="list" allowBlank="1" showInputMessage="1" showErrorMessage="1" sqref="E17:E1016">
      <formula1>FD_Melhoria_TE</formula1>
    </dataValidation>
    <dataValidation type="list" allowBlank="1" showInputMessage="1" showErrorMessage="1" sqref="C17:C1016">
      <formula1>combo_nomeUC</formula1>
    </dataValidation>
  </dataValidations>
  <printOptions horizontalCentered="1"/>
  <pageMargins left="0.47244094488188981" right="0.47244094488188981" top="0.73496062992125988" bottom="0.23622047244094491" header="0.27559055118110237" footer="0.23622047244094491"/>
  <pageSetup scale="65" fitToHeight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Drop Down 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Drop Down 2">
              <controlPr defaultSize="0" autoLine="0" autoPict="0" macro="[0]!setQtdeLinhas">
                <anchor moveWithCells="1">
                  <from>
                    <xdr:col>8</xdr:col>
                    <xdr:colOff>266700</xdr:colOff>
                    <xdr:row>9</xdr:row>
                    <xdr:rowOff>66675</xdr:rowOff>
                  </from>
                  <to>
                    <xdr:col>9</xdr:col>
                    <xdr:colOff>485775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6" name="Resumo_FD_Evolutiva">
              <controlPr defaultSize="0" autoFill="0" autoLine="0" autoPict="0" macro="[0]!Resumo_Clique">
                <anchor moveWithCells="1">
                  <from>
                    <xdr:col>3</xdr:col>
                    <xdr:colOff>9525</xdr:colOff>
                    <xdr:row>1017</xdr:row>
                    <xdr:rowOff>19050</xdr:rowOff>
                  </from>
                  <to>
                    <xdr:col>3</xdr:col>
                    <xdr:colOff>1000125</xdr:colOff>
                    <xdr:row>1047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[1]FIXO!#REF!</xm:f>
          </x14:formula1>
          <xm:sqref>E1017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theme="6" tint="0.79998168889431442"/>
    <pageSetUpPr fitToPage="1"/>
  </sheetPr>
  <dimension ref="A1:K1080"/>
  <sheetViews>
    <sheetView showGridLines="0" showRowColHeaders="0" topLeftCell="A191" zoomScaleNormal="75" zoomScaleSheetLayoutView="75" workbookViewId="0">
      <selection activeCell="C1036" sqref="C1036"/>
    </sheetView>
  </sheetViews>
  <sheetFormatPr defaultRowHeight="15" x14ac:dyDescent="0.3"/>
  <cols>
    <col min="1" max="1" width="2.7109375" style="93" customWidth="1"/>
    <col min="2" max="2" width="9.85546875" style="93" customWidth="1"/>
    <col min="3" max="3" width="35.140625" style="93" customWidth="1"/>
    <col min="4" max="4" width="50.7109375" style="93" customWidth="1"/>
    <col min="5" max="5" width="12.28515625" style="93" customWidth="1"/>
    <col min="6" max="7" width="4.7109375" style="93" customWidth="1"/>
    <col min="8" max="8" width="8.7109375" style="94" customWidth="1"/>
    <col min="9" max="9" width="8.7109375" style="93" customWidth="1"/>
    <col min="10" max="10" width="46.42578125" style="93" customWidth="1"/>
    <col min="11" max="11" width="31.42578125" style="93" customWidth="1"/>
    <col min="12" max="16384" width="9.140625" style="93"/>
  </cols>
  <sheetData>
    <row r="1" spans="1:11" s="68" customFormat="1" ht="12.75" x14ac:dyDescent="0.2">
      <c r="A1" s="86"/>
      <c r="B1" s="126" t="str">
        <f>FSOL!B1</f>
        <v>APF (IFPUG) - Aplicação</v>
      </c>
      <c r="C1" s="86"/>
      <c r="D1" s="122"/>
      <c r="E1" s="120"/>
      <c r="F1" s="86"/>
      <c r="G1" s="173"/>
      <c r="H1" s="232"/>
      <c r="I1" s="174"/>
      <c r="J1" s="127" t="s">
        <v>373</v>
      </c>
    </row>
    <row r="2" spans="1:11" s="82" customFormat="1" ht="3" customHeight="1" x14ac:dyDescent="0.2">
      <c r="A2" s="84"/>
      <c r="B2" s="84"/>
      <c r="C2" s="84"/>
      <c r="D2" s="84"/>
      <c r="E2" s="84"/>
      <c r="F2" s="84"/>
      <c r="G2" s="84"/>
      <c r="H2" s="85"/>
      <c r="I2" s="84"/>
      <c r="J2" s="84"/>
    </row>
    <row r="3" spans="1:11" s="83" customFormat="1" ht="1.5" customHeight="1" x14ac:dyDescent="0.3">
      <c r="A3" s="146"/>
      <c r="B3" s="146"/>
      <c r="C3" s="146"/>
      <c r="D3" s="146"/>
      <c r="E3" s="146"/>
      <c r="F3" s="146"/>
      <c r="G3" s="146"/>
      <c r="H3" s="147"/>
      <c r="I3" s="146"/>
      <c r="J3" s="146"/>
    </row>
    <row r="4" spans="1:11" s="82" customFormat="1" ht="5.0999999999999996" customHeight="1" x14ac:dyDescent="0.2">
      <c r="A4" s="79"/>
      <c r="B4" s="79"/>
      <c r="C4" s="79"/>
      <c r="D4" s="79"/>
      <c r="E4" s="79"/>
      <c r="F4" s="79"/>
      <c r="G4" s="79"/>
      <c r="H4" s="80"/>
      <c r="I4" s="79"/>
      <c r="J4" s="79"/>
    </row>
    <row r="5" spans="1:11" s="75" customFormat="1" ht="14.25" hidden="1" customHeight="1" thickBot="1" x14ac:dyDescent="0.35">
      <c r="A5" s="79"/>
      <c r="B5" s="79"/>
      <c r="C5" s="79"/>
      <c r="D5" s="79"/>
      <c r="E5" s="79"/>
      <c r="F5" s="79"/>
      <c r="G5" s="79"/>
      <c r="H5" s="128"/>
      <c r="I5" s="131"/>
    </row>
    <row r="6" spans="1:11" s="81" customFormat="1" ht="15.75" customHeight="1" x14ac:dyDescent="0.35">
      <c r="A6" s="142"/>
      <c r="B6" s="142"/>
      <c r="C6" s="142"/>
      <c r="D6" s="270"/>
      <c r="E6" s="270"/>
      <c r="F6" s="270"/>
      <c r="G6" s="142"/>
      <c r="H6" s="290"/>
      <c r="I6" s="144"/>
      <c r="J6" s="144"/>
    </row>
    <row r="7" spans="1:11" s="72" customFormat="1" ht="18.75" hidden="1" customHeight="1" x14ac:dyDescent="0.3">
      <c r="A7" s="142"/>
      <c r="B7" s="142"/>
      <c r="C7" s="142"/>
      <c r="D7" s="142"/>
      <c r="E7" s="142"/>
      <c r="F7" s="142"/>
      <c r="G7" s="142"/>
      <c r="H7" s="290"/>
      <c r="I7" s="144"/>
      <c r="J7" s="144"/>
    </row>
    <row r="8" spans="1:11" s="78" customFormat="1" ht="18.75" customHeight="1" x14ac:dyDescent="0.35">
      <c r="A8" s="142"/>
      <c r="B8" s="142"/>
      <c r="C8" s="142"/>
      <c r="D8" s="175"/>
      <c r="E8" s="175"/>
      <c r="F8" s="175"/>
      <c r="G8" s="142"/>
      <c r="H8" s="290"/>
      <c r="I8" s="145"/>
      <c r="J8" s="145"/>
    </row>
    <row r="9" spans="1:11" s="72" customFormat="1" ht="12.75" customHeight="1" x14ac:dyDescent="0.3">
      <c r="A9" s="73"/>
      <c r="B9" s="73"/>
      <c r="C9" s="73"/>
      <c r="D9" s="73"/>
      <c r="E9" s="73"/>
      <c r="F9" s="73"/>
      <c r="G9" s="73"/>
      <c r="H9" s="129"/>
      <c r="I9" s="132"/>
      <c r="J9" s="132"/>
    </row>
    <row r="10" spans="1:11" s="72" customFormat="1" ht="6.75" customHeight="1" x14ac:dyDescent="0.3">
      <c r="A10" s="133"/>
      <c r="B10" s="180"/>
      <c r="C10" s="180"/>
      <c r="D10" s="133"/>
      <c r="E10" s="133"/>
      <c r="F10" s="133"/>
      <c r="G10" s="133"/>
      <c r="H10" s="134"/>
      <c r="I10" s="135"/>
    </row>
    <row r="11" spans="1:11" s="72" customFormat="1" ht="12.75" customHeight="1" x14ac:dyDescent="0.3">
      <c r="A11" s="133"/>
      <c r="B11" s="184" t="str">
        <f>CONCATENATE("FUNÇÕES DE TRANSAÇÃO (",I1018," de ",RESULTADO!I20," PF)")</f>
        <v>FUNÇÕES DE TRANSAÇÃO (686 de 847 PF)</v>
      </c>
      <c r="C11" s="182"/>
      <c r="D11" s="137"/>
      <c r="E11" s="138"/>
      <c r="F11" s="291" t="s">
        <v>388</v>
      </c>
      <c r="G11" s="291"/>
      <c r="H11" s="291"/>
    </row>
    <row r="12" spans="1:11" s="72" customFormat="1" ht="12.75" hidden="1" customHeight="1" x14ac:dyDescent="0.3">
      <c r="A12" s="133"/>
      <c r="B12" s="181" t="b">
        <v>0</v>
      </c>
      <c r="C12" s="181"/>
      <c r="D12" s="137"/>
      <c r="E12" s="138"/>
      <c r="F12" s="136"/>
      <c r="G12" s="138"/>
      <c r="H12" s="148"/>
      <c r="I12" s="135"/>
    </row>
    <row r="13" spans="1:11" s="72" customFormat="1" ht="3" customHeight="1" x14ac:dyDescent="0.3">
      <c r="A13" s="133"/>
      <c r="B13" s="180"/>
      <c r="C13" s="180"/>
      <c r="D13" s="133"/>
      <c r="E13" s="133"/>
      <c r="F13" s="133"/>
      <c r="G13" s="133"/>
      <c r="H13" s="134"/>
      <c r="I13" s="135"/>
    </row>
    <row r="14" spans="1:11" s="72" customFormat="1" ht="3" customHeight="1" x14ac:dyDescent="0.3">
      <c r="A14" s="176"/>
      <c r="B14" s="176"/>
      <c r="C14" s="176"/>
      <c r="D14" s="176"/>
      <c r="E14" s="76"/>
      <c r="F14" s="76"/>
      <c r="G14" s="76"/>
      <c r="H14" s="77"/>
      <c r="I14" s="76"/>
      <c r="J14" s="76"/>
    </row>
    <row r="15" spans="1:11" s="87" customFormat="1" ht="25.5" customHeight="1" thickBot="1" x14ac:dyDescent="0.35">
      <c r="A15" s="140"/>
      <c r="B15" s="140"/>
      <c r="C15" s="140"/>
      <c r="D15" s="140"/>
      <c r="E15" s="140"/>
      <c r="F15" s="140"/>
      <c r="G15" s="140"/>
      <c r="H15" s="141"/>
      <c r="I15" s="140"/>
      <c r="J15" s="140"/>
    </row>
    <row r="16" spans="1:11" s="88" customFormat="1" ht="19.5" customHeight="1" thickBot="1" x14ac:dyDescent="0.35">
      <c r="A16" s="141"/>
      <c r="B16" s="149" t="s">
        <v>454</v>
      </c>
      <c r="C16" s="150" t="s">
        <v>533</v>
      </c>
      <c r="D16" s="151" t="s">
        <v>385</v>
      </c>
      <c r="E16" s="152" t="s">
        <v>448</v>
      </c>
      <c r="F16" s="152" t="s">
        <v>389</v>
      </c>
      <c r="G16" s="152" t="s">
        <v>386</v>
      </c>
      <c r="H16" s="153" t="s">
        <v>426</v>
      </c>
      <c r="I16" s="150" t="s">
        <v>227</v>
      </c>
      <c r="J16" s="172" t="s">
        <v>387</v>
      </c>
      <c r="K16" s="179"/>
    </row>
    <row r="17" spans="1:11" s="89" customFormat="1" ht="15.95" customHeight="1" x14ac:dyDescent="0.3">
      <c r="A17" s="141"/>
      <c r="B17" s="160">
        <v>1</v>
      </c>
      <c r="C17" s="224" t="s">
        <v>534</v>
      </c>
      <c r="D17" s="213" t="s">
        <v>542</v>
      </c>
      <c r="E17" s="215" t="s">
        <v>154</v>
      </c>
      <c r="F17" s="215">
        <v>1</v>
      </c>
      <c r="G17" s="215">
        <v>20</v>
      </c>
      <c r="H17" s="74" t="str">
        <f t="shared" ref="H17:H80" si="0">ObterComplexidadeFuncao(E17,F17,G17)</f>
        <v>Média</v>
      </c>
      <c r="I17" s="188">
        <f>ObterContribuicaoFuncao(E17,H17)</f>
        <v>5</v>
      </c>
      <c r="J17" s="223"/>
    </row>
    <row r="18" spans="1:11" s="90" customFormat="1" ht="15.95" customHeight="1" x14ac:dyDescent="0.3">
      <c r="A18" s="141"/>
      <c r="B18" s="160">
        <v>2</v>
      </c>
      <c r="C18" s="224" t="s">
        <v>534</v>
      </c>
      <c r="D18" s="213" t="s">
        <v>543</v>
      </c>
      <c r="E18" s="215" t="s">
        <v>105</v>
      </c>
      <c r="F18" s="215">
        <v>1</v>
      </c>
      <c r="G18" s="215">
        <v>20</v>
      </c>
      <c r="H18" s="74" t="str">
        <f t="shared" si="0"/>
        <v>Média</v>
      </c>
      <c r="I18" s="188">
        <f t="shared" ref="I18:I81" si="1">ObterContribuicaoFuncao(E18,H18)</f>
        <v>4</v>
      </c>
      <c r="J18" s="221"/>
      <c r="K18" s="89"/>
    </row>
    <row r="19" spans="1:11" s="90" customFormat="1" ht="15.95" customHeight="1" x14ac:dyDescent="0.3">
      <c r="A19" s="141"/>
      <c r="B19" s="160">
        <v>3</v>
      </c>
      <c r="C19" s="224" t="s">
        <v>534</v>
      </c>
      <c r="D19" s="213" t="s">
        <v>539</v>
      </c>
      <c r="E19" s="215" t="s">
        <v>155</v>
      </c>
      <c r="F19" s="215">
        <v>1</v>
      </c>
      <c r="G19" s="215">
        <v>20</v>
      </c>
      <c r="H19" s="74" t="str">
        <f t="shared" si="0"/>
        <v>Média</v>
      </c>
      <c r="I19" s="188">
        <f t="shared" si="1"/>
        <v>4</v>
      </c>
      <c r="J19" s="221"/>
      <c r="K19" s="89"/>
    </row>
    <row r="20" spans="1:11" s="90" customFormat="1" ht="15.95" customHeight="1" x14ac:dyDescent="0.3">
      <c r="A20" s="141"/>
      <c r="B20" s="160">
        <v>4</v>
      </c>
      <c r="C20" s="224" t="s">
        <v>534</v>
      </c>
      <c r="D20" s="213" t="s">
        <v>540</v>
      </c>
      <c r="E20" s="215" t="s">
        <v>155</v>
      </c>
      <c r="F20" s="215">
        <v>1</v>
      </c>
      <c r="G20" s="215">
        <v>20</v>
      </c>
      <c r="H20" s="74" t="str">
        <f t="shared" si="0"/>
        <v>Média</v>
      </c>
      <c r="I20" s="188">
        <f t="shared" si="1"/>
        <v>4</v>
      </c>
      <c r="J20" s="221"/>
      <c r="K20" s="89"/>
    </row>
    <row r="21" spans="1:11" s="90" customFormat="1" ht="15.95" customHeight="1" x14ac:dyDescent="0.3">
      <c r="A21" s="141"/>
      <c r="B21" s="160">
        <v>5</v>
      </c>
      <c r="C21" s="224" t="s">
        <v>534</v>
      </c>
      <c r="D21" s="213" t="s">
        <v>592</v>
      </c>
      <c r="E21" s="215" t="s">
        <v>155</v>
      </c>
      <c r="F21" s="215">
        <v>1</v>
      </c>
      <c r="G21" s="215">
        <v>20</v>
      </c>
      <c r="H21" s="74" t="str">
        <f t="shared" si="0"/>
        <v>Média</v>
      </c>
      <c r="I21" s="188">
        <f t="shared" si="1"/>
        <v>4</v>
      </c>
      <c r="J21" s="221"/>
      <c r="K21" s="89"/>
    </row>
    <row r="22" spans="1:11" s="90" customFormat="1" ht="15.95" customHeight="1" x14ac:dyDescent="0.3">
      <c r="A22" s="141"/>
      <c r="B22" s="160">
        <v>6</v>
      </c>
      <c r="C22" s="224" t="s">
        <v>538</v>
      </c>
      <c r="D22" s="213" t="s">
        <v>545</v>
      </c>
      <c r="E22" s="215" t="s">
        <v>155</v>
      </c>
      <c r="F22" s="215">
        <v>1</v>
      </c>
      <c r="G22" s="215">
        <v>20</v>
      </c>
      <c r="H22" s="74" t="str">
        <f t="shared" si="0"/>
        <v>Média</v>
      </c>
      <c r="I22" s="188">
        <f t="shared" si="1"/>
        <v>4</v>
      </c>
      <c r="J22" s="221"/>
      <c r="K22" s="89"/>
    </row>
    <row r="23" spans="1:11" s="90" customFormat="1" ht="15.95" customHeight="1" x14ac:dyDescent="0.3">
      <c r="A23" s="141"/>
      <c r="B23" s="160">
        <v>7</v>
      </c>
      <c r="C23" s="224" t="s">
        <v>538</v>
      </c>
      <c r="D23" s="213" t="s">
        <v>544</v>
      </c>
      <c r="E23" s="215" t="s">
        <v>105</v>
      </c>
      <c r="F23" s="215">
        <v>1</v>
      </c>
      <c r="G23" s="215">
        <v>20</v>
      </c>
      <c r="H23" s="74" t="str">
        <f t="shared" si="0"/>
        <v>Média</v>
      </c>
      <c r="I23" s="188">
        <f t="shared" si="1"/>
        <v>4</v>
      </c>
      <c r="J23" s="221"/>
      <c r="K23" s="89"/>
    </row>
    <row r="24" spans="1:11" s="90" customFormat="1" ht="15.95" customHeight="1" x14ac:dyDescent="0.3">
      <c r="A24" s="141"/>
      <c r="B24" s="160">
        <v>8</v>
      </c>
      <c r="C24" s="224" t="s">
        <v>538</v>
      </c>
      <c r="D24" s="213" t="s">
        <v>727</v>
      </c>
      <c r="E24" s="215" t="s">
        <v>105</v>
      </c>
      <c r="F24" s="215">
        <v>1</v>
      </c>
      <c r="G24" s="215">
        <v>20</v>
      </c>
      <c r="H24" s="74" t="str">
        <f t="shared" si="0"/>
        <v>Média</v>
      </c>
      <c r="I24" s="188">
        <f t="shared" si="1"/>
        <v>4</v>
      </c>
      <c r="J24" s="221"/>
      <c r="K24" s="89"/>
    </row>
    <row r="25" spans="1:11" s="90" customFormat="1" ht="15.95" customHeight="1" x14ac:dyDescent="0.3">
      <c r="A25" s="141"/>
      <c r="B25" s="160">
        <v>9</v>
      </c>
      <c r="C25" s="224" t="s">
        <v>538</v>
      </c>
      <c r="D25" s="213" t="s">
        <v>726</v>
      </c>
      <c r="E25" s="215" t="s">
        <v>155</v>
      </c>
      <c r="F25" s="215">
        <v>1</v>
      </c>
      <c r="G25" s="215">
        <v>20</v>
      </c>
      <c r="H25" s="74" t="str">
        <f t="shared" si="0"/>
        <v>Média</v>
      </c>
      <c r="I25" s="188">
        <f t="shared" si="1"/>
        <v>4</v>
      </c>
      <c r="J25" s="221"/>
      <c r="K25" s="89"/>
    </row>
    <row r="26" spans="1:11" s="90" customFormat="1" ht="15.95" customHeight="1" x14ac:dyDescent="0.3">
      <c r="A26" s="141"/>
      <c r="B26" s="160">
        <v>10</v>
      </c>
      <c r="C26" s="224" t="s">
        <v>538</v>
      </c>
      <c r="D26" s="213" t="s">
        <v>728</v>
      </c>
      <c r="E26" s="215" t="s">
        <v>105</v>
      </c>
      <c r="F26" s="215">
        <v>1</v>
      </c>
      <c r="G26" s="215">
        <v>20</v>
      </c>
      <c r="H26" s="74" t="str">
        <f t="shared" si="0"/>
        <v>Média</v>
      </c>
      <c r="I26" s="188">
        <f t="shared" si="1"/>
        <v>4</v>
      </c>
      <c r="J26" s="221"/>
      <c r="K26" s="89"/>
    </row>
    <row r="27" spans="1:11" s="90" customFormat="1" ht="15.95" customHeight="1" x14ac:dyDescent="0.3">
      <c r="A27" s="141"/>
      <c r="B27" s="160">
        <v>11</v>
      </c>
      <c r="C27" s="224" t="s">
        <v>538</v>
      </c>
      <c r="D27" s="213" t="s">
        <v>729</v>
      </c>
      <c r="E27" s="215" t="s">
        <v>105</v>
      </c>
      <c r="F27" s="215">
        <v>1</v>
      </c>
      <c r="G27" s="215">
        <v>20</v>
      </c>
      <c r="H27" s="74" t="str">
        <f t="shared" si="0"/>
        <v>Média</v>
      </c>
      <c r="I27" s="188">
        <f t="shared" si="1"/>
        <v>4</v>
      </c>
      <c r="J27" s="221"/>
    </row>
    <row r="28" spans="1:11" s="90" customFormat="1" ht="14.25" x14ac:dyDescent="0.3">
      <c r="A28" s="141"/>
      <c r="B28" s="160">
        <v>12</v>
      </c>
      <c r="C28" s="224" t="s">
        <v>535</v>
      </c>
      <c r="D28" s="213" t="s">
        <v>546</v>
      </c>
      <c r="E28" s="215" t="s">
        <v>155</v>
      </c>
      <c r="F28" s="215">
        <v>1</v>
      </c>
      <c r="G28" s="215">
        <v>20</v>
      </c>
      <c r="H28" s="74" t="str">
        <f t="shared" si="0"/>
        <v>Média</v>
      </c>
      <c r="I28" s="188">
        <f t="shared" si="1"/>
        <v>4</v>
      </c>
      <c r="J28" s="221"/>
    </row>
    <row r="29" spans="1:11" s="90" customFormat="1" ht="14.25" x14ac:dyDescent="0.3">
      <c r="A29" s="141"/>
      <c r="B29" s="160">
        <v>13</v>
      </c>
      <c r="C29" s="224" t="s">
        <v>535</v>
      </c>
      <c r="D29" s="213" t="s">
        <v>547</v>
      </c>
      <c r="E29" s="215" t="s">
        <v>155</v>
      </c>
      <c r="F29" s="215">
        <v>1</v>
      </c>
      <c r="G29" s="215">
        <v>20</v>
      </c>
      <c r="H29" s="74" t="str">
        <f t="shared" si="0"/>
        <v>Média</v>
      </c>
      <c r="I29" s="188">
        <f t="shared" si="1"/>
        <v>4</v>
      </c>
      <c r="J29" s="221"/>
    </row>
    <row r="30" spans="1:11" s="90" customFormat="1" ht="14.25" x14ac:dyDescent="0.3">
      <c r="A30" s="141"/>
      <c r="B30" s="160">
        <v>14</v>
      </c>
      <c r="C30" s="224" t="s">
        <v>536</v>
      </c>
      <c r="D30" s="213" t="s">
        <v>541</v>
      </c>
      <c r="E30" s="215" t="s">
        <v>155</v>
      </c>
      <c r="F30" s="215">
        <v>1</v>
      </c>
      <c r="G30" s="215">
        <v>20</v>
      </c>
      <c r="H30" s="74" t="str">
        <f t="shared" si="0"/>
        <v>Média</v>
      </c>
      <c r="I30" s="188">
        <f t="shared" si="1"/>
        <v>4</v>
      </c>
      <c r="J30" s="221"/>
    </row>
    <row r="31" spans="1:11" s="90" customFormat="1" ht="14.25" x14ac:dyDescent="0.3">
      <c r="A31" s="141"/>
      <c r="B31" s="160">
        <v>15</v>
      </c>
      <c r="C31" s="224" t="s">
        <v>536</v>
      </c>
      <c r="D31" s="213" t="s">
        <v>556</v>
      </c>
      <c r="E31" s="215" t="s">
        <v>155</v>
      </c>
      <c r="F31" s="215">
        <v>1</v>
      </c>
      <c r="G31" s="215">
        <v>20</v>
      </c>
      <c r="H31" s="74" t="str">
        <f t="shared" si="0"/>
        <v>Média</v>
      </c>
      <c r="I31" s="188">
        <f t="shared" si="1"/>
        <v>4</v>
      </c>
      <c r="J31" s="221"/>
    </row>
    <row r="32" spans="1:11" s="90" customFormat="1" ht="14.25" x14ac:dyDescent="0.3">
      <c r="A32" s="141"/>
      <c r="B32" s="160">
        <v>16</v>
      </c>
      <c r="C32" s="224" t="s">
        <v>536</v>
      </c>
      <c r="D32" s="213" t="s">
        <v>554</v>
      </c>
      <c r="E32" s="215" t="s">
        <v>155</v>
      </c>
      <c r="F32" s="215">
        <v>1</v>
      </c>
      <c r="G32" s="215">
        <v>20</v>
      </c>
      <c r="H32" s="74" t="str">
        <f t="shared" si="0"/>
        <v>Média</v>
      </c>
      <c r="I32" s="188">
        <f t="shared" si="1"/>
        <v>4</v>
      </c>
      <c r="J32" s="221"/>
    </row>
    <row r="33" spans="1:10" s="90" customFormat="1" ht="14.25" x14ac:dyDescent="0.3">
      <c r="A33" s="141"/>
      <c r="B33" s="160">
        <v>17</v>
      </c>
      <c r="C33" s="224" t="s">
        <v>536</v>
      </c>
      <c r="D33" s="213" t="s">
        <v>555</v>
      </c>
      <c r="E33" s="215" t="s">
        <v>155</v>
      </c>
      <c r="F33" s="215">
        <v>1</v>
      </c>
      <c r="G33" s="215">
        <v>20</v>
      </c>
      <c r="H33" s="74" t="str">
        <f t="shared" si="0"/>
        <v>Média</v>
      </c>
      <c r="I33" s="188">
        <f t="shared" si="1"/>
        <v>4</v>
      </c>
      <c r="J33" s="221"/>
    </row>
    <row r="34" spans="1:10" s="90" customFormat="1" ht="14.25" x14ac:dyDescent="0.3">
      <c r="A34" s="141"/>
      <c r="B34" s="160">
        <v>18</v>
      </c>
      <c r="C34" s="224" t="s">
        <v>536</v>
      </c>
      <c r="D34" s="213" t="s">
        <v>557</v>
      </c>
      <c r="E34" s="215" t="s">
        <v>155</v>
      </c>
      <c r="F34" s="215">
        <v>1</v>
      </c>
      <c r="G34" s="215">
        <v>20</v>
      </c>
      <c r="H34" s="74" t="str">
        <f t="shared" si="0"/>
        <v>Média</v>
      </c>
      <c r="I34" s="188">
        <f t="shared" si="1"/>
        <v>4</v>
      </c>
      <c r="J34" s="221"/>
    </row>
    <row r="35" spans="1:10" s="90" customFormat="1" ht="14.25" x14ac:dyDescent="0.3">
      <c r="A35" s="141"/>
      <c r="B35" s="160">
        <v>19</v>
      </c>
      <c r="C35" s="224" t="s">
        <v>558</v>
      </c>
      <c r="D35" s="213" t="s">
        <v>549</v>
      </c>
      <c r="E35" s="215" t="s">
        <v>155</v>
      </c>
      <c r="F35" s="215">
        <v>1</v>
      </c>
      <c r="G35" s="215">
        <v>20</v>
      </c>
      <c r="H35" s="74" t="str">
        <f t="shared" si="0"/>
        <v>Média</v>
      </c>
      <c r="I35" s="188">
        <f t="shared" si="1"/>
        <v>4</v>
      </c>
      <c r="J35" s="221"/>
    </row>
    <row r="36" spans="1:10" s="90" customFormat="1" ht="14.25" x14ac:dyDescent="0.3">
      <c r="A36" s="141"/>
      <c r="B36" s="160">
        <v>20</v>
      </c>
      <c r="C36" s="224" t="s">
        <v>558</v>
      </c>
      <c r="D36" s="213" t="s">
        <v>566</v>
      </c>
      <c r="E36" s="215" t="s">
        <v>155</v>
      </c>
      <c r="F36" s="215">
        <v>1</v>
      </c>
      <c r="G36" s="215">
        <v>20</v>
      </c>
      <c r="H36" s="74" t="str">
        <f t="shared" si="0"/>
        <v>Média</v>
      </c>
      <c r="I36" s="188">
        <f t="shared" si="1"/>
        <v>4</v>
      </c>
      <c r="J36" s="221"/>
    </row>
    <row r="37" spans="1:10" s="90" customFormat="1" ht="14.25" x14ac:dyDescent="0.3">
      <c r="A37" s="141"/>
      <c r="B37" s="160">
        <v>21</v>
      </c>
      <c r="C37" s="224" t="s">
        <v>558</v>
      </c>
      <c r="D37" s="213" t="s">
        <v>569</v>
      </c>
      <c r="E37" s="215" t="s">
        <v>155</v>
      </c>
      <c r="F37" s="215">
        <v>1</v>
      </c>
      <c r="G37" s="215">
        <v>20</v>
      </c>
      <c r="H37" s="74" t="str">
        <f t="shared" si="0"/>
        <v>Média</v>
      </c>
      <c r="I37" s="188">
        <f t="shared" si="1"/>
        <v>4</v>
      </c>
      <c r="J37" s="221"/>
    </row>
    <row r="38" spans="1:10" s="90" customFormat="1" ht="14.25" x14ac:dyDescent="0.3">
      <c r="A38" s="141"/>
      <c r="B38" s="160">
        <v>22</v>
      </c>
      <c r="C38" s="224" t="s">
        <v>558</v>
      </c>
      <c r="D38" s="213" t="s">
        <v>584</v>
      </c>
      <c r="E38" s="215" t="s">
        <v>154</v>
      </c>
      <c r="F38" s="215">
        <v>1</v>
      </c>
      <c r="G38" s="215">
        <v>20</v>
      </c>
      <c r="H38" s="74" t="str">
        <f t="shared" si="0"/>
        <v>Média</v>
      </c>
      <c r="I38" s="188">
        <f t="shared" si="1"/>
        <v>5</v>
      </c>
      <c r="J38" s="221"/>
    </row>
    <row r="39" spans="1:10" s="90" customFormat="1" ht="14.25" x14ac:dyDescent="0.3">
      <c r="A39" s="141"/>
      <c r="B39" s="160">
        <v>23</v>
      </c>
      <c r="C39" s="224" t="s">
        <v>558</v>
      </c>
      <c r="D39" s="213" t="s">
        <v>570</v>
      </c>
      <c r="E39" s="215" t="s">
        <v>155</v>
      </c>
      <c r="F39" s="215">
        <v>1</v>
      </c>
      <c r="G39" s="215">
        <v>20</v>
      </c>
      <c r="H39" s="74" t="str">
        <f t="shared" si="0"/>
        <v>Média</v>
      </c>
      <c r="I39" s="188">
        <f t="shared" si="1"/>
        <v>4</v>
      </c>
      <c r="J39" s="221"/>
    </row>
    <row r="40" spans="1:10" s="90" customFormat="1" ht="14.25" x14ac:dyDescent="0.3">
      <c r="A40" s="141"/>
      <c r="B40" s="160">
        <v>24</v>
      </c>
      <c r="C40" s="224" t="s">
        <v>559</v>
      </c>
      <c r="D40" s="213" t="s">
        <v>571</v>
      </c>
      <c r="E40" s="215" t="s">
        <v>155</v>
      </c>
      <c r="F40" s="215">
        <v>1</v>
      </c>
      <c r="G40" s="215">
        <v>20</v>
      </c>
      <c r="H40" s="74" t="str">
        <f t="shared" si="0"/>
        <v>Média</v>
      </c>
      <c r="I40" s="188">
        <f t="shared" si="1"/>
        <v>4</v>
      </c>
      <c r="J40" s="221"/>
    </row>
    <row r="41" spans="1:10" s="90" customFormat="1" ht="14.25" x14ac:dyDescent="0.3">
      <c r="A41" s="141"/>
      <c r="B41" s="160">
        <v>25</v>
      </c>
      <c r="C41" s="224" t="s">
        <v>560</v>
      </c>
      <c r="D41" s="213" t="s">
        <v>582</v>
      </c>
      <c r="E41" s="215" t="s">
        <v>155</v>
      </c>
      <c r="F41" s="215">
        <v>1</v>
      </c>
      <c r="G41" s="215">
        <v>20</v>
      </c>
      <c r="H41" s="74" t="str">
        <f t="shared" si="0"/>
        <v>Média</v>
      </c>
      <c r="I41" s="188">
        <f t="shared" si="1"/>
        <v>4</v>
      </c>
      <c r="J41" s="221"/>
    </row>
    <row r="42" spans="1:10" s="90" customFormat="1" ht="14.25" x14ac:dyDescent="0.3">
      <c r="A42" s="141"/>
      <c r="B42" s="160">
        <v>26</v>
      </c>
      <c r="C42" s="224" t="s">
        <v>561</v>
      </c>
      <c r="D42" s="213" t="s">
        <v>548</v>
      </c>
      <c r="E42" s="215" t="s">
        <v>155</v>
      </c>
      <c r="F42" s="215">
        <v>1</v>
      </c>
      <c r="G42" s="215">
        <v>20</v>
      </c>
      <c r="H42" s="74" t="str">
        <f t="shared" si="0"/>
        <v>Média</v>
      </c>
      <c r="I42" s="188">
        <f t="shared" si="1"/>
        <v>4</v>
      </c>
      <c r="J42" s="221"/>
    </row>
    <row r="43" spans="1:10" s="90" customFormat="1" ht="14.25" x14ac:dyDescent="0.3">
      <c r="A43" s="141"/>
      <c r="B43" s="160">
        <v>27</v>
      </c>
      <c r="C43" s="224" t="s">
        <v>561</v>
      </c>
      <c r="D43" s="213" t="s">
        <v>549</v>
      </c>
      <c r="E43" s="215" t="s">
        <v>155</v>
      </c>
      <c r="F43" s="215">
        <v>1</v>
      </c>
      <c r="G43" s="215">
        <v>20</v>
      </c>
      <c r="H43" s="74" t="str">
        <f t="shared" si="0"/>
        <v>Média</v>
      </c>
      <c r="I43" s="188">
        <f t="shared" si="1"/>
        <v>4</v>
      </c>
      <c r="J43" s="221"/>
    </row>
    <row r="44" spans="1:10" s="90" customFormat="1" ht="14.25" x14ac:dyDescent="0.3">
      <c r="A44" s="141"/>
      <c r="B44" s="160">
        <v>28</v>
      </c>
      <c r="C44" s="224" t="s">
        <v>561</v>
      </c>
      <c r="D44" s="213" t="s">
        <v>550</v>
      </c>
      <c r="E44" s="215" t="s">
        <v>105</v>
      </c>
      <c r="F44" s="215">
        <v>1</v>
      </c>
      <c r="G44" s="215">
        <v>20</v>
      </c>
      <c r="H44" s="74" t="str">
        <f t="shared" si="0"/>
        <v>Média</v>
      </c>
      <c r="I44" s="188">
        <f t="shared" si="1"/>
        <v>4</v>
      </c>
      <c r="J44" s="221"/>
    </row>
    <row r="45" spans="1:10" s="90" customFormat="1" ht="14.25" x14ac:dyDescent="0.3">
      <c r="A45" s="141"/>
      <c r="B45" s="160">
        <v>29</v>
      </c>
      <c r="C45" s="224" t="s">
        <v>561</v>
      </c>
      <c r="D45" s="213" t="s">
        <v>551</v>
      </c>
      <c r="E45" s="215" t="s">
        <v>105</v>
      </c>
      <c r="F45" s="215">
        <v>1</v>
      </c>
      <c r="G45" s="215">
        <v>20</v>
      </c>
      <c r="H45" s="74" t="str">
        <f t="shared" si="0"/>
        <v>Média</v>
      </c>
      <c r="I45" s="188">
        <f t="shared" si="1"/>
        <v>4</v>
      </c>
      <c r="J45" s="221"/>
    </row>
    <row r="46" spans="1:10" s="90" customFormat="1" ht="14.25" x14ac:dyDescent="0.3">
      <c r="A46" s="141"/>
      <c r="B46" s="160">
        <v>30</v>
      </c>
      <c r="C46" s="224" t="s">
        <v>561</v>
      </c>
      <c r="D46" s="213" t="s">
        <v>552</v>
      </c>
      <c r="E46" s="215" t="s">
        <v>105</v>
      </c>
      <c r="F46" s="215">
        <v>1</v>
      </c>
      <c r="G46" s="215">
        <v>20</v>
      </c>
      <c r="H46" s="74" t="str">
        <f t="shared" si="0"/>
        <v>Média</v>
      </c>
      <c r="I46" s="188">
        <f t="shared" si="1"/>
        <v>4</v>
      </c>
      <c r="J46" s="221"/>
    </row>
    <row r="47" spans="1:10" s="90" customFormat="1" ht="14.25" x14ac:dyDescent="0.3">
      <c r="A47" s="141"/>
      <c r="B47" s="160">
        <v>31</v>
      </c>
      <c r="C47" s="224" t="s">
        <v>561</v>
      </c>
      <c r="D47" s="213" t="s">
        <v>553</v>
      </c>
      <c r="E47" s="215" t="s">
        <v>105</v>
      </c>
      <c r="F47" s="215">
        <v>1</v>
      </c>
      <c r="G47" s="215">
        <v>20</v>
      </c>
      <c r="H47" s="74" t="str">
        <f t="shared" si="0"/>
        <v>Média</v>
      </c>
      <c r="I47" s="188">
        <f t="shared" si="1"/>
        <v>4</v>
      </c>
      <c r="J47" s="221"/>
    </row>
    <row r="48" spans="1:10" s="90" customFormat="1" ht="14.25" x14ac:dyDescent="0.3">
      <c r="A48" s="141"/>
      <c r="B48" s="160">
        <v>32</v>
      </c>
      <c r="C48" s="224" t="s">
        <v>561</v>
      </c>
      <c r="D48" s="213" t="s">
        <v>572</v>
      </c>
      <c r="E48" s="215" t="s">
        <v>155</v>
      </c>
      <c r="F48" s="215">
        <v>1</v>
      </c>
      <c r="G48" s="215">
        <v>20</v>
      </c>
      <c r="H48" s="74" t="str">
        <f t="shared" si="0"/>
        <v>Média</v>
      </c>
      <c r="I48" s="188">
        <f t="shared" si="1"/>
        <v>4</v>
      </c>
      <c r="J48" s="221"/>
    </row>
    <row r="49" spans="1:10" s="90" customFormat="1" ht="14.25" x14ac:dyDescent="0.3">
      <c r="A49" s="141"/>
      <c r="B49" s="160">
        <v>33</v>
      </c>
      <c r="C49" s="224" t="s">
        <v>561</v>
      </c>
      <c r="D49" s="213" t="s">
        <v>573</v>
      </c>
      <c r="E49" s="215" t="s">
        <v>155</v>
      </c>
      <c r="F49" s="215">
        <v>1</v>
      </c>
      <c r="G49" s="215">
        <v>20</v>
      </c>
      <c r="H49" s="74" t="str">
        <f t="shared" si="0"/>
        <v>Média</v>
      </c>
      <c r="I49" s="188">
        <f t="shared" si="1"/>
        <v>4</v>
      </c>
      <c r="J49" s="221"/>
    </row>
    <row r="50" spans="1:10" s="90" customFormat="1" ht="14.25" x14ac:dyDescent="0.3">
      <c r="A50" s="141"/>
      <c r="B50" s="160">
        <v>34</v>
      </c>
      <c r="C50" s="224" t="s">
        <v>561</v>
      </c>
      <c r="D50" s="213" t="s">
        <v>574</v>
      </c>
      <c r="E50" s="215" t="s">
        <v>155</v>
      </c>
      <c r="F50" s="215">
        <v>1</v>
      </c>
      <c r="G50" s="215">
        <v>20</v>
      </c>
      <c r="H50" s="74" t="str">
        <f t="shared" si="0"/>
        <v>Média</v>
      </c>
      <c r="I50" s="188">
        <f t="shared" si="1"/>
        <v>4</v>
      </c>
      <c r="J50" s="221"/>
    </row>
    <row r="51" spans="1:10" s="90" customFormat="1" ht="14.25" x14ac:dyDescent="0.3">
      <c r="A51" s="141"/>
      <c r="B51" s="160">
        <v>35</v>
      </c>
      <c r="C51" s="224" t="s">
        <v>561</v>
      </c>
      <c r="D51" s="216" t="s">
        <v>576</v>
      </c>
      <c r="E51" s="215" t="s">
        <v>155</v>
      </c>
      <c r="F51" s="215">
        <v>1</v>
      </c>
      <c r="G51" s="215">
        <v>20</v>
      </c>
      <c r="H51" s="74" t="str">
        <f t="shared" si="0"/>
        <v>Média</v>
      </c>
      <c r="I51" s="188">
        <f t="shared" si="1"/>
        <v>4</v>
      </c>
      <c r="J51" s="221"/>
    </row>
    <row r="52" spans="1:10" s="90" customFormat="1" ht="14.25" x14ac:dyDescent="0.3">
      <c r="A52" s="141"/>
      <c r="B52" s="160">
        <v>36</v>
      </c>
      <c r="C52" s="224" t="s">
        <v>561</v>
      </c>
      <c r="D52" s="216" t="s">
        <v>577</v>
      </c>
      <c r="E52" s="215" t="s">
        <v>155</v>
      </c>
      <c r="F52" s="215">
        <v>1</v>
      </c>
      <c r="G52" s="215">
        <v>20</v>
      </c>
      <c r="H52" s="74" t="str">
        <f t="shared" si="0"/>
        <v>Média</v>
      </c>
      <c r="I52" s="188">
        <f t="shared" si="1"/>
        <v>4</v>
      </c>
      <c r="J52" s="221"/>
    </row>
    <row r="53" spans="1:10" s="90" customFormat="1" ht="14.25" x14ac:dyDescent="0.3">
      <c r="A53" s="141"/>
      <c r="B53" s="160">
        <v>37</v>
      </c>
      <c r="C53" s="224" t="s">
        <v>561</v>
      </c>
      <c r="D53" s="216" t="s">
        <v>578</v>
      </c>
      <c r="E53" s="215" t="s">
        <v>155</v>
      </c>
      <c r="F53" s="215">
        <v>1</v>
      </c>
      <c r="G53" s="215">
        <v>20</v>
      </c>
      <c r="H53" s="74" t="str">
        <f t="shared" si="0"/>
        <v>Média</v>
      </c>
      <c r="I53" s="188">
        <f t="shared" si="1"/>
        <v>4</v>
      </c>
      <c r="J53" s="221"/>
    </row>
    <row r="54" spans="1:10" s="90" customFormat="1" ht="14.25" x14ac:dyDescent="0.3">
      <c r="A54" s="141"/>
      <c r="B54" s="160">
        <v>38</v>
      </c>
      <c r="C54" s="224" t="s">
        <v>561</v>
      </c>
      <c r="D54" s="216" t="s">
        <v>579</v>
      </c>
      <c r="E54" s="215" t="s">
        <v>155</v>
      </c>
      <c r="F54" s="215">
        <v>1</v>
      </c>
      <c r="G54" s="215">
        <v>20</v>
      </c>
      <c r="H54" s="74" t="str">
        <f t="shared" si="0"/>
        <v>Média</v>
      </c>
      <c r="I54" s="188">
        <f t="shared" si="1"/>
        <v>4</v>
      </c>
      <c r="J54" s="221"/>
    </row>
    <row r="55" spans="1:10" s="90" customFormat="1" ht="14.25" x14ac:dyDescent="0.3">
      <c r="A55" s="141"/>
      <c r="B55" s="160">
        <v>39</v>
      </c>
      <c r="C55" s="224" t="s">
        <v>561</v>
      </c>
      <c r="D55" s="216" t="s">
        <v>580</v>
      </c>
      <c r="E55" s="215" t="s">
        <v>155</v>
      </c>
      <c r="F55" s="215">
        <v>1</v>
      </c>
      <c r="G55" s="215">
        <v>20</v>
      </c>
      <c r="H55" s="74" t="str">
        <f t="shared" si="0"/>
        <v>Média</v>
      </c>
      <c r="I55" s="188">
        <f t="shared" si="1"/>
        <v>4</v>
      </c>
      <c r="J55" s="221"/>
    </row>
    <row r="56" spans="1:10" s="90" customFormat="1" ht="14.25" x14ac:dyDescent="0.3">
      <c r="A56" s="141"/>
      <c r="B56" s="160">
        <v>40</v>
      </c>
      <c r="C56" s="224" t="s">
        <v>561</v>
      </c>
      <c r="D56" s="216" t="s">
        <v>581</v>
      </c>
      <c r="E56" s="215" t="s">
        <v>155</v>
      </c>
      <c r="F56" s="215">
        <v>1</v>
      </c>
      <c r="G56" s="215">
        <v>20</v>
      </c>
      <c r="H56" s="74" t="str">
        <f t="shared" si="0"/>
        <v>Média</v>
      </c>
      <c r="I56" s="188">
        <f t="shared" si="1"/>
        <v>4</v>
      </c>
      <c r="J56" s="221"/>
    </row>
    <row r="57" spans="1:10" s="90" customFormat="1" ht="14.25" x14ac:dyDescent="0.3">
      <c r="A57" s="141"/>
      <c r="B57" s="160">
        <v>41</v>
      </c>
      <c r="C57" s="224" t="s">
        <v>562</v>
      </c>
      <c r="D57" s="216" t="s">
        <v>641</v>
      </c>
      <c r="E57" s="215" t="s">
        <v>105</v>
      </c>
      <c r="F57" s="215">
        <v>1</v>
      </c>
      <c r="G57" s="215">
        <v>20</v>
      </c>
      <c r="H57" s="74" t="str">
        <f t="shared" si="0"/>
        <v>Média</v>
      </c>
      <c r="I57" s="188">
        <f t="shared" si="1"/>
        <v>4</v>
      </c>
      <c r="J57" s="221"/>
    </row>
    <row r="58" spans="1:10" s="90" customFormat="1" ht="14.25" x14ac:dyDescent="0.3">
      <c r="A58" s="141"/>
      <c r="B58" s="160">
        <v>42</v>
      </c>
      <c r="C58" s="224" t="s">
        <v>562</v>
      </c>
      <c r="D58" s="213" t="s">
        <v>591</v>
      </c>
      <c r="E58" s="215" t="s">
        <v>155</v>
      </c>
      <c r="F58" s="215">
        <v>1</v>
      </c>
      <c r="G58" s="215">
        <v>20</v>
      </c>
      <c r="H58" s="74" t="str">
        <f t="shared" si="0"/>
        <v>Média</v>
      </c>
      <c r="I58" s="188">
        <f t="shared" si="1"/>
        <v>4</v>
      </c>
      <c r="J58" s="221"/>
    </row>
    <row r="59" spans="1:10" s="90" customFormat="1" ht="14.25" x14ac:dyDescent="0.3">
      <c r="A59" s="141"/>
      <c r="B59" s="160">
        <v>43</v>
      </c>
      <c r="C59" s="224" t="s">
        <v>563</v>
      </c>
      <c r="D59" s="213" t="s">
        <v>567</v>
      </c>
      <c r="E59" s="215" t="s">
        <v>155</v>
      </c>
      <c r="F59" s="215">
        <v>1</v>
      </c>
      <c r="G59" s="215">
        <v>20</v>
      </c>
      <c r="H59" s="74" t="str">
        <f t="shared" si="0"/>
        <v>Média</v>
      </c>
      <c r="I59" s="188">
        <f t="shared" si="1"/>
        <v>4</v>
      </c>
      <c r="J59" s="221"/>
    </row>
    <row r="60" spans="1:10" s="90" customFormat="1" ht="14.25" x14ac:dyDescent="0.3">
      <c r="A60" s="141"/>
      <c r="B60" s="160">
        <v>44</v>
      </c>
      <c r="C60" s="224" t="s">
        <v>564</v>
      </c>
      <c r="D60" s="213" t="s">
        <v>568</v>
      </c>
      <c r="E60" s="215" t="s">
        <v>155</v>
      </c>
      <c r="F60" s="215">
        <v>1</v>
      </c>
      <c r="G60" s="215">
        <v>20</v>
      </c>
      <c r="H60" s="74" t="str">
        <f t="shared" si="0"/>
        <v>Média</v>
      </c>
      <c r="I60" s="188">
        <f t="shared" si="1"/>
        <v>4</v>
      </c>
      <c r="J60" s="221"/>
    </row>
    <row r="61" spans="1:10" s="90" customFormat="1" ht="14.25" x14ac:dyDescent="0.3">
      <c r="A61" s="141"/>
      <c r="B61" s="160">
        <v>45</v>
      </c>
      <c r="C61" s="224" t="s">
        <v>564</v>
      </c>
      <c r="D61" s="213" t="s">
        <v>575</v>
      </c>
      <c r="E61" s="215" t="s">
        <v>155</v>
      </c>
      <c r="F61" s="215">
        <v>1</v>
      </c>
      <c r="G61" s="215">
        <v>20</v>
      </c>
      <c r="H61" s="74" t="str">
        <f t="shared" si="0"/>
        <v>Média</v>
      </c>
      <c r="I61" s="188">
        <f t="shared" si="1"/>
        <v>4</v>
      </c>
      <c r="J61" s="221"/>
    </row>
    <row r="62" spans="1:10" s="90" customFormat="1" ht="14.25" x14ac:dyDescent="0.3">
      <c r="A62" s="141"/>
      <c r="B62" s="160">
        <v>46</v>
      </c>
      <c r="C62" s="224" t="s">
        <v>598</v>
      </c>
      <c r="D62" s="213" t="s">
        <v>590</v>
      </c>
      <c r="E62" s="215" t="s">
        <v>155</v>
      </c>
      <c r="F62" s="215">
        <v>1</v>
      </c>
      <c r="G62" s="215">
        <v>20</v>
      </c>
      <c r="H62" s="74" t="str">
        <f t="shared" si="0"/>
        <v>Média</v>
      </c>
      <c r="I62" s="188">
        <f t="shared" si="1"/>
        <v>4</v>
      </c>
      <c r="J62" s="221"/>
    </row>
    <row r="63" spans="1:10" s="90" customFormat="1" ht="14.25" x14ac:dyDescent="0.3">
      <c r="A63" s="141"/>
      <c r="B63" s="160">
        <v>47</v>
      </c>
      <c r="C63" s="224" t="s">
        <v>598</v>
      </c>
      <c r="D63" s="213" t="s">
        <v>585</v>
      </c>
      <c r="E63" s="215" t="s">
        <v>105</v>
      </c>
      <c r="F63" s="215">
        <v>1</v>
      </c>
      <c r="G63" s="215">
        <v>20</v>
      </c>
      <c r="H63" s="74" t="str">
        <f t="shared" si="0"/>
        <v>Média</v>
      </c>
      <c r="I63" s="188">
        <f t="shared" si="1"/>
        <v>4</v>
      </c>
      <c r="J63" s="221"/>
    </row>
    <row r="64" spans="1:10" s="90" customFormat="1" ht="14.25" x14ac:dyDescent="0.3">
      <c r="A64" s="141"/>
      <c r="B64" s="160">
        <v>48</v>
      </c>
      <c r="C64" s="224" t="s">
        <v>598</v>
      </c>
      <c r="D64" s="213" t="s">
        <v>586</v>
      </c>
      <c r="E64" s="215" t="s">
        <v>105</v>
      </c>
      <c r="F64" s="215">
        <v>1</v>
      </c>
      <c r="G64" s="215">
        <v>20</v>
      </c>
      <c r="H64" s="74" t="str">
        <f t="shared" si="0"/>
        <v>Média</v>
      </c>
      <c r="I64" s="188">
        <f t="shared" si="1"/>
        <v>4</v>
      </c>
      <c r="J64" s="221"/>
    </row>
    <row r="65" spans="1:10" s="90" customFormat="1" ht="14.25" x14ac:dyDescent="0.3">
      <c r="A65" s="141"/>
      <c r="B65" s="160">
        <v>49</v>
      </c>
      <c r="C65" s="224" t="s">
        <v>598</v>
      </c>
      <c r="D65" s="213" t="s">
        <v>556</v>
      </c>
      <c r="E65" s="215" t="s">
        <v>155</v>
      </c>
      <c r="F65" s="215">
        <v>1</v>
      </c>
      <c r="G65" s="215">
        <v>20</v>
      </c>
      <c r="H65" s="74" t="str">
        <f t="shared" si="0"/>
        <v>Média</v>
      </c>
      <c r="I65" s="188">
        <f t="shared" si="1"/>
        <v>4</v>
      </c>
      <c r="J65" s="221"/>
    </row>
    <row r="66" spans="1:10" s="90" customFormat="1" ht="14.25" x14ac:dyDescent="0.3">
      <c r="A66" s="141"/>
      <c r="B66" s="160">
        <v>50</v>
      </c>
      <c r="C66" s="224" t="s">
        <v>598</v>
      </c>
      <c r="D66" s="213" t="s">
        <v>587</v>
      </c>
      <c r="E66" s="215" t="s">
        <v>105</v>
      </c>
      <c r="F66" s="215">
        <v>1</v>
      </c>
      <c r="G66" s="215">
        <v>20</v>
      </c>
      <c r="H66" s="74" t="str">
        <f t="shared" si="0"/>
        <v>Média</v>
      </c>
      <c r="I66" s="188">
        <f t="shared" si="1"/>
        <v>4</v>
      </c>
      <c r="J66" s="221"/>
    </row>
    <row r="67" spans="1:10" s="90" customFormat="1" ht="14.25" x14ac:dyDescent="0.3">
      <c r="A67" s="141"/>
      <c r="B67" s="160">
        <v>51</v>
      </c>
      <c r="C67" s="224" t="s">
        <v>598</v>
      </c>
      <c r="D67" s="213" t="s">
        <v>588</v>
      </c>
      <c r="E67" s="215" t="s">
        <v>105</v>
      </c>
      <c r="F67" s="215">
        <v>1</v>
      </c>
      <c r="G67" s="215">
        <v>20</v>
      </c>
      <c r="H67" s="74" t="str">
        <f t="shared" si="0"/>
        <v>Média</v>
      </c>
      <c r="I67" s="188">
        <f t="shared" si="1"/>
        <v>4</v>
      </c>
      <c r="J67" s="221"/>
    </row>
    <row r="68" spans="1:10" s="90" customFormat="1" ht="14.25" x14ac:dyDescent="0.3">
      <c r="A68" s="141"/>
      <c r="B68" s="160">
        <v>52</v>
      </c>
      <c r="C68" s="224" t="s">
        <v>598</v>
      </c>
      <c r="D68" s="213" t="s">
        <v>611</v>
      </c>
      <c r="E68" s="215" t="s">
        <v>155</v>
      </c>
      <c r="F68" s="217">
        <v>1</v>
      </c>
      <c r="G68" s="218">
        <v>20</v>
      </c>
      <c r="H68" s="74" t="str">
        <f t="shared" si="0"/>
        <v>Média</v>
      </c>
      <c r="I68" s="188">
        <f t="shared" si="1"/>
        <v>4</v>
      </c>
      <c r="J68" s="221"/>
    </row>
    <row r="69" spans="1:10" s="90" customFormat="1" ht="14.25" x14ac:dyDescent="0.3">
      <c r="A69" s="141"/>
      <c r="B69" s="160">
        <v>53</v>
      </c>
      <c r="C69" s="224" t="s">
        <v>598</v>
      </c>
      <c r="D69" s="213" t="s">
        <v>596</v>
      </c>
      <c r="E69" s="215" t="s">
        <v>155</v>
      </c>
      <c r="F69" s="217">
        <v>1</v>
      </c>
      <c r="G69" s="218">
        <v>20</v>
      </c>
      <c r="H69" s="74" t="str">
        <f t="shared" si="0"/>
        <v>Média</v>
      </c>
      <c r="I69" s="188">
        <f t="shared" si="1"/>
        <v>4</v>
      </c>
      <c r="J69" s="221"/>
    </row>
    <row r="70" spans="1:10" s="90" customFormat="1" ht="14.25" x14ac:dyDescent="0.3">
      <c r="A70" s="141"/>
      <c r="B70" s="160">
        <v>54</v>
      </c>
      <c r="C70" s="224" t="s">
        <v>598</v>
      </c>
      <c r="D70" s="213" t="s">
        <v>595</v>
      </c>
      <c r="E70" s="215" t="s">
        <v>155</v>
      </c>
      <c r="F70" s="217">
        <v>1</v>
      </c>
      <c r="G70" s="218">
        <v>20</v>
      </c>
      <c r="H70" s="74" t="str">
        <f t="shared" si="0"/>
        <v>Média</v>
      </c>
      <c r="I70" s="188">
        <f t="shared" si="1"/>
        <v>4</v>
      </c>
      <c r="J70" s="221"/>
    </row>
    <row r="71" spans="1:10" s="90" customFormat="1" ht="14.25" x14ac:dyDescent="0.3">
      <c r="A71" s="141"/>
      <c r="B71" s="160">
        <v>55</v>
      </c>
      <c r="C71" s="224" t="s">
        <v>598</v>
      </c>
      <c r="D71" s="213" t="s">
        <v>594</v>
      </c>
      <c r="E71" s="215" t="s">
        <v>155</v>
      </c>
      <c r="F71" s="217">
        <v>1</v>
      </c>
      <c r="G71" s="218">
        <v>20</v>
      </c>
      <c r="H71" s="74" t="str">
        <f t="shared" si="0"/>
        <v>Média</v>
      </c>
      <c r="I71" s="188">
        <f t="shared" si="1"/>
        <v>4</v>
      </c>
      <c r="J71" s="221"/>
    </row>
    <row r="72" spans="1:10" s="90" customFormat="1" ht="14.25" x14ac:dyDescent="0.3">
      <c r="A72" s="141"/>
      <c r="B72" s="160">
        <v>56</v>
      </c>
      <c r="C72" s="224" t="s">
        <v>597</v>
      </c>
      <c r="D72" s="213" t="s">
        <v>612</v>
      </c>
      <c r="E72" s="215" t="s">
        <v>155</v>
      </c>
      <c r="F72" s="217">
        <v>1</v>
      </c>
      <c r="G72" s="218">
        <v>20</v>
      </c>
      <c r="H72" s="74" t="str">
        <f t="shared" si="0"/>
        <v>Média</v>
      </c>
      <c r="I72" s="188">
        <f t="shared" si="1"/>
        <v>4</v>
      </c>
      <c r="J72" s="221"/>
    </row>
    <row r="73" spans="1:10" s="90" customFormat="1" ht="14.25" x14ac:dyDescent="0.3">
      <c r="A73" s="141"/>
      <c r="B73" s="160">
        <v>57</v>
      </c>
      <c r="C73" s="224" t="s">
        <v>597</v>
      </c>
      <c r="D73" s="213" t="s">
        <v>613</v>
      </c>
      <c r="E73" s="215" t="s">
        <v>105</v>
      </c>
      <c r="F73" s="217">
        <v>1</v>
      </c>
      <c r="G73" s="218">
        <v>20</v>
      </c>
      <c r="H73" s="74" t="str">
        <f t="shared" si="0"/>
        <v>Média</v>
      </c>
      <c r="I73" s="188">
        <f t="shared" si="1"/>
        <v>4</v>
      </c>
      <c r="J73" s="221"/>
    </row>
    <row r="74" spans="1:10" s="90" customFormat="1" ht="14.25" x14ac:dyDescent="0.3">
      <c r="A74" s="141"/>
      <c r="B74" s="160">
        <v>58</v>
      </c>
      <c r="C74" s="224" t="s">
        <v>597</v>
      </c>
      <c r="D74" s="213" t="s">
        <v>614</v>
      </c>
      <c r="E74" s="215" t="s">
        <v>105</v>
      </c>
      <c r="F74" s="217">
        <v>1</v>
      </c>
      <c r="G74" s="218">
        <v>20</v>
      </c>
      <c r="H74" s="74" t="str">
        <f t="shared" si="0"/>
        <v>Média</v>
      </c>
      <c r="I74" s="188">
        <f t="shared" si="1"/>
        <v>4</v>
      </c>
      <c r="J74" s="221"/>
    </row>
    <row r="75" spans="1:10" s="90" customFormat="1" ht="14.25" x14ac:dyDescent="0.3">
      <c r="A75" s="141"/>
      <c r="B75" s="160">
        <v>59</v>
      </c>
      <c r="C75" s="224" t="s">
        <v>597</v>
      </c>
      <c r="D75" s="213" t="s">
        <v>615</v>
      </c>
      <c r="E75" s="215" t="s">
        <v>155</v>
      </c>
      <c r="F75" s="217">
        <v>1</v>
      </c>
      <c r="G75" s="218">
        <v>20</v>
      </c>
      <c r="H75" s="74" t="str">
        <f t="shared" si="0"/>
        <v>Média</v>
      </c>
      <c r="I75" s="188">
        <f t="shared" si="1"/>
        <v>4</v>
      </c>
      <c r="J75" s="221"/>
    </row>
    <row r="76" spans="1:10" s="90" customFormat="1" ht="14.25" x14ac:dyDescent="0.3">
      <c r="A76" s="141"/>
      <c r="B76" s="160">
        <v>60</v>
      </c>
      <c r="C76" s="224" t="s">
        <v>597</v>
      </c>
      <c r="D76" s="213" t="s">
        <v>617</v>
      </c>
      <c r="E76" s="215" t="s">
        <v>105</v>
      </c>
      <c r="F76" s="217">
        <v>1</v>
      </c>
      <c r="G76" s="218">
        <v>20</v>
      </c>
      <c r="H76" s="74" t="str">
        <f t="shared" si="0"/>
        <v>Média</v>
      </c>
      <c r="I76" s="188">
        <f t="shared" si="1"/>
        <v>4</v>
      </c>
      <c r="J76" s="221"/>
    </row>
    <row r="77" spans="1:10" s="90" customFormat="1" ht="14.25" x14ac:dyDescent="0.3">
      <c r="A77" s="141"/>
      <c r="B77" s="160">
        <v>61</v>
      </c>
      <c r="C77" s="224" t="s">
        <v>597</v>
      </c>
      <c r="D77" s="213" t="s">
        <v>616</v>
      </c>
      <c r="E77" s="215" t="s">
        <v>105</v>
      </c>
      <c r="F77" s="217">
        <v>1</v>
      </c>
      <c r="G77" s="218">
        <v>20</v>
      </c>
      <c r="H77" s="74" t="str">
        <f t="shared" si="0"/>
        <v>Média</v>
      </c>
      <c r="I77" s="188">
        <f t="shared" si="1"/>
        <v>4</v>
      </c>
      <c r="J77" s="221"/>
    </row>
    <row r="78" spans="1:10" s="90" customFormat="1" ht="14.25" x14ac:dyDescent="0.3">
      <c r="A78" s="141"/>
      <c r="B78" s="160">
        <v>62</v>
      </c>
      <c r="C78" s="224" t="s">
        <v>597</v>
      </c>
      <c r="D78" s="213" t="s">
        <v>618</v>
      </c>
      <c r="E78" s="215" t="s">
        <v>155</v>
      </c>
      <c r="F78" s="217">
        <v>1</v>
      </c>
      <c r="G78" s="218">
        <v>20</v>
      </c>
      <c r="H78" s="74" t="str">
        <f t="shared" si="0"/>
        <v>Média</v>
      </c>
      <c r="I78" s="188">
        <f t="shared" si="1"/>
        <v>4</v>
      </c>
      <c r="J78" s="221"/>
    </row>
    <row r="79" spans="1:10" s="90" customFormat="1" ht="14.25" x14ac:dyDescent="0.3">
      <c r="A79" s="141"/>
      <c r="B79" s="160">
        <v>63</v>
      </c>
      <c r="C79" s="224" t="s">
        <v>597</v>
      </c>
      <c r="D79" s="213" t="s">
        <v>619</v>
      </c>
      <c r="E79" s="215" t="s">
        <v>155</v>
      </c>
      <c r="F79" s="217">
        <v>1</v>
      </c>
      <c r="G79" s="218">
        <v>20</v>
      </c>
      <c r="H79" s="74" t="str">
        <f t="shared" si="0"/>
        <v>Média</v>
      </c>
      <c r="I79" s="188">
        <f t="shared" si="1"/>
        <v>4</v>
      </c>
      <c r="J79" s="221"/>
    </row>
    <row r="80" spans="1:10" s="90" customFormat="1" ht="14.25" x14ac:dyDescent="0.3">
      <c r="A80" s="141"/>
      <c r="B80" s="160">
        <v>64</v>
      </c>
      <c r="C80" s="224" t="s">
        <v>599</v>
      </c>
      <c r="D80" s="213" t="s">
        <v>621</v>
      </c>
      <c r="E80" s="215" t="s">
        <v>155</v>
      </c>
      <c r="F80" s="217">
        <v>1</v>
      </c>
      <c r="G80" s="218">
        <v>20</v>
      </c>
      <c r="H80" s="74" t="str">
        <f t="shared" si="0"/>
        <v>Média</v>
      </c>
      <c r="I80" s="188">
        <f t="shared" si="1"/>
        <v>4</v>
      </c>
      <c r="J80" s="221"/>
    </row>
    <row r="81" spans="1:10" s="90" customFormat="1" ht="14.25" x14ac:dyDescent="0.3">
      <c r="A81" s="141"/>
      <c r="B81" s="160">
        <v>65</v>
      </c>
      <c r="C81" s="224" t="s">
        <v>599</v>
      </c>
      <c r="D81" s="213" t="s">
        <v>622</v>
      </c>
      <c r="E81" s="215" t="s">
        <v>105</v>
      </c>
      <c r="F81" s="217">
        <v>1</v>
      </c>
      <c r="G81" s="218">
        <v>20</v>
      </c>
      <c r="H81" s="74" t="str">
        <f t="shared" ref="H81:H144" si="2">ObterComplexidadeFuncao(E81,F81,G81)</f>
        <v>Média</v>
      </c>
      <c r="I81" s="188">
        <f t="shared" si="1"/>
        <v>4</v>
      </c>
      <c r="J81" s="221"/>
    </row>
    <row r="82" spans="1:10" s="90" customFormat="1" ht="14.25" x14ac:dyDescent="0.3">
      <c r="A82" s="141"/>
      <c r="B82" s="160">
        <v>66</v>
      </c>
      <c r="C82" s="224" t="s">
        <v>599</v>
      </c>
      <c r="D82" s="213" t="s">
        <v>623</v>
      </c>
      <c r="E82" s="215" t="s">
        <v>105</v>
      </c>
      <c r="F82" s="217">
        <v>1</v>
      </c>
      <c r="G82" s="218">
        <v>20</v>
      </c>
      <c r="H82" s="74" t="str">
        <f t="shared" si="2"/>
        <v>Média</v>
      </c>
      <c r="I82" s="188">
        <f t="shared" ref="I82:I145" si="3">ObterContribuicaoFuncao(E82,H82)</f>
        <v>4</v>
      </c>
      <c r="J82" s="221"/>
    </row>
    <row r="83" spans="1:10" s="90" customFormat="1" ht="14.25" x14ac:dyDescent="0.3">
      <c r="A83" s="141"/>
      <c r="B83" s="160">
        <v>67</v>
      </c>
      <c r="C83" s="224" t="s">
        <v>599</v>
      </c>
      <c r="D83" s="213" t="s">
        <v>624</v>
      </c>
      <c r="E83" s="215" t="s">
        <v>155</v>
      </c>
      <c r="F83" s="217">
        <v>1</v>
      </c>
      <c r="G83" s="218">
        <v>20</v>
      </c>
      <c r="H83" s="74" t="str">
        <f t="shared" si="2"/>
        <v>Média</v>
      </c>
      <c r="I83" s="188">
        <f t="shared" si="3"/>
        <v>4</v>
      </c>
      <c r="J83" s="221"/>
    </row>
    <row r="84" spans="1:10" s="90" customFormat="1" ht="14.25" x14ac:dyDescent="0.3">
      <c r="A84" s="141"/>
      <c r="B84" s="160">
        <v>68</v>
      </c>
      <c r="C84" s="224" t="s">
        <v>599</v>
      </c>
      <c r="D84" s="213" t="s">
        <v>625</v>
      </c>
      <c r="E84" s="215" t="s">
        <v>105</v>
      </c>
      <c r="F84" s="217">
        <v>1</v>
      </c>
      <c r="G84" s="218">
        <v>20</v>
      </c>
      <c r="H84" s="74" t="str">
        <f t="shared" si="2"/>
        <v>Média</v>
      </c>
      <c r="I84" s="188">
        <f t="shared" si="3"/>
        <v>4</v>
      </c>
      <c r="J84" s="221"/>
    </row>
    <row r="85" spans="1:10" s="90" customFormat="1" ht="14.25" x14ac:dyDescent="0.3">
      <c r="A85" s="141"/>
      <c r="B85" s="160">
        <v>69</v>
      </c>
      <c r="C85" s="224" t="s">
        <v>600</v>
      </c>
      <c r="D85" s="213" t="s">
        <v>626</v>
      </c>
      <c r="E85" s="215" t="s">
        <v>155</v>
      </c>
      <c r="F85" s="217">
        <v>1</v>
      </c>
      <c r="G85" s="218">
        <v>20</v>
      </c>
      <c r="H85" s="74" t="str">
        <f t="shared" si="2"/>
        <v>Média</v>
      </c>
      <c r="I85" s="188">
        <f t="shared" si="3"/>
        <v>4</v>
      </c>
      <c r="J85" s="221"/>
    </row>
    <row r="86" spans="1:10" s="90" customFormat="1" ht="14.25" x14ac:dyDescent="0.3">
      <c r="A86" s="141"/>
      <c r="B86" s="160">
        <v>70</v>
      </c>
      <c r="C86" s="224" t="s">
        <v>600</v>
      </c>
      <c r="D86" s="213" t="s">
        <v>627</v>
      </c>
      <c r="E86" s="215" t="s">
        <v>105</v>
      </c>
      <c r="F86" s="217">
        <v>1</v>
      </c>
      <c r="G86" s="218">
        <v>20</v>
      </c>
      <c r="H86" s="74" t="str">
        <f t="shared" si="2"/>
        <v>Média</v>
      </c>
      <c r="I86" s="188">
        <f t="shared" si="3"/>
        <v>4</v>
      </c>
      <c r="J86" s="221"/>
    </row>
    <row r="87" spans="1:10" s="90" customFormat="1" ht="14.25" x14ac:dyDescent="0.3">
      <c r="A87" s="141"/>
      <c r="B87" s="160">
        <v>71</v>
      </c>
      <c r="C87" s="224" t="s">
        <v>600</v>
      </c>
      <c r="D87" s="213" t="s">
        <v>628</v>
      </c>
      <c r="E87" s="215" t="s">
        <v>105</v>
      </c>
      <c r="F87" s="217">
        <v>1</v>
      </c>
      <c r="G87" s="218">
        <v>20</v>
      </c>
      <c r="H87" s="74" t="str">
        <f t="shared" si="2"/>
        <v>Média</v>
      </c>
      <c r="I87" s="188">
        <f t="shared" si="3"/>
        <v>4</v>
      </c>
      <c r="J87" s="221"/>
    </row>
    <row r="88" spans="1:10" s="90" customFormat="1" ht="14.25" x14ac:dyDescent="0.3">
      <c r="A88" s="141"/>
      <c r="B88" s="160">
        <v>72</v>
      </c>
      <c r="C88" s="224" t="s">
        <v>600</v>
      </c>
      <c r="D88" s="213" t="s">
        <v>629</v>
      </c>
      <c r="E88" s="215" t="s">
        <v>155</v>
      </c>
      <c r="F88" s="217">
        <v>1</v>
      </c>
      <c r="G88" s="218">
        <v>20</v>
      </c>
      <c r="H88" s="74" t="str">
        <f t="shared" si="2"/>
        <v>Média</v>
      </c>
      <c r="I88" s="188">
        <f t="shared" si="3"/>
        <v>4</v>
      </c>
      <c r="J88" s="221"/>
    </row>
    <row r="89" spans="1:10" s="90" customFormat="1" ht="14.25" x14ac:dyDescent="0.3">
      <c r="A89" s="141"/>
      <c r="B89" s="160">
        <v>73</v>
      </c>
      <c r="C89" s="224" t="s">
        <v>600</v>
      </c>
      <c r="D89" s="213" t="s">
        <v>630</v>
      </c>
      <c r="E89" s="215" t="s">
        <v>105</v>
      </c>
      <c r="F89" s="217">
        <v>1</v>
      </c>
      <c r="G89" s="218">
        <v>20</v>
      </c>
      <c r="H89" s="74" t="str">
        <f t="shared" si="2"/>
        <v>Média</v>
      </c>
      <c r="I89" s="188">
        <f t="shared" si="3"/>
        <v>4</v>
      </c>
      <c r="J89" s="221"/>
    </row>
    <row r="90" spans="1:10" s="90" customFormat="1" ht="14.25" x14ac:dyDescent="0.3">
      <c r="A90" s="141"/>
      <c r="B90" s="160">
        <v>74</v>
      </c>
      <c r="C90" s="224" t="s">
        <v>600</v>
      </c>
      <c r="D90" s="213" t="s">
        <v>631</v>
      </c>
      <c r="E90" s="215" t="s">
        <v>105</v>
      </c>
      <c r="F90" s="217">
        <v>1</v>
      </c>
      <c r="G90" s="218">
        <v>20</v>
      </c>
      <c r="H90" s="74" t="str">
        <f t="shared" si="2"/>
        <v>Média</v>
      </c>
      <c r="I90" s="188">
        <f t="shared" si="3"/>
        <v>4</v>
      </c>
      <c r="J90" s="221"/>
    </row>
    <row r="91" spans="1:10" s="90" customFormat="1" ht="14.25" x14ac:dyDescent="0.3">
      <c r="A91" s="141"/>
      <c r="B91" s="160">
        <v>75</v>
      </c>
      <c r="C91" s="224" t="s">
        <v>600</v>
      </c>
      <c r="D91" s="213" t="s">
        <v>632</v>
      </c>
      <c r="E91" s="215" t="s">
        <v>155</v>
      </c>
      <c r="F91" s="217">
        <v>1</v>
      </c>
      <c r="G91" s="218">
        <v>20</v>
      </c>
      <c r="H91" s="74" t="str">
        <f t="shared" si="2"/>
        <v>Média</v>
      </c>
      <c r="I91" s="188">
        <f t="shared" si="3"/>
        <v>4</v>
      </c>
      <c r="J91" s="221"/>
    </row>
    <row r="92" spans="1:10" s="90" customFormat="1" ht="14.25" x14ac:dyDescent="0.3">
      <c r="A92" s="141"/>
      <c r="B92" s="160">
        <v>76</v>
      </c>
      <c r="C92" s="224" t="s">
        <v>601</v>
      </c>
      <c r="D92" s="213" t="s">
        <v>634</v>
      </c>
      <c r="E92" s="215" t="s">
        <v>155</v>
      </c>
      <c r="F92" s="217">
        <v>1</v>
      </c>
      <c r="G92" s="218">
        <v>20</v>
      </c>
      <c r="H92" s="74" t="str">
        <f t="shared" si="2"/>
        <v>Média</v>
      </c>
      <c r="I92" s="188">
        <f t="shared" si="3"/>
        <v>4</v>
      </c>
      <c r="J92" s="221"/>
    </row>
    <row r="93" spans="1:10" s="90" customFormat="1" ht="14.25" x14ac:dyDescent="0.3">
      <c r="A93" s="141"/>
      <c r="B93" s="160">
        <v>77</v>
      </c>
      <c r="C93" s="224" t="s">
        <v>601</v>
      </c>
      <c r="D93" s="213" t="s">
        <v>635</v>
      </c>
      <c r="E93" s="215" t="s">
        <v>105</v>
      </c>
      <c r="F93" s="217">
        <v>1</v>
      </c>
      <c r="G93" s="218">
        <v>20</v>
      </c>
      <c r="H93" s="74" t="str">
        <f t="shared" si="2"/>
        <v>Média</v>
      </c>
      <c r="I93" s="188">
        <f t="shared" si="3"/>
        <v>4</v>
      </c>
      <c r="J93" s="221"/>
    </row>
    <row r="94" spans="1:10" s="90" customFormat="1" ht="14.25" x14ac:dyDescent="0.3">
      <c r="A94" s="141"/>
      <c r="B94" s="160">
        <v>78</v>
      </c>
      <c r="C94" s="224" t="s">
        <v>601</v>
      </c>
      <c r="D94" s="213" t="s">
        <v>636</v>
      </c>
      <c r="E94" s="215" t="s">
        <v>105</v>
      </c>
      <c r="F94" s="217">
        <v>1</v>
      </c>
      <c r="G94" s="218">
        <v>20</v>
      </c>
      <c r="H94" s="74" t="str">
        <f t="shared" si="2"/>
        <v>Média</v>
      </c>
      <c r="I94" s="188">
        <f t="shared" si="3"/>
        <v>4</v>
      </c>
      <c r="J94" s="221"/>
    </row>
    <row r="95" spans="1:10" s="90" customFormat="1" ht="14.25" x14ac:dyDescent="0.3">
      <c r="A95" s="141"/>
      <c r="B95" s="160">
        <v>79</v>
      </c>
      <c r="C95" s="224" t="s">
        <v>601</v>
      </c>
      <c r="D95" s="213" t="s">
        <v>638</v>
      </c>
      <c r="E95" s="215" t="s">
        <v>155</v>
      </c>
      <c r="F95" s="217">
        <v>1</v>
      </c>
      <c r="G95" s="218">
        <v>20</v>
      </c>
      <c r="H95" s="74" t="str">
        <f t="shared" si="2"/>
        <v>Média</v>
      </c>
      <c r="I95" s="188">
        <f t="shared" si="3"/>
        <v>4</v>
      </c>
      <c r="J95" s="221"/>
    </row>
    <row r="96" spans="1:10" s="90" customFormat="1" ht="14.25" x14ac:dyDescent="0.3">
      <c r="A96" s="141"/>
      <c r="B96" s="160">
        <v>80</v>
      </c>
      <c r="C96" s="224" t="s">
        <v>601</v>
      </c>
      <c r="D96" s="213" t="s">
        <v>637</v>
      </c>
      <c r="E96" s="215" t="s">
        <v>105</v>
      </c>
      <c r="F96" s="217">
        <v>1</v>
      </c>
      <c r="G96" s="218">
        <v>20</v>
      </c>
      <c r="H96" s="74" t="str">
        <f t="shared" si="2"/>
        <v>Média</v>
      </c>
      <c r="I96" s="188">
        <f t="shared" si="3"/>
        <v>4</v>
      </c>
      <c r="J96" s="221"/>
    </row>
    <row r="97" spans="1:10" s="90" customFormat="1" ht="14.25" x14ac:dyDescent="0.3">
      <c r="A97" s="141"/>
      <c r="B97" s="160">
        <v>81</v>
      </c>
      <c r="C97" s="224" t="s">
        <v>601</v>
      </c>
      <c r="D97" s="213" t="s">
        <v>639</v>
      </c>
      <c r="E97" s="215" t="s">
        <v>155</v>
      </c>
      <c r="F97" s="217">
        <v>1</v>
      </c>
      <c r="G97" s="218">
        <v>20</v>
      </c>
      <c r="H97" s="74" t="str">
        <f t="shared" si="2"/>
        <v>Média</v>
      </c>
      <c r="I97" s="188">
        <f t="shared" si="3"/>
        <v>4</v>
      </c>
      <c r="J97" s="221"/>
    </row>
    <row r="98" spans="1:10" s="90" customFormat="1" ht="14.25" x14ac:dyDescent="0.3">
      <c r="A98" s="141"/>
      <c r="B98" s="160">
        <v>82</v>
      </c>
      <c r="C98" s="224" t="s">
        <v>601</v>
      </c>
      <c r="D98" s="213" t="s">
        <v>640</v>
      </c>
      <c r="E98" s="215" t="s">
        <v>155</v>
      </c>
      <c r="F98" s="217">
        <v>1</v>
      </c>
      <c r="G98" s="218">
        <v>20</v>
      </c>
      <c r="H98" s="74" t="str">
        <f t="shared" si="2"/>
        <v>Média</v>
      </c>
      <c r="I98" s="188">
        <f t="shared" si="3"/>
        <v>4</v>
      </c>
      <c r="J98" s="221"/>
    </row>
    <row r="99" spans="1:10" s="90" customFormat="1" ht="14.25" x14ac:dyDescent="0.3">
      <c r="A99" s="141"/>
      <c r="B99" s="160">
        <v>83</v>
      </c>
      <c r="C99" s="224" t="s">
        <v>602</v>
      </c>
      <c r="D99" s="213" t="s">
        <v>643</v>
      </c>
      <c r="E99" s="215" t="s">
        <v>155</v>
      </c>
      <c r="F99" s="217">
        <v>1</v>
      </c>
      <c r="G99" s="218">
        <v>20</v>
      </c>
      <c r="H99" s="74" t="str">
        <f t="shared" si="2"/>
        <v>Média</v>
      </c>
      <c r="I99" s="188">
        <f t="shared" si="3"/>
        <v>4</v>
      </c>
      <c r="J99" s="221"/>
    </row>
    <row r="100" spans="1:10" s="90" customFormat="1" ht="14.25" x14ac:dyDescent="0.3">
      <c r="A100" s="141"/>
      <c r="B100" s="160">
        <v>84</v>
      </c>
      <c r="C100" s="224" t="s">
        <v>602</v>
      </c>
      <c r="D100" s="213" t="s">
        <v>642</v>
      </c>
      <c r="E100" s="215" t="s">
        <v>105</v>
      </c>
      <c r="F100" s="217">
        <v>1</v>
      </c>
      <c r="G100" s="218">
        <v>20</v>
      </c>
      <c r="H100" s="74" t="str">
        <f t="shared" si="2"/>
        <v>Média</v>
      </c>
      <c r="I100" s="188">
        <f t="shared" si="3"/>
        <v>4</v>
      </c>
      <c r="J100" s="221"/>
    </row>
    <row r="101" spans="1:10" s="90" customFormat="1" ht="14.25" x14ac:dyDescent="0.3">
      <c r="A101" s="141"/>
      <c r="B101" s="160">
        <v>85</v>
      </c>
      <c r="C101" s="224" t="s">
        <v>602</v>
      </c>
      <c r="D101" s="213" t="s">
        <v>644</v>
      </c>
      <c r="E101" s="215" t="s">
        <v>105</v>
      </c>
      <c r="F101" s="217">
        <v>1</v>
      </c>
      <c r="G101" s="218">
        <v>20</v>
      </c>
      <c r="H101" s="74" t="str">
        <f t="shared" si="2"/>
        <v>Média</v>
      </c>
      <c r="I101" s="188">
        <f t="shared" si="3"/>
        <v>4</v>
      </c>
      <c r="J101" s="221"/>
    </row>
    <row r="102" spans="1:10" s="90" customFormat="1" ht="14.25" x14ac:dyDescent="0.3">
      <c r="A102" s="141"/>
      <c r="B102" s="160">
        <v>86</v>
      </c>
      <c r="C102" s="224" t="s">
        <v>602</v>
      </c>
      <c r="D102" s="213" t="s">
        <v>645</v>
      </c>
      <c r="E102" s="215" t="s">
        <v>155</v>
      </c>
      <c r="F102" s="217">
        <v>1</v>
      </c>
      <c r="G102" s="218">
        <v>20</v>
      </c>
      <c r="H102" s="74" t="str">
        <f t="shared" si="2"/>
        <v>Média</v>
      </c>
      <c r="I102" s="188">
        <f t="shared" si="3"/>
        <v>4</v>
      </c>
      <c r="J102" s="221"/>
    </row>
    <row r="103" spans="1:10" s="90" customFormat="1" ht="14.25" x14ac:dyDescent="0.3">
      <c r="A103" s="141"/>
      <c r="B103" s="160">
        <v>87</v>
      </c>
      <c r="C103" s="224" t="s">
        <v>602</v>
      </c>
      <c r="D103" s="213" t="s">
        <v>646</v>
      </c>
      <c r="E103" s="215" t="s">
        <v>105</v>
      </c>
      <c r="F103" s="217">
        <v>1</v>
      </c>
      <c r="G103" s="218">
        <v>20</v>
      </c>
      <c r="H103" s="74" t="str">
        <f t="shared" si="2"/>
        <v>Média</v>
      </c>
      <c r="I103" s="188">
        <f t="shared" si="3"/>
        <v>4</v>
      </c>
      <c r="J103" s="221"/>
    </row>
    <row r="104" spans="1:10" s="90" customFormat="1" ht="14.25" x14ac:dyDescent="0.3">
      <c r="A104" s="141"/>
      <c r="B104" s="160">
        <v>88</v>
      </c>
      <c r="C104" s="224" t="s">
        <v>602</v>
      </c>
      <c r="D104" s="213" t="s">
        <v>647</v>
      </c>
      <c r="E104" s="215" t="s">
        <v>105</v>
      </c>
      <c r="F104" s="217">
        <v>1</v>
      </c>
      <c r="G104" s="218">
        <v>20</v>
      </c>
      <c r="H104" s="74" t="str">
        <f t="shared" si="2"/>
        <v>Média</v>
      </c>
      <c r="I104" s="188">
        <f t="shared" si="3"/>
        <v>4</v>
      </c>
      <c r="J104" s="221"/>
    </row>
    <row r="105" spans="1:10" s="90" customFormat="1" ht="14.25" x14ac:dyDescent="0.3">
      <c r="A105" s="141"/>
      <c r="B105" s="160">
        <v>89</v>
      </c>
      <c r="C105" s="224" t="s">
        <v>603</v>
      </c>
      <c r="D105" s="213" t="s">
        <v>651</v>
      </c>
      <c r="E105" s="215" t="s">
        <v>105</v>
      </c>
      <c r="F105" s="217">
        <v>1</v>
      </c>
      <c r="G105" s="218">
        <v>20</v>
      </c>
      <c r="H105" s="74" t="str">
        <f t="shared" si="2"/>
        <v>Média</v>
      </c>
      <c r="I105" s="188">
        <f t="shared" si="3"/>
        <v>4</v>
      </c>
      <c r="J105" s="221"/>
    </row>
    <row r="106" spans="1:10" s="90" customFormat="1" ht="14.25" x14ac:dyDescent="0.3">
      <c r="A106" s="141"/>
      <c r="B106" s="160">
        <v>90</v>
      </c>
      <c r="C106" s="224" t="s">
        <v>603</v>
      </c>
      <c r="D106" s="213" t="s">
        <v>649</v>
      </c>
      <c r="E106" s="215" t="s">
        <v>447</v>
      </c>
      <c r="F106" s="217"/>
      <c r="G106" s="218"/>
      <c r="H106" s="74" t="str">
        <f t="shared" si="2"/>
        <v/>
      </c>
      <c r="I106" s="188" t="str">
        <f t="shared" si="3"/>
        <v/>
      </c>
      <c r="J106" s="221"/>
    </row>
    <row r="107" spans="1:10" s="90" customFormat="1" ht="14.25" x14ac:dyDescent="0.3">
      <c r="A107" s="141"/>
      <c r="B107" s="160">
        <v>91</v>
      </c>
      <c r="C107" s="224" t="s">
        <v>603</v>
      </c>
      <c r="D107" s="213" t="s">
        <v>652</v>
      </c>
      <c r="E107" s="215" t="s">
        <v>447</v>
      </c>
      <c r="F107" s="217"/>
      <c r="G107" s="218"/>
      <c r="H107" s="74" t="str">
        <f t="shared" si="2"/>
        <v/>
      </c>
      <c r="I107" s="188" t="str">
        <f t="shared" si="3"/>
        <v/>
      </c>
      <c r="J107" s="221"/>
    </row>
    <row r="108" spans="1:10" s="90" customFormat="1" ht="14.25" x14ac:dyDescent="0.3">
      <c r="A108" s="141"/>
      <c r="B108" s="160">
        <v>92</v>
      </c>
      <c r="C108" s="224" t="s">
        <v>603</v>
      </c>
      <c r="D108" s="213" t="s">
        <v>650</v>
      </c>
      <c r="E108" s="215" t="s">
        <v>155</v>
      </c>
      <c r="F108" s="217">
        <v>1</v>
      </c>
      <c r="G108" s="218">
        <v>20</v>
      </c>
      <c r="H108" s="74" t="str">
        <f t="shared" si="2"/>
        <v>Média</v>
      </c>
      <c r="I108" s="188">
        <f t="shared" si="3"/>
        <v>4</v>
      </c>
      <c r="J108" s="221"/>
    </row>
    <row r="109" spans="1:10" s="90" customFormat="1" ht="14.25" x14ac:dyDescent="0.3">
      <c r="A109" s="141"/>
      <c r="B109" s="160">
        <v>93</v>
      </c>
      <c r="C109" s="224" t="s">
        <v>603</v>
      </c>
      <c r="D109" s="213" t="s">
        <v>653</v>
      </c>
      <c r="E109" s="215" t="s">
        <v>105</v>
      </c>
      <c r="F109" s="217">
        <v>1</v>
      </c>
      <c r="G109" s="218">
        <v>20</v>
      </c>
      <c r="H109" s="74" t="str">
        <f t="shared" si="2"/>
        <v>Média</v>
      </c>
      <c r="I109" s="188">
        <f t="shared" si="3"/>
        <v>4</v>
      </c>
      <c r="J109" s="221"/>
    </row>
    <row r="110" spans="1:10" s="90" customFormat="1" ht="14.25" x14ac:dyDescent="0.3">
      <c r="A110" s="141"/>
      <c r="B110" s="160">
        <v>94</v>
      </c>
      <c r="C110" s="224" t="s">
        <v>603</v>
      </c>
      <c r="D110" s="213" t="s">
        <v>654</v>
      </c>
      <c r="E110" s="215" t="s">
        <v>155</v>
      </c>
      <c r="F110" s="217">
        <v>1</v>
      </c>
      <c r="G110" s="218">
        <v>20</v>
      </c>
      <c r="H110" s="74" t="str">
        <f t="shared" si="2"/>
        <v>Média</v>
      </c>
      <c r="I110" s="188">
        <f t="shared" si="3"/>
        <v>4</v>
      </c>
      <c r="J110" s="221"/>
    </row>
    <row r="111" spans="1:10" s="90" customFormat="1" ht="14.25" x14ac:dyDescent="0.3">
      <c r="A111" s="141"/>
      <c r="B111" s="160">
        <v>95</v>
      </c>
      <c r="C111" s="224" t="s">
        <v>604</v>
      </c>
      <c r="D111" s="213" t="s">
        <v>660</v>
      </c>
      <c r="E111" s="215" t="s">
        <v>155</v>
      </c>
      <c r="F111" s="217">
        <v>1</v>
      </c>
      <c r="G111" s="218">
        <v>20</v>
      </c>
      <c r="H111" s="74" t="str">
        <f>ObterComplexidadeFuncao(E111,F111,G111)</f>
        <v>Média</v>
      </c>
      <c r="I111" s="188">
        <f>ObterContribuicaoFuncao(E111,H111)</f>
        <v>4</v>
      </c>
      <c r="J111" s="221"/>
    </row>
    <row r="112" spans="1:10" s="90" customFormat="1" ht="14.25" x14ac:dyDescent="0.3">
      <c r="A112" s="141"/>
      <c r="B112" s="160">
        <v>96</v>
      </c>
      <c r="C112" s="224" t="s">
        <v>604</v>
      </c>
      <c r="D112" s="213" t="s">
        <v>657</v>
      </c>
      <c r="E112" s="215" t="s">
        <v>105</v>
      </c>
      <c r="F112" s="217">
        <v>1</v>
      </c>
      <c r="G112" s="218">
        <v>20</v>
      </c>
      <c r="H112" s="74" t="str">
        <f t="shared" si="2"/>
        <v>Média</v>
      </c>
      <c r="I112" s="188">
        <f t="shared" si="3"/>
        <v>4</v>
      </c>
      <c r="J112" s="221"/>
    </row>
    <row r="113" spans="1:10" s="90" customFormat="1" ht="14.25" x14ac:dyDescent="0.3">
      <c r="A113" s="141"/>
      <c r="B113" s="160">
        <v>97</v>
      </c>
      <c r="C113" s="224" t="s">
        <v>604</v>
      </c>
      <c r="D113" s="213" t="s">
        <v>658</v>
      </c>
      <c r="E113" s="215" t="s">
        <v>105</v>
      </c>
      <c r="F113" s="217">
        <v>1</v>
      </c>
      <c r="G113" s="218">
        <v>20</v>
      </c>
      <c r="H113" s="74" t="str">
        <f t="shared" si="2"/>
        <v>Média</v>
      </c>
      <c r="I113" s="188">
        <f t="shared" si="3"/>
        <v>4</v>
      </c>
      <c r="J113" s="221"/>
    </row>
    <row r="114" spans="1:10" s="90" customFormat="1" ht="14.25" x14ac:dyDescent="0.3">
      <c r="A114" s="141"/>
      <c r="B114" s="160">
        <v>98</v>
      </c>
      <c r="C114" s="224" t="s">
        <v>604</v>
      </c>
      <c r="D114" s="213" t="s">
        <v>659</v>
      </c>
      <c r="E114" s="215" t="s">
        <v>155</v>
      </c>
      <c r="F114" s="217">
        <v>1</v>
      </c>
      <c r="G114" s="218">
        <v>20</v>
      </c>
      <c r="H114" s="74" t="str">
        <f t="shared" si="2"/>
        <v>Média</v>
      </c>
      <c r="I114" s="188">
        <f t="shared" si="3"/>
        <v>4</v>
      </c>
      <c r="J114" s="221"/>
    </row>
    <row r="115" spans="1:10" s="90" customFormat="1" ht="14.25" x14ac:dyDescent="0.3">
      <c r="A115" s="141"/>
      <c r="B115" s="160">
        <v>99</v>
      </c>
      <c r="C115" s="224" t="s">
        <v>604</v>
      </c>
      <c r="D115" s="213" t="s">
        <v>661</v>
      </c>
      <c r="E115" s="215" t="s">
        <v>105</v>
      </c>
      <c r="F115" s="217">
        <v>1</v>
      </c>
      <c r="G115" s="218">
        <v>20</v>
      </c>
      <c r="H115" s="74" t="str">
        <f>ObterComplexidadeFuncao(E115,F115,G115)</f>
        <v>Média</v>
      </c>
      <c r="I115" s="188">
        <f>ObterContribuicaoFuncao(E115,H115)</f>
        <v>4</v>
      </c>
      <c r="J115" s="221"/>
    </row>
    <row r="116" spans="1:10" s="90" customFormat="1" ht="14.25" x14ac:dyDescent="0.3">
      <c r="A116" s="141"/>
      <c r="B116" s="160">
        <v>100</v>
      </c>
      <c r="C116" s="224" t="s">
        <v>604</v>
      </c>
      <c r="D116" s="213" t="s">
        <v>666</v>
      </c>
      <c r="E116" s="215" t="s">
        <v>105</v>
      </c>
      <c r="F116" s="217">
        <v>1</v>
      </c>
      <c r="G116" s="218">
        <v>20</v>
      </c>
      <c r="H116" s="74" t="str">
        <f t="shared" si="2"/>
        <v>Média</v>
      </c>
      <c r="I116" s="188">
        <f t="shared" si="3"/>
        <v>4</v>
      </c>
      <c r="J116" s="221"/>
    </row>
    <row r="117" spans="1:10" s="90" customFormat="1" ht="14.25" x14ac:dyDescent="0.3">
      <c r="A117" s="141"/>
      <c r="B117" s="160">
        <v>101</v>
      </c>
      <c r="C117" s="224" t="s">
        <v>604</v>
      </c>
      <c r="D117" s="213" t="s">
        <v>667</v>
      </c>
      <c r="E117" s="215" t="s">
        <v>105</v>
      </c>
      <c r="F117" s="217">
        <v>1</v>
      </c>
      <c r="G117" s="218">
        <v>20</v>
      </c>
      <c r="H117" s="74" t="str">
        <f t="shared" si="2"/>
        <v>Média</v>
      </c>
      <c r="I117" s="188">
        <f t="shared" si="3"/>
        <v>4</v>
      </c>
      <c r="J117" s="221"/>
    </row>
    <row r="118" spans="1:10" s="90" customFormat="1" ht="14.25" x14ac:dyDescent="0.3">
      <c r="A118" s="141"/>
      <c r="B118" s="160">
        <v>102</v>
      </c>
      <c r="C118" s="224" t="s">
        <v>604</v>
      </c>
      <c r="D118" s="213" t="s">
        <v>665</v>
      </c>
      <c r="E118" s="215" t="s">
        <v>155</v>
      </c>
      <c r="F118" s="217">
        <v>1</v>
      </c>
      <c r="G118" s="218">
        <v>20</v>
      </c>
      <c r="H118" s="74" t="str">
        <f t="shared" si="2"/>
        <v>Média</v>
      </c>
      <c r="I118" s="188">
        <f t="shared" si="3"/>
        <v>4</v>
      </c>
      <c r="J118" s="221"/>
    </row>
    <row r="119" spans="1:10" s="90" customFormat="1" ht="14.25" x14ac:dyDescent="0.3">
      <c r="A119" s="141"/>
      <c r="B119" s="160">
        <v>103</v>
      </c>
      <c r="C119" s="224" t="s">
        <v>604</v>
      </c>
      <c r="D119" s="213" t="s">
        <v>662</v>
      </c>
      <c r="E119" s="215" t="s">
        <v>105</v>
      </c>
      <c r="F119" s="217">
        <v>1</v>
      </c>
      <c r="G119" s="218">
        <v>20</v>
      </c>
      <c r="H119" s="74" t="str">
        <f t="shared" si="2"/>
        <v>Média</v>
      </c>
      <c r="I119" s="188">
        <f t="shared" si="3"/>
        <v>4</v>
      </c>
      <c r="J119" s="221"/>
    </row>
    <row r="120" spans="1:10" s="90" customFormat="1" ht="14.25" x14ac:dyDescent="0.3">
      <c r="A120" s="141"/>
      <c r="B120" s="160">
        <v>104</v>
      </c>
      <c r="C120" s="224" t="s">
        <v>604</v>
      </c>
      <c r="D120" s="213" t="s">
        <v>663</v>
      </c>
      <c r="E120" s="215" t="s">
        <v>105</v>
      </c>
      <c r="F120" s="217">
        <v>1</v>
      </c>
      <c r="G120" s="218">
        <v>20</v>
      </c>
      <c r="H120" s="74" t="str">
        <f t="shared" si="2"/>
        <v>Média</v>
      </c>
      <c r="I120" s="188">
        <f t="shared" si="3"/>
        <v>4</v>
      </c>
      <c r="J120" s="221"/>
    </row>
    <row r="121" spans="1:10" s="90" customFormat="1" ht="14.25" x14ac:dyDescent="0.3">
      <c r="A121" s="141"/>
      <c r="B121" s="160">
        <v>105</v>
      </c>
      <c r="C121" s="224" t="s">
        <v>604</v>
      </c>
      <c r="D121" s="213" t="s">
        <v>664</v>
      </c>
      <c r="E121" s="215" t="s">
        <v>155</v>
      </c>
      <c r="F121" s="217">
        <v>1</v>
      </c>
      <c r="G121" s="218">
        <v>20</v>
      </c>
      <c r="H121" s="74" t="str">
        <f t="shared" si="2"/>
        <v>Média</v>
      </c>
      <c r="I121" s="188">
        <f t="shared" si="3"/>
        <v>4</v>
      </c>
      <c r="J121" s="221"/>
    </row>
    <row r="122" spans="1:10" s="90" customFormat="1" ht="14.25" x14ac:dyDescent="0.3">
      <c r="A122" s="141"/>
      <c r="B122" s="160">
        <v>106</v>
      </c>
      <c r="C122" s="224" t="s">
        <v>604</v>
      </c>
      <c r="D122" s="213" t="s">
        <v>668</v>
      </c>
      <c r="E122" s="215" t="s">
        <v>105</v>
      </c>
      <c r="F122" s="217">
        <v>1</v>
      </c>
      <c r="G122" s="218">
        <v>20</v>
      </c>
      <c r="H122" s="74" t="str">
        <f t="shared" si="2"/>
        <v>Média</v>
      </c>
      <c r="I122" s="188">
        <f t="shared" si="3"/>
        <v>4</v>
      </c>
      <c r="J122" s="221"/>
    </row>
    <row r="123" spans="1:10" s="90" customFormat="1" ht="14.25" x14ac:dyDescent="0.3">
      <c r="A123" s="141"/>
      <c r="B123" s="160">
        <v>107</v>
      </c>
      <c r="C123" s="224" t="s">
        <v>604</v>
      </c>
      <c r="D123" s="213" t="s">
        <v>669</v>
      </c>
      <c r="E123" s="215" t="s">
        <v>105</v>
      </c>
      <c r="F123" s="217">
        <v>1</v>
      </c>
      <c r="G123" s="218">
        <v>20</v>
      </c>
      <c r="H123" s="74" t="str">
        <f t="shared" si="2"/>
        <v>Média</v>
      </c>
      <c r="I123" s="188">
        <f t="shared" si="3"/>
        <v>4</v>
      </c>
      <c r="J123" s="221"/>
    </row>
    <row r="124" spans="1:10" s="90" customFormat="1" ht="14.25" x14ac:dyDescent="0.3">
      <c r="A124" s="141"/>
      <c r="B124" s="160">
        <v>108</v>
      </c>
      <c r="C124" s="224" t="s">
        <v>604</v>
      </c>
      <c r="D124" s="213" t="s">
        <v>670</v>
      </c>
      <c r="E124" s="215" t="s">
        <v>155</v>
      </c>
      <c r="F124" s="217">
        <v>1</v>
      </c>
      <c r="G124" s="218">
        <v>20</v>
      </c>
      <c r="H124" s="74" t="str">
        <f t="shared" si="2"/>
        <v>Média</v>
      </c>
      <c r="I124" s="188">
        <f t="shared" si="3"/>
        <v>4</v>
      </c>
      <c r="J124" s="221"/>
    </row>
    <row r="125" spans="1:10" s="90" customFormat="1" ht="14.25" x14ac:dyDescent="0.3">
      <c r="A125" s="141"/>
      <c r="B125" s="160">
        <v>109</v>
      </c>
      <c r="C125" s="224" t="s">
        <v>604</v>
      </c>
      <c r="D125" s="213" t="s">
        <v>655</v>
      </c>
      <c r="E125" s="215" t="s">
        <v>155</v>
      </c>
      <c r="F125" s="217">
        <v>1</v>
      </c>
      <c r="G125" s="218">
        <v>20</v>
      </c>
      <c r="H125" s="74" t="str">
        <f t="shared" si="2"/>
        <v>Média</v>
      </c>
      <c r="I125" s="188">
        <f t="shared" si="3"/>
        <v>4</v>
      </c>
      <c r="J125" s="221"/>
    </row>
    <row r="126" spans="1:10" s="90" customFormat="1" ht="14.25" x14ac:dyDescent="0.3">
      <c r="A126" s="141"/>
      <c r="B126" s="160">
        <v>110</v>
      </c>
      <c r="C126" s="224" t="s">
        <v>604</v>
      </c>
      <c r="D126" s="213" t="s">
        <v>656</v>
      </c>
      <c r="E126" s="215" t="s">
        <v>155</v>
      </c>
      <c r="F126" s="217">
        <v>1</v>
      </c>
      <c r="G126" s="218">
        <v>20</v>
      </c>
      <c r="H126" s="74" t="str">
        <f t="shared" si="2"/>
        <v>Média</v>
      </c>
      <c r="I126" s="188">
        <f t="shared" si="3"/>
        <v>4</v>
      </c>
      <c r="J126" s="221"/>
    </row>
    <row r="127" spans="1:10" s="90" customFormat="1" ht="14.25" x14ac:dyDescent="0.3">
      <c r="A127" s="141"/>
      <c r="B127" s="160">
        <v>111</v>
      </c>
      <c r="C127" s="224" t="s">
        <v>605</v>
      </c>
      <c r="D127" s="216" t="s">
        <v>673</v>
      </c>
      <c r="E127" s="215" t="s">
        <v>155</v>
      </c>
      <c r="F127" s="217">
        <v>1</v>
      </c>
      <c r="G127" s="218">
        <v>20</v>
      </c>
      <c r="H127" s="74" t="str">
        <f t="shared" si="2"/>
        <v>Média</v>
      </c>
      <c r="I127" s="188">
        <f t="shared" si="3"/>
        <v>4</v>
      </c>
      <c r="J127" s="221"/>
    </row>
    <row r="128" spans="1:10" s="90" customFormat="1" ht="14.25" x14ac:dyDescent="0.3">
      <c r="A128" s="141"/>
      <c r="B128" s="160">
        <v>112</v>
      </c>
      <c r="C128" s="224" t="s">
        <v>605</v>
      </c>
      <c r="D128" s="213" t="s">
        <v>674</v>
      </c>
      <c r="E128" s="215" t="s">
        <v>105</v>
      </c>
      <c r="F128" s="217">
        <v>1</v>
      </c>
      <c r="G128" s="218">
        <v>20</v>
      </c>
      <c r="H128" s="74" t="str">
        <f t="shared" si="2"/>
        <v>Média</v>
      </c>
      <c r="I128" s="188">
        <f t="shared" si="3"/>
        <v>4</v>
      </c>
      <c r="J128" s="221"/>
    </row>
    <row r="129" spans="1:10" s="90" customFormat="1" ht="14.25" x14ac:dyDescent="0.3">
      <c r="A129" s="141"/>
      <c r="B129" s="160">
        <v>113</v>
      </c>
      <c r="C129" s="224" t="s">
        <v>605</v>
      </c>
      <c r="D129" s="213" t="s">
        <v>675</v>
      </c>
      <c r="E129" s="215" t="s">
        <v>105</v>
      </c>
      <c r="F129" s="217">
        <v>1</v>
      </c>
      <c r="G129" s="218">
        <v>20</v>
      </c>
      <c r="H129" s="74" t="str">
        <f t="shared" si="2"/>
        <v>Média</v>
      </c>
      <c r="I129" s="188">
        <f t="shared" si="3"/>
        <v>4</v>
      </c>
      <c r="J129" s="221"/>
    </row>
    <row r="130" spans="1:10" s="90" customFormat="1" ht="14.25" x14ac:dyDescent="0.3">
      <c r="A130" s="141"/>
      <c r="B130" s="160">
        <v>114</v>
      </c>
      <c r="C130" s="224" t="s">
        <v>605</v>
      </c>
      <c r="D130" s="213" t="s">
        <v>676</v>
      </c>
      <c r="E130" s="215" t="s">
        <v>155</v>
      </c>
      <c r="F130" s="217">
        <v>1</v>
      </c>
      <c r="G130" s="218">
        <v>20</v>
      </c>
      <c r="H130" s="74" t="str">
        <f t="shared" si="2"/>
        <v>Média</v>
      </c>
      <c r="I130" s="188">
        <f t="shared" si="3"/>
        <v>4</v>
      </c>
      <c r="J130" s="221"/>
    </row>
    <row r="131" spans="1:10" s="90" customFormat="1" ht="14.25" x14ac:dyDescent="0.3">
      <c r="A131" s="141"/>
      <c r="B131" s="160">
        <v>115</v>
      </c>
      <c r="C131" s="224" t="s">
        <v>605</v>
      </c>
      <c r="D131" s="213" t="s">
        <v>677</v>
      </c>
      <c r="E131" s="215" t="s">
        <v>105</v>
      </c>
      <c r="F131" s="217">
        <v>1</v>
      </c>
      <c r="G131" s="218">
        <v>20</v>
      </c>
      <c r="H131" s="74" t="str">
        <f t="shared" si="2"/>
        <v>Média</v>
      </c>
      <c r="I131" s="188">
        <f t="shared" si="3"/>
        <v>4</v>
      </c>
      <c r="J131" s="221"/>
    </row>
    <row r="132" spans="1:10" s="90" customFormat="1" ht="14.25" x14ac:dyDescent="0.3">
      <c r="A132" s="141"/>
      <c r="B132" s="160">
        <v>116</v>
      </c>
      <c r="C132" s="224" t="s">
        <v>605</v>
      </c>
      <c r="D132" s="216" t="s">
        <v>679</v>
      </c>
      <c r="E132" s="215" t="s">
        <v>155</v>
      </c>
      <c r="F132" s="217">
        <v>1</v>
      </c>
      <c r="G132" s="218">
        <v>20</v>
      </c>
      <c r="H132" s="74" t="str">
        <f t="shared" si="2"/>
        <v>Média</v>
      </c>
      <c r="I132" s="188">
        <f t="shared" si="3"/>
        <v>4</v>
      </c>
      <c r="J132" s="221"/>
    </row>
    <row r="133" spans="1:10" s="90" customFormat="1" ht="14.25" x14ac:dyDescent="0.3">
      <c r="A133" s="141"/>
      <c r="B133" s="160">
        <v>117</v>
      </c>
      <c r="C133" s="224" t="s">
        <v>605</v>
      </c>
      <c r="D133" s="213" t="s">
        <v>680</v>
      </c>
      <c r="E133" s="215" t="s">
        <v>105</v>
      </c>
      <c r="F133" s="217">
        <v>1</v>
      </c>
      <c r="G133" s="218">
        <v>20</v>
      </c>
      <c r="H133" s="74" t="str">
        <f t="shared" si="2"/>
        <v>Média</v>
      </c>
      <c r="I133" s="188">
        <f t="shared" si="3"/>
        <v>4</v>
      </c>
      <c r="J133" s="221"/>
    </row>
    <row r="134" spans="1:10" s="90" customFormat="1" ht="14.25" x14ac:dyDescent="0.3">
      <c r="A134" s="141"/>
      <c r="B134" s="160">
        <v>118</v>
      </c>
      <c r="C134" s="224" t="s">
        <v>605</v>
      </c>
      <c r="D134" s="213" t="s">
        <v>681</v>
      </c>
      <c r="E134" s="215" t="s">
        <v>105</v>
      </c>
      <c r="F134" s="217">
        <v>1</v>
      </c>
      <c r="G134" s="218">
        <v>20</v>
      </c>
      <c r="H134" s="74" t="str">
        <f t="shared" si="2"/>
        <v>Média</v>
      </c>
      <c r="I134" s="188">
        <f t="shared" si="3"/>
        <v>4</v>
      </c>
      <c r="J134" s="221"/>
    </row>
    <row r="135" spans="1:10" s="90" customFormat="1" ht="14.25" x14ac:dyDescent="0.3">
      <c r="A135" s="141"/>
      <c r="B135" s="160">
        <v>119</v>
      </c>
      <c r="C135" s="224" t="s">
        <v>605</v>
      </c>
      <c r="D135" s="213" t="s">
        <v>682</v>
      </c>
      <c r="E135" s="215" t="s">
        <v>155</v>
      </c>
      <c r="F135" s="217">
        <v>1</v>
      </c>
      <c r="G135" s="218">
        <v>20</v>
      </c>
      <c r="H135" s="74" t="str">
        <f t="shared" si="2"/>
        <v>Média</v>
      </c>
      <c r="I135" s="188">
        <f t="shared" si="3"/>
        <v>4</v>
      </c>
      <c r="J135" s="221"/>
    </row>
    <row r="136" spans="1:10" s="90" customFormat="1" ht="14.25" x14ac:dyDescent="0.3">
      <c r="A136" s="141"/>
      <c r="B136" s="160">
        <v>120</v>
      </c>
      <c r="C136" s="224" t="s">
        <v>605</v>
      </c>
      <c r="D136" s="213" t="s">
        <v>683</v>
      </c>
      <c r="E136" s="215" t="s">
        <v>105</v>
      </c>
      <c r="F136" s="217">
        <v>1</v>
      </c>
      <c r="G136" s="218">
        <v>20</v>
      </c>
      <c r="H136" s="74" t="str">
        <f t="shared" si="2"/>
        <v>Média</v>
      </c>
      <c r="I136" s="188">
        <f t="shared" si="3"/>
        <v>4</v>
      </c>
      <c r="J136" s="221"/>
    </row>
    <row r="137" spans="1:10" s="90" customFormat="1" ht="14.25" x14ac:dyDescent="0.3">
      <c r="A137" s="141"/>
      <c r="B137" s="160">
        <v>121</v>
      </c>
      <c r="C137" s="224" t="s">
        <v>605</v>
      </c>
      <c r="D137" s="216" t="s">
        <v>685</v>
      </c>
      <c r="E137" s="215" t="s">
        <v>155</v>
      </c>
      <c r="F137" s="217">
        <v>1</v>
      </c>
      <c r="G137" s="218">
        <v>20</v>
      </c>
      <c r="H137" s="74" t="str">
        <f t="shared" si="2"/>
        <v>Média</v>
      </c>
      <c r="I137" s="188">
        <f t="shared" si="3"/>
        <v>4</v>
      </c>
      <c r="J137" s="221"/>
    </row>
    <row r="138" spans="1:10" s="90" customFormat="1" ht="14.25" x14ac:dyDescent="0.3">
      <c r="A138" s="141"/>
      <c r="B138" s="160">
        <v>122</v>
      </c>
      <c r="C138" s="224" t="s">
        <v>605</v>
      </c>
      <c r="D138" s="213" t="s">
        <v>686</v>
      </c>
      <c r="E138" s="215" t="s">
        <v>105</v>
      </c>
      <c r="F138" s="217">
        <v>1</v>
      </c>
      <c r="G138" s="218">
        <v>20</v>
      </c>
      <c r="H138" s="74" t="str">
        <f t="shared" si="2"/>
        <v>Média</v>
      </c>
      <c r="I138" s="188">
        <f t="shared" si="3"/>
        <v>4</v>
      </c>
      <c r="J138" s="221"/>
    </row>
    <row r="139" spans="1:10" s="90" customFormat="1" ht="14.25" x14ac:dyDescent="0.3">
      <c r="A139" s="141"/>
      <c r="B139" s="160">
        <v>123</v>
      </c>
      <c r="C139" s="224" t="s">
        <v>605</v>
      </c>
      <c r="D139" s="213" t="s">
        <v>687</v>
      </c>
      <c r="E139" s="215" t="s">
        <v>105</v>
      </c>
      <c r="F139" s="217">
        <v>1</v>
      </c>
      <c r="G139" s="218">
        <v>20</v>
      </c>
      <c r="H139" s="74" t="str">
        <f t="shared" si="2"/>
        <v>Média</v>
      </c>
      <c r="I139" s="188">
        <f t="shared" si="3"/>
        <v>4</v>
      </c>
      <c r="J139" s="221"/>
    </row>
    <row r="140" spans="1:10" s="90" customFormat="1" ht="14.25" x14ac:dyDescent="0.3">
      <c r="A140" s="141"/>
      <c r="B140" s="160">
        <v>124</v>
      </c>
      <c r="C140" s="224" t="s">
        <v>605</v>
      </c>
      <c r="D140" s="213" t="s">
        <v>688</v>
      </c>
      <c r="E140" s="215" t="s">
        <v>155</v>
      </c>
      <c r="F140" s="217">
        <v>1</v>
      </c>
      <c r="G140" s="218">
        <v>20</v>
      </c>
      <c r="H140" s="74" t="str">
        <f t="shared" si="2"/>
        <v>Média</v>
      </c>
      <c r="I140" s="188">
        <f t="shared" si="3"/>
        <v>4</v>
      </c>
      <c r="J140" s="221"/>
    </row>
    <row r="141" spans="1:10" s="90" customFormat="1" ht="14.25" x14ac:dyDescent="0.3">
      <c r="A141" s="141"/>
      <c r="B141" s="160">
        <v>125</v>
      </c>
      <c r="C141" s="224" t="s">
        <v>605</v>
      </c>
      <c r="D141" s="213" t="s">
        <v>689</v>
      </c>
      <c r="E141" s="215" t="s">
        <v>105</v>
      </c>
      <c r="F141" s="217">
        <v>1</v>
      </c>
      <c r="G141" s="218">
        <v>20</v>
      </c>
      <c r="H141" s="74" t="str">
        <f t="shared" si="2"/>
        <v>Média</v>
      </c>
      <c r="I141" s="188">
        <f t="shared" si="3"/>
        <v>4</v>
      </c>
      <c r="J141" s="221"/>
    </row>
    <row r="142" spans="1:10" s="90" customFormat="1" ht="14.25" x14ac:dyDescent="0.3">
      <c r="A142" s="141"/>
      <c r="B142" s="160">
        <v>126</v>
      </c>
      <c r="C142" s="224" t="s">
        <v>606</v>
      </c>
      <c r="D142" s="213" t="s">
        <v>699</v>
      </c>
      <c r="E142" s="215" t="s">
        <v>105</v>
      </c>
      <c r="F142" s="217">
        <v>1</v>
      </c>
      <c r="G142" s="218">
        <v>20</v>
      </c>
      <c r="H142" s="74" t="str">
        <f t="shared" si="2"/>
        <v>Média</v>
      </c>
      <c r="I142" s="188">
        <f t="shared" si="3"/>
        <v>4</v>
      </c>
      <c r="J142" s="221"/>
    </row>
    <row r="143" spans="1:10" s="90" customFormat="1" ht="14.25" x14ac:dyDescent="0.3">
      <c r="A143" s="141"/>
      <c r="B143" s="160">
        <v>127</v>
      </c>
      <c r="C143" s="224" t="s">
        <v>606</v>
      </c>
      <c r="D143" s="213" t="s">
        <v>707</v>
      </c>
      <c r="E143" s="215" t="s">
        <v>155</v>
      </c>
      <c r="F143" s="217">
        <v>1</v>
      </c>
      <c r="G143" s="218">
        <v>20</v>
      </c>
      <c r="H143" s="74" t="str">
        <f t="shared" si="2"/>
        <v>Média</v>
      </c>
      <c r="I143" s="188">
        <f t="shared" si="3"/>
        <v>4</v>
      </c>
      <c r="J143" s="221"/>
    </row>
    <row r="144" spans="1:10" s="90" customFormat="1" ht="14.25" x14ac:dyDescent="0.3">
      <c r="A144" s="141"/>
      <c r="B144" s="160">
        <v>128</v>
      </c>
      <c r="C144" s="224" t="s">
        <v>606</v>
      </c>
      <c r="D144" s="213" t="s">
        <v>700</v>
      </c>
      <c r="E144" s="215" t="s">
        <v>105</v>
      </c>
      <c r="F144" s="217">
        <v>1</v>
      </c>
      <c r="G144" s="218">
        <v>20</v>
      </c>
      <c r="H144" s="74" t="str">
        <f t="shared" si="2"/>
        <v>Média</v>
      </c>
      <c r="I144" s="188">
        <f t="shared" si="3"/>
        <v>4</v>
      </c>
      <c r="J144" s="221"/>
    </row>
    <row r="145" spans="1:10" s="90" customFormat="1" ht="14.25" x14ac:dyDescent="0.3">
      <c r="A145" s="141"/>
      <c r="B145" s="160">
        <v>129</v>
      </c>
      <c r="C145" s="224" t="s">
        <v>606</v>
      </c>
      <c r="D145" s="213" t="s">
        <v>708</v>
      </c>
      <c r="E145" s="215" t="s">
        <v>155</v>
      </c>
      <c r="F145" s="217">
        <v>1</v>
      </c>
      <c r="G145" s="218">
        <v>20</v>
      </c>
      <c r="H145" s="74" t="str">
        <f t="shared" ref="H145:H208" si="4">ObterComplexidadeFuncao(E145,F145,G145)</f>
        <v>Média</v>
      </c>
      <c r="I145" s="188">
        <f t="shared" si="3"/>
        <v>4</v>
      </c>
      <c r="J145" s="221"/>
    </row>
    <row r="146" spans="1:10" s="90" customFormat="1" ht="14.25" x14ac:dyDescent="0.3">
      <c r="A146" s="141"/>
      <c r="B146" s="160">
        <v>130</v>
      </c>
      <c r="C146" s="224" t="s">
        <v>606</v>
      </c>
      <c r="D146" s="213" t="s">
        <v>701</v>
      </c>
      <c r="E146" s="215" t="s">
        <v>105</v>
      </c>
      <c r="F146" s="217">
        <v>1</v>
      </c>
      <c r="G146" s="218">
        <v>20</v>
      </c>
      <c r="H146" s="74" t="str">
        <f t="shared" si="4"/>
        <v>Média</v>
      </c>
      <c r="I146" s="188">
        <f t="shared" ref="I146:I209" si="5">ObterContribuicaoFuncao(E146,H146)</f>
        <v>4</v>
      </c>
      <c r="J146" s="221"/>
    </row>
    <row r="147" spans="1:10" s="90" customFormat="1" ht="14.25" x14ac:dyDescent="0.3">
      <c r="A147" s="141"/>
      <c r="B147" s="160">
        <v>131</v>
      </c>
      <c r="C147" s="224" t="s">
        <v>606</v>
      </c>
      <c r="D147" s="213" t="s">
        <v>709</v>
      </c>
      <c r="E147" s="215" t="s">
        <v>155</v>
      </c>
      <c r="F147" s="217">
        <v>1</v>
      </c>
      <c r="G147" s="218">
        <v>20</v>
      </c>
      <c r="H147" s="74" t="str">
        <f t="shared" si="4"/>
        <v>Média</v>
      </c>
      <c r="I147" s="188">
        <f t="shared" si="5"/>
        <v>4</v>
      </c>
      <c r="J147" s="221"/>
    </row>
    <row r="148" spans="1:10" s="90" customFormat="1" ht="14.25" x14ac:dyDescent="0.3">
      <c r="A148" s="141"/>
      <c r="B148" s="160">
        <v>132</v>
      </c>
      <c r="C148" s="224" t="s">
        <v>606</v>
      </c>
      <c r="D148" s="213" t="s">
        <v>702</v>
      </c>
      <c r="E148" s="215" t="s">
        <v>105</v>
      </c>
      <c r="F148" s="217">
        <v>1</v>
      </c>
      <c r="G148" s="218">
        <v>20</v>
      </c>
      <c r="H148" s="74" t="str">
        <f t="shared" si="4"/>
        <v>Média</v>
      </c>
      <c r="I148" s="188">
        <f t="shared" si="5"/>
        <v>4</v>
      </c>
      <c r="J148" s="221"/>
    </row>
    <row r="149" spans="1:10" s="90" customFormat="1" ht="14.25" x14ac:dyDescent="0.3">
      <c r="A149" s="141"/>
      <c r="B149" s="160">
        <v>133</v>
      </c>
      <c r="C149" s="224" t="s">
        <v>606</v>
      </c>
      <c r="D149" s="213" t="s">
        <v>710</v>
      </c>
      <c r="E149" s="215" t="s">
        <v>155</v>
      </c>
      <c r="F149" s="217">
        <v>1</v>
      </c>
      <c r="G149" s="218">
        <v>20</v>
      </c>
      <c r="H149" s="74" t="str">
        <f t="shared" si="4"/>
        <v>Média</v>
      </c>
      <c r="I149" s="188">
        <f t="shared" si="5"/>
        <v>4</v>
      </c>
      <c r="J149" s="221"/>
    </row>
    <row r="150" spans="1:10" s="90" customFormat="1" ht="14.25" x14ac:dyDescent="0.3">
      <c r="A150" s="141"/>
      <c r="B150" s="160">
        <v>134</v>
      </c>
      <c r="C150" s="224" t="s">
        <v>606</v>
      </c>
      <c r="D150" s="213" t="s">
        <v>703</v>
      </c>
      <c r="E150" s="215" t="s">
        <v>105</v>
      </c>
      <c r="F150" s="217">
        <v>1</v>
      </c>
      <c r="G150" s="218">
        <v>20</v>
      </c>
      <c r="H150" s="74" t="str">
        <f t="shared" si="4"/>
        <v>Média</v>
      </c>
      <c r="I150" s="188">
        <f t="shared" si="5"/>
        <v>4</v>
      </c>
      <c r="J150" s="221"/>
    </row>
    <row r="151" spans="1:10" s="90" customFormat="1" ht="14.25" x14ac:dyDescent="0.3">
      <c r="A151" s="141"/>
      <c r="B151" s="160">
        <v>135</v>
      </c>
      <c r="C151" s="224" t="s">
        <v>606</v>
      </c>
      <c r="D151" s="213" t="s">
        <v>711</v>
      </c>
      <c r="E151" s="215" t="s">
        <v>155</v>
      </c>
      <c r="F151" s="217">
        <v>1</v>
      </c>
      <c r="G151" s="218">
        <v>20</v>
      </c>
      <c r="H151" s="74" t="str">
        <f t="shared" si="4"/>
        <v>Média</v>
      </c>
      <c r="I151" s="188">
        <f t="shared" si="5"/>
        <v>4</v>
      </c>
      <c r="J151" s="221"/>
    </row>
    <row r="152" spans="1:10" s="90" customFormat="1" ht="14.25" x14ac:dyDescent="0.3">
      <c r="A152" s="141"/>
      <c r="B152" s="160">
        <v>136</v>
      </c>
      <c r="C152" s="224" t="s">
        <v>606</v>
      </c>
      <c r="D152" s="213" t="s">
        <v>704</v>
      </c>
      <c r="E152" s="215" t="s">
        <v>105</v>
      </c>
      <c r="F152" s="217">
        <v>1</v>
      </c>
      <c r="G152" s="218">
        <v>20</v>
      </c>
      <c r="H152" s="74" t="str">
        <f t="shared" si="4"/>
        <v>Média</v>
      </c>
      <c r="I152" s="188">
        <f t="shared" si="5"/>
        <v>4</v>
      </c>
      <c r="J152" s="221"/>
    </row>
    <row r="153" spans="1:10" s="90" customFormat="1" ht="14.25" x14ac:dyDescent="0.3">
      <c r="A153" s="141"/>
      <c r="B153" s="160">
        <v>137</v>
      </c>
      <c r="C153" s="224" t="s">
        <v>606</v>
      </c>
      <c r="D153" s="213" t="s">
        <v>712</v>
      </c>
      <c r="E153" s="215" t="s">
        <v>155</v>
      </c>
      <c r="F153" s="217">
        <v>1</v>
      </c>
      <c r="G153" s="218">
        <v>20</v>
      </c>
      <c r="H153" s="74" t="str">
        <f t="shared" si="4"/>
        <v>Média</v>
      </c>
      <c r="I153" s="188">
        <f t="shared" si="5"/>
        <v>4</v>
      </c>
      <c r="J153" s="221"/>
    </row>
    <row r="154" spans="1:10" s="90" customFormat="1" ht="14.25" x14ac:dyDescent="0.3">
      <c r="A154" s="141"/>
      <c r="B154" s="160">
        <v>138</v>
      </c>
      <c r="C154" s="224" t="s">
        <v>606</v>
      </c>
      <c r="D154" s="213" t="s">
        <v>705</v>
      </c>
      <c r="E154" s="215" t="s">
        <v>105</v>
      </c>
      <c r="F154" s="217">
        <v>1</v>
      </c>
      <c r="G154" s="218">
        <v>20</v>
      </c>
      <c r="H154" s="74" t="str">
        <f t="shared" si="4"/>
        <v>Média</v>
      </c>
      <c r="I154" s="188">
        <f t="shared" si="5"/>
        <v>4</v>
      </c>
      <c r="J154" s="221"/>
    </row>
    <row r="155" spans="1:10" s="90" customFormat="1" ht="14.25" x14ac:dyDescent="0.3">
      <c r="A155" s="141"/>
      <c r="B155" s="160">
        <v>139</v>
      </c>
      <c r="C155" s="224" t="s">
        <v>606</v>
      </c>
      <c r="D155" s="213" t="s">
        <v>713</v>
      </c>
      <c r="E155" s="215" t="s">
        <v>155</v>
      </c>
      <c r="F155" s="217">
        <v>1</v>
      </c>
      <c r="G155" s="218">
        <v>20</v>
      </c>
      <c r="H155" s="74" t="str">
        <f t="shared" si="4"/>
        <v>Média</v>
      </c>
      <c r="I155" s="188">
        <f t="shared" si="5"/>
        <v>4</v>
      </c>
      <c r="J155" s="221"/>
    </row>
    <row r="156" spans="1:10" s="90" customFormat="1" ht="14.25" x14ac:dyDescent="0.3">
      <c r="A156" s="141"/>
      <c r="B156" s="160">
        <v>140</v>
      </c>
      <c r="C156" s="224" t="s">
        <v>606</v>
      </c>
      <c r="D156" s="213" t="s">
        <v>706</v>
      </c>
      <c r="E156" s="215" t="s">
        <v>105</v>
      </c>
      <c r="F156" s="217">
        <v>1</v>
      </c>
      <c r="G156" s="218">
        <v>20</v>
      </c>
      <c r="H156" s="74" t="str">
        <f t="shared" si="4"/>
        <v>Média</v>
      </c>
      <c r="I156" s="188">
        <f t="shared" si="5"/>
        <v>4</v>
      </c>
      <c r="J156" s="221"/>
    </row>
    <row r="157" spans="1:10" s="90" customFormat="1" ht="14.25" x14ac:dyDescent="0.3">
      <c r="A157" s="141"/>
      <c r="B157" s="160">
        <v>141</v>
      </c>
      <c r="C157" s="224" t="s">
        <v>606</v>
      </c>
      <c r="D157" s="213" t="s">
        <v>714</v>
      </c>
      <c r="E157" s="215" t="s">
        <v>155</v>
      </c>
      <c r="F157" s="217">
        <v>1</v>
      </c>
      <c r="G157" s="218">
        <v>20</v>
      </c>
      <c r="H157" s="74" t="str">
        <f t="shared" si="4"/>
        <v>Média</v>
      </c>
      <c r="I157" s="188">
        <f t="shared" si="5"/>
        <v>4</v>
      </c>
      <c r="J157" s="221"/>
    </row>
    <row r="158" spans="1:10" s="90" customFormat="1" ht="14.25" x14ac:dyDescent="0.3">
      <c r="A158" s="141"/>
      <c r="B158" s="160">
        <v>142</v>
      </c>
      <c r="C158" s="224" t="s">
        <v>606</v>
      </c>
      <c r="D158" s="213" t="s">
        <v>715</v>
      </c>
      <c r="E158" s="215" t="s">
        <v>155</v>
      </c>
      <c r="F158" s="217">
        <v>1</v>
      </c>
      <c r="G158" s="218">
        <v>20</v>
      </c>
      <c r="H158" s="74" t="str">
        <f t="shared" si="4"/>
        <v>Média</v>
      </c>
      <c r="I158" s="188">
        <f t="shared" si="5"/>
        <v>4</v>
      </c>
      <c r="J158" s="221"/>
    </row>
    <row r="159" spans="1:10" s="90" customFormat="1" ht="14.25" x14ac:dyDescent="0.3">
      <c r="A159" s="141"/>
      <c r="B159" s="160">
        <v>143</v>
      </c>
      <c r="C159" s="224" t="s">
        <v>607</v>
      </c>
      <c r="D159" s="213" t="s">
        <v>716</v>
      </c>
      <c r="E159" s="215" t="s">
        <v>155</v>
      </c>
      <c r="F159" s="217">
        <v>1</v>
      </c>
      <c r="G159" s="218">
        <v>20</v>
      </c>
      <c r="H159" s="74" t="str">
        <f t="shared" si="4"/>
        <v>Média</v>
      </c>
      <c r="I159" s="188">
        <f t="shared" si="5"/>
        <v>4</v>
      </c>
      <c r="J159" s="221"/>
    </row>
    <row r="160" spans="1:10" s="90" customFormat="1" ht="14.25" x14ac:dyDescent="0.3">
      <c r="A160" s="141"/>
      <c r="B160" s="160">
        <v>144</v>
      </c>
      <c r="C160" s="224" t="s">
        <v>607</v>
      </c>
      <c r="D160" s="213" t="s">
        <v>717</v>
      </c>
      <c r="E160" s="215" t="s">
        <v>105</v>
      </c>
      <c r="F160" s="217">
        <v>1</v>
      </c>
      <c r="G160" s="218">
        <v>20</v>
      </c>
      <c r="H160" s="74" t="str">
        <f t="shared" si="4"/>
        <v>Média</v>
      </c>
      <c r="I160" s="188">
        <f t="shared" si="5"/>
        <v>4</v>
      </c>
      <c r="J160" s="221"/>
    </row>
    <row r="161" spans="1:10" s="90" customFormat="1" ht="14.25" x14ac:dyDescent="0.3">
      <c r="A161" s="141"/>
      <c r="B161" s="160">
        <v>145</v>
      </c>
      <c r="C161" s="224" t="s">
        <v>607</v>
      </c>
      <c r="D161" s="213" t="s">
        <v>718</v>
      </c>
      <c r="E161" s="215" t="s">
        <v>105</v>
      </c>
      <c r="F161" s="217">
        <v>1</v>
      </c>
      <c r="G161" s="218">
        <v>20</v>
      </c>
      <c r="H161" s="74" t="str">
        <f t="shared" si="4"/>
        <v>Média</v>
      </c>
      <c r="I161" s="188">
        <f t="shared" si="5"/>
        <v>4</v>
      </c>
      <c r="J161" s="221"/>
    </row>
    <row r="162" spans="1:10" s="90" customFormat="1" ht="14.25" x14ac:dyDescent="0.3">
      <c r="A162" s="141"/>
      <c r="B162" s="160">
        <v>146</v>
      </c>
      <c r="C162" s="224" t="s">
        <v>607</v>
      </c>
      <c r="D162" s="213" t="s">
        <v>719</v>
      </c>
      <c r="E162" s="215" t="s">
        <v>155</v>
      </c>
      <c r="F162" s="217">
        <v>1</v>
      </c>
      <c r="G162" s="218">
        <v>20</v>
      </c>
      <c r="H162" s="74" t="str">
        <f t="shared" si="4"/>
        <v>Média</v>
      </c>
      <c r="I162" s="188">
        <f t="shared" si="5"/>
        <v>4</v>
      </c>
      <c r="J162" s="221"/>
    </row>
    <row r="163" spans="1:10" s="90" customFormat="1" ht="14.25" x14ac:dyDescent="0.3">
      <c r="A163" s="141"/>
      <c r="B163" s="160">
        <v>147</v>
      </c>
      <c r="C163" s="224" t="s">
        <v>607</v>
      </c>
      <c r="D163" s="213" t="s">
        <v>720</v>
      </c>
      <c r="E163" s="215" t="s">
        <v>105</v>
      </c>
      <c r="F163" s="217">
        <v>1</v>
      </c>
      <c r="G163" s="218">
        <v>20</v>
      </c>
      <c r="H163" s="74" t="str">
        <f t="shared" si="4"/>
        <v>Média</v>
      </c>
      <c r="I163" s="188">
        <f t="shared" si="5"/>
        <v>4</v>
      </c>
      <c r="J163" s="221"/>
    </row>
    <row r="164" spans="1:10" s="90" customFormat="1" ht="14.25" x14ac:dyDescent="0.3">
      <c r="A164" s="141"/>
      <c r="B164" s="160">
        <v>148</v>
      </c>
      <c r="C164" s="224" t="s">
        <v>609</v>
      </c>
      <c r="D164" s="216" t="s">
        <v>722</v>
      </c>
      <c r="E164" s="215" t="s">
        <v>155</v>
      </c>
      <c r="F164" s="217">
        <v>1</v>
      </c>
      <c r="G164" s="218">
        <v>20</v>
      </c>
      <c r="H164" s="74" t="str">
        <f t="shared" si="4"/>
        <v>Média</v>
      </c>
      <c r="I164" s="188">
        <f t="shared" si="5"/>
        <v>4</v>
      </c>
      <c r="J164" s="221"/>
    </row>
    <row r="165" spans="1:10" s="90" customFormat="1" ht="14.25" x14ac:dyDescent="0.3">
      <c r="A165" s="141"/>
      <c r="B165" s="160">
        <v>149</v>
      </c>
      <c r="C165" s="224" t="s">
        <v>609</v>
      </c>
      <c r="D165" s="216" t="s">
        <v>723</v>
      </c>
      <c r="E165" s="215" t="s">
        <v>105</v>
      </c>
      <c r="F165" s="217">
        <v>1</v>
      </c>
      <c r="G165" s="218">
        <v>20</v>
      </c>
      <c r="H165" s="74" t="str">
        <f t="shared" si="4"/>
        <v>Média</v>
      </c>
      <c r="I165" s="188">
        <f t="shared" si="5"/>
        <v>4</v>
      </c>
      <c r="J165" s="221"/>
    </row>
    <row r="166" spans="1:10" s="90" customFormat="1" ht="14.25" x14ac:dyDescent="0.3">
      <c r="A166" s="141"/>
      <c r="B166" s="160">
        <v>150</v>
      </c>
      <c r="C166" s="224" t="s">
        <v>609</v>
      </c>
      <c r="D166" s="216" t="s">
        <v>724</v>
      </c>
      <c r="E166" s="215" t="s">
        <v>155</v>
      </c>
      <c r="F166" s="217">
        <v>1</v>
      </c>
      <c r="G166" s="218">
        <v>20</v>
      </c>
      <c r="H166" s="74" t="str">
        <f t="shared" si="4"/>
        <v>Média</v>
      </c>
      <c r="I166" s="188">
        <f t="shared" si="5"/>
        <v>4</v>
      </c>
      <c r="J166" s="221"/>
    </row>
    <row r="167" spans="1:10" s="90" customFormat="1" ht="14.25" x14ac:dyDescent="0.3">
      <c r="A167" s="141"/>
      <c r="B167" s="160">
        <v>151</v>
      </c>
      <c r="C167" s="224" t="s">
        <v>733</v>
      </c>
      <c r="D167" s="216" t="s">
        <v>735</v>
      </c>
      <c r="E167" s="215" t="s">
        <v>154</v>
      </c>
      <c r="F167" s="217">
        <v>1</v>
      </c>
      <c r="G167" s="218">
        <v>20</v>
      </c>
      <c r="H167" s="74" t="str">
        <f t="shared" si="4"/>
        <v>Média</v>
      </c>
      <c r="I167" s="188">
        <f t="shared" si="5"/>
        <v>5</v>
      </c>
      <c r="J167" s="221"/>
    </row>
    <row r="168" spans="1:10" s="90" customFormat="1" ht="14.25" x14ac:dyDescent="0.3">
      <c r="A168" s="141"/>
      <c r="B168" s="160">
        <v>152</v>
      </c>
      <c r="C168" s="224" t="s">
        <v>733</v>
      </c>
      <c r="D168" s="216" t="s">
        <v>734</v>
      </c>
      <c r="E168" s="215" t="s">
        <v>155</v>
      </c>
      <c r="F168" s="217">
        <v>1</v>
      </c>
      <c r="G168" s="218">
        <v>20</v>
      </c>
      <c r="H168" s="74" t="str">
        <f t="shared" si="4"/>
        <v>Média</v>
      </c>
      <c r="I168" s="188">
        <f t="shared" si="5"/>
        <v>4</v>
      </c>
      <c r="J168" s="221"/>
    </row>
    <row r="169" spans="1:10" s="90" customFormat="1" ht="14.25" x14ac:dyDescent="0.3">
      <c r="A169" s="141"/>
      <c r="B169" s="160">
        <v>153</v>
      </c>
      <c r="C169" s="224" t="s">
        <v>733</v>
      </c>
      <c r="D169" s="216" t="s">
        <v>736</v>
      </c>
      <c r="E169" s="215" t="s">
        <v>154</v>
      </c>
      <c r="F169" s="217">
        <v>1</v>
      </c>
      <c r="G169" s="218">
        <v>20</v>
      </c>
      <c r="H169" s="74" t="str">
        <f t="shared" si="4"/>
        <v>Média</v>
      </c>
      <c r="I169" s="188">
        <f t="shared" si="5"/>
        <v>5</v>
      </c>
      <c r="J169" s="221"/>
    </row>
    <row r="170" spans="1:10" s="90" customFormat="1" ht="14.25" x14ac:dyDescent="0.3">
      <c r="A170" s="141"/>
      <c r="B170" s="160">
        <v>154</v>
      </c>
      <c r="C170" s="224" t="s">
        <v>733</v>
      </c>
      <c r="D170" s="213" t="s">
        <v>737</v>
      </c>
      <c r="E170" s="215" t="s">
        <v>154</v>
      </c>
      <c r="F170" s="217">
        <v>1</v>
      </c>
      <c r="G170" s="218">
        <v>20</v>
      </c>
      <c r="H170" s="74" t="str">
        <f t="shared" si="4"/>
        <v>Média</v>
      </c>
      <c r="I170" s="188">
        <f t="shared" si="5"/>
        <v>5</v>
      </c>
      <c r="J170" s="221"/>
    </row>
    <row r="171" spans="1:10" s="90" customFormat="1" ht="14.25" x14ac:dyDescent="0.3">
      <c r="A171" s="141"/>
      <c r="B171" s="160">
        <v>155</v>
      </c>
      <c r="C171" s="224" t="s">
        <v>733</v>
      </c>
      <c r="D171" s="213" t="s">
        <v>738</v>
      </c>
      <c r="E171" s="215" t="s">
        <v>154</v>
      </c>
      <c r="F171" s="217">
        <v>1</v>
      </c>
      <c r="G171" s="218">
        <v>20</v>
      </c>
      <c r="H171" s="74" t="str">
        <f t="shared" si="4"/>
        <v>Média</v>
      </c>
      <c r="I171" s="188">
        <f t="shared" si="5"/>
        <v>5</v>
      </c>
      <c r="J171" s="221"/>
    </row>
    <row r="172" spans="1:10" s="90" customFormat="1" ht="14.25" x14ac:dyDescent="0.3">
      <c r="A172" s="141"/>
      <c r="B172" s="160">
        <v>156</v>
      </c>
      <c r="C172" s="224" t="s">
        <v>733</v>
      </c>
      <c r="D172" s="213" t="s">
        <v>739</v>
      </c>
      <c r="E172" s="215" t="s">
        <v>154</v>
      </c>
      <c r="F172" s="217">
        <v>1</v>
      </c>
      <c r="G172" s="218">
        <v>20</v>
      </c>
      <c r="H172" s="74" t="str">
        <f t="shared" si="4"/>
        <v>Média</v>
      </c>
      <c r="I172" s="188">
        <f t="shared" si="5"/>
        <v>5</v>
      </c>
      <c r="J172" s="221"/>
    </row>
    <row r="173" spans="1:10" s="90" customFormat="1" ht="14.25" x14ac:dyDescent="0.3">
      <c r="A173" s="141"/>
      <c r="B173" s="160">
        <v>157</v>
      </c>
      <c r="C173" s="224" t="s">
        <v>733</v>
      </c>
      <c r="D173" s="213" t="s">
        <v>738</v>
      </c>
      <c r="E173" s="215" t="s">
        <v>154</v>
      </c>
      <c r="F173" s="217">
        <v>1</v>
      </c>
      <c r="G173" s="218">
        <v>20</v>
      </c>
      <c r="H173" s="74" t="str">
        <f t="shared" si="4"/>
        <v>Média</v>
      </c>
      <c r="I173" s="188">
        <f t="shared" si="5"/>
        <v>5</v>
      </c>
      <c r="J173" s="221"/>
    </row>
    <row r="174" spans="1:10" s="90" customFormat="1" ht="14.25" x14ac:dyDescent="0.3">
      <c r="A174" s="141"/>
      <c r="B174" s="160">
        <v>158</v>
      </c>
      <c r="C174" s="224" t="s">
        <v>733</v>
      </c>
      <c r="D174" s="216" t="s">
        <v>751</v>
      </c>
      <c r="E174" s="215" t="s">
        <v>155</v>
      </c>
      <c r="F174" s="217">
        <v>1</v>
      </c>
      <c r="G174" s="218">
        <v>20</v>
      </c>
      <c r="H174" s="74" t="str">
        <f t="shared" si="4"/>
        <v>Média</v>
      </c>
      <c r="I174" s="188">
        <f t="shared" si="5"/>
        <v>4</v>
      </c>
      <c r="J174" s="221"/>
    </row>
    <row r="175" spans="1:10" s="90" customFormat="1" ht="14.25" x14ac:dyDescent="0.3">
      <c r="A175" s="141"/>
      <c r="B175" s="160">
        <v>159</v>
      </c>
      <c r="C175" s="224" t="s">
        <v>733</v>
      </c>
      <c r="D175" s="213" t="s">
        <v>740</v>
      </c>
      <c r="E175" s="215" t="s">
        <v>154</v>
      </c>
      <c r="F175" s="217">
        <v>1</v>
      </c>
      <c r="G175" s="218">
        <v>20</v>
      </c>
      <c r="H175" s="74" t="str">
        <f t="shared" si="4"/>
        <v>Média</v>
      </c>
      <c r="I175" s="188">
        <f t="shared" si="5"/>
        <v>5</v>
      </c>
      <c r="J175" s="221"/>
    </row>
    <row r="176" spans="1:10" s="90" customFormat="1" ht="14.25" x14ac:dyDescent="0.3">
      <c r="A176" s="141"/>
      <c r="B176" s="160">
        <v>160</v>
      </c>
      <c r="C176" s="224" t="s">
        <v>733</v>
      </c>
      <c r="D176" s="213" t="s">
        <v>741</v>
      </c>
      <c r="E176" s="215" t="s">
        <v>154</v>
      </c>
      <c r="F176" s="217">
        <v>1</v>
      </c>
      <c r="G176" s="218">
        <v>20</v>
      </c>
      <c r="H176" s="74" t="str">
        <f t="shared" si="4"/>
        <v>Média</v>
      </c>
      <c r="I176" s="188">
        <f t="shared" si="5"/>
        <v>5</v>
      </c>
      <c r="J176" s="221"/>
    </row>
    <row r="177" spans="1:10" s="90" customFormat="1" ht="14.25" x14ac:dyDescent="0.3">
      <c r="A177" s="141"/>
      <c r="B177" s="160">
        <v>161</v>
      </c>
      <c r="C177" s="224" t="s">
        <v>733</v>
      </c>
      <c r="D177" s="213" t="s">
        <v>742</v>
      </c>
      <c r="E177" s="215" t="s">
        <v>154</v>
      </c>
      <c r="F177" s="217">
        <v>1</v>
      </c>
      <c r="G177" s="218">
        <v>20</v>
      </c>
      <c r="H177" s="74" t="str">
        <f t="shared" si="4"/>
        <v>Média</v>
      </c>
      <c r="I177" s="188">
        <f t="shared" si="5"/>
        <v>5</v>
      </c>
      <c r="J177" s="221"/>
    </row>
    <row r="178" spans="1:10" s="90" customFormat="1" ht="14.25" x14ac:dyDescent="0.3">
      <c r="A178" s="141"/>
      <c r="B178" s="160">
        <v>162</v>
      </c>
      <c r="C178" s="224" t="s">
        <v>733</v>
      </c>
      <c r="D178" s="213" t="s">
        <v>743</v>
      </c>
      <c r="E178" s="215" t="s">
        <v>154</v>
      </c>
      <c r="F178" s="217">
        <v>1</v>
      </c>
      <c r="G178" s="218">
        <v>20</v>
      </c>
      <c r="H178" s="74" t="str">
        <f t="shared" si="4"/>
        <v>Média</v>
      </c>
      <c r="I178" s="188">
        <f t="shared" si="5"/>
        <v>5</v>
      </c>
      <c r="J178" s="221"/>
    </row>
    <row r="179" spans="1:10" s="90" customFormat="1" ht="14.25" x14ac:dyDescent="0.3">
      <c r="A179" s="141"/>
      <c r="B179" s="160">
        <v>163</v>
      </c>
      <c r="C179" s="224" t="s">
        <v>733</v>
      </c>
      <c r="D179" s="213" t="s">
        <v>744</v>
      </c>
      <c r="E179" s="215" t="s">
        <v>154</v>
      </c>
      <c r="F179" s="217">
        <v>1</v>
      </c>
      <c r="G179" s="218">
        <v>20</v>
      </c>
      <c r="H179" s="74" t="str">
        <f t="shared" si="4"/>
        <v>Média</v>
      </c>
      <c r="I179" s="188">
        <f t="shared" si="5"/>
        <v>5</v>
      </c>
      <c r="J179" s="221"/>
    </row>
    <row r="180" spans="1:10" s="90" customFormat="1" ht="14.25" x14ac:dyDescent="0.3">
      <c r="A180" s="141"/>
      <c r="B180" s="160">
        <v>164</v>
      </c>
      <c r="C180" s="224" t="s">
        <v>733</v>
      </c>
      <c r="D180" s="213" t="s">
        <v>746</v>
      </c>
      <c r="E180" s="215" t="s">
        <v>154</v>
      </c>
      <c r="F180" s="217">
        <v>1</v>
      </c>
      <c r="G180" s="218">
        <v>20</v>
      </c>
      <c r="H180" s="74" t="str">
        <f t="shared" si="4"/>
        <v>Média</v>
      </c>
      <c r="I180" s="188">
        <f t="shared" si="5"/>
        <v>5</v>
      </c>
      <c r="J180" s="221"/>
    </row>
    <row r="181" spans="1:10" s="90" customFormat="1" ht="14.25" x14ac:dyDescent="0.3">
      <c r="A181" s="141"/>
      <c r="B181" s="160">
        <v>165</v>
      </c>
      <c r="C181" s="224" t="s">
        <v>733</v>
      </c>
      <c r="D181" s="213" t="s">
        <v>747</v>
      </c>
      <c r="E181" s="215" t="s">
        <v>154</v>
      </c>
      <c r="F181" s="217">
        <v>1</v>
      </c>
      <c r="G181" s="218">
        <v>20</v>
      </c>
      <c r="H181" s="74" t="str">
        <f t="shared" si="4"/>
        <v>Média</v>
      </c>
      <c r="I181" s="188">
        <f t="shared" si="5"/>
        <v>5</v>
      </c>
      <c r="J181" s="221"/>
    </row>
    <row r="182" spans="1:10" s="90" customFormat="1" ht="14.25" x14ac:dyDescent="0.3">
      <c r="A182" s="141"/>
      <c r="B182" s="160">
        <v>166</v>
      </c>
      <c r="C182" s="224" t="s">
        <v>733</v>
      </c>
      <c r="D182" s="213" t="s">
        <v>748</v>
      </c>
      <c r="E182" s="215" t="s">
        <v>154</v>
      </c>
      <c r="F182" s="217">
        <v>1</v>
      </c>
      <c r="G182" s="218">
        <v>20</v>
      </c>
      <c r="H182" s="74" t="str">
        <f t="shared" si="4"/>
        <v>Média</v>
      </c>
      <c r="I182" s="188">
        <f t="shared" si="5"/>
        <v>5</v>
      </c>
      <c r="J182" s="221"/>
    </row>
    <row r="183" spans="1:10" s="90" customFormat="1" ht="14.25" x14ac:dyDescent="0.3">
      <c r="A183" s="141"/>
      <c r="B183" s="160">
        <v>167</v>
      </c>
      <c r="C183" s="224" t="s">
        <v>733</v>
      </c>
      <c r="D183" s="213" t="s">
        <v>749</v>
      </c>
      <c r="E183" s="215" t="s">
        <v>154</v>
      </c>
      <c r="F183" s="217">
        <v>1</v>
      </c>
      <c r="G183" s="218">
        <v>20</v>
      </c>
      <c r="H183" s="74" t="str">
        <f t="shared" si="4"/>
        <v>Média</v>
      </c>
      <c r="I183" s="188">
        <f t="shared" si="5"/>
        <v>5</v>
      </c>
      <c r="J183" s="221"/>
    </row>
    <row r="184" spans="1:10" s="90" customFormat="1" ht="14.25" x14ac:dyDescent="0.3">
      <c r="A184" s="141"/>
      <c r="B184" s="160">
        <v>168</v>
      </c>
      <c r="C184" s="224" t="s">
        <v>733</v>
      </c>
      <c r="D184" s="213" t="s">
        <v>750</v>
      </c>
      <c r="E184" s="215" t="s">
        <v>154</v>
      </c>
      <c r="F184" s="217">
        <v>1</v>
      </c>
      <c r="G184" s="218">
        <v>20</v>
      </c>
      <c r="H184" s="74" t="str">
        <f t="shared" si="4"/>
        <v>Média</v>
      </c>
      <c r="I184" s="188">
        <f t="shared" si="5"/>
        <v>5</v>
      </c>
      <c r="J184" s="221"/>
    </row>
    <row r="185" spans="1:10" s="90" customFormat="1" ht="14.25" x14ac:dyDescent="0.3">
      <c r="A185" s="141"/>
      <c r="B185" s="160">
        <v>169</v>
      </c>
      <c r="C185" s="224" t="s">
        <v>752</v>
      </c>
      <c r="D185" s="213" t="s">
        <v>745</v>
      </c>
      <c r="E185" s="215" t="s">
        <v>105</v>
      </c>
      <c r="F185" s="217">
        <v>1</v>
      </c>
      <c r="G185" s="218">
        <v>20</v>
      </c>
      <c r="H185" s="74" t="str">
        <f t="shared" si="4"/>
        <v>Média</v>
      </c>
      <c r="I185" s="188">
        <f t="shared" si="5"/>
        <v>4</v>
      </c>
      <c r="J185" s="221"/>
    </row>
    <row r="186" spans="1:10" s="90" customFormat="1" ht="14.25" x14ac:dyDescent="0.3">
      <c r="A186" s="141"/>
      <c r="B186" s="160">
        <v>170</v>
      </c>
      <c r="C186" s="224"/>
      <c r="D186" s="213"/>
      <c r="E186" s="215"/>
      <c r="F186" s="217"/>
      <c r="G186" s="218"/>
      <c r="H186" s="74" t="str">
        <f t="shared" si="4"/>
        <v/>
      </c>
      <c r="I186" s="188" t="str">
        <f t="shared" si="5"/>
        <v/>
      </c>
      <c r="J186" s="221"/>
    </row>
    <row r="187" spans="1:10" s="90" customFormat="1" ht="14.25" x14ac:dyDescent="0.3">
      <c r="A187" s="141"/>
      <c r="B187" s="160">
        <v>171</v>
      </c>
      <c r="C187" s="224"/>
      <c r="D187" s="213"/>
      <c r="E187" s="215"/>
      <c r="F187" s="217"/>
      <c r="G187" s="218"/>
      <c r="H187" s="74" t="str">
        <f t="shared" si="4"/>
        <v/>
      </c>
      <c r="I187" s="188" t="str">
        <f t="shared" si="5"/>
        <v/>
      </c>
      <c r="J187" s="221"/>
    </row>
    <row r="188" spans="1:10" s="90" customFormat="1" ht="14.25" x14ac:dyDescent="0.3">
      <c r="A188" s="141"/>
      <c r="B188" s="160">
        <v>172</v>
      </c>
      <c r="C188" s="224"/>
      <c r="D188" s="213"/>
      <c r="E188" s="215"/>
      <c r="F188" s="217"/>
      <c r="G188" s="218"/>
      <c r="H188" s="74" t="str">
        <f t="shared" si="4"/>
        <v/>
      </c>
      <c r="I188" s="188" t="str">
        <f t="shared" si="5"/>
        <v/>
      </c>
      <c r="J188" s="221"/>
    </row>
    <row r="189" spans="1:10" s="90" customFormat="1" ht="14.25" x14ac:dyDescent="0.3">
      <c r="A189" s="141"/>
      <c r="B189" s="160">
        <v>173</v>
      </c>
      <c r="C189" s="224"/>
      <c r="D189" s="213"/>
      <c r="E189" s="215"/>
      <c r="F189" s="217"/>
      <c r="G189" s="218"/>
      <c r="H189" s="74" t="str">
        <f t="shared" si="4"/>
        <v/>
      </c>
      <c r="I189" s="188" t="str">
        <f t="shared" si="5"/>
        <v/>
      </c>
      <c r="J189" s="221"/>
    </row>
    <row r="190" spans="1:10" s="90" customFormat="1" ht="14.25" x14ac:dyDescent="0.3">
      <c r="A190" s="141"/>
      <c r="B190" s="160">
        <v>174</v>
      </c>
      <c r="C190" s="224"/>
      <c r="D190" s="216"/>
      <c r="E190" s="215"/>
      <c r="F190" s="217"/>
      <c r="G190" s="218"/>
      <c r="H190" s="74" t="str">
        <f t="shared" si="4"/>
        <v/>
      </c>
      <c r="I190" s="188" t="str">
        <f t="shared" si="5"/>
        <v/>
      </c>
      <c r="J190" s="221"/>
    </row>
    <row r="191" spans="1:10" s="90" customFormat="1" ht="14.25" x14ac:dyDescent="0.3">
      <c r="A191" s="141"/>
      <c r="B191" s="160">
        <v>175</v>
      </c>
      <c r="C191" s="224"/>
      <c r="D191" s="213"/>
      <c r="E191" s="215"/>
      <c r="F191" s="217"/>
      <c r="G191" s="218"/>
      <c r="H191" s="74" t="str">
        <f t="shared" si="4"/>
        <v/>
      </c>
      <c r="I191" s="188" t="str">
        <f t="shared" si="5"/>
        <v/>
      </c>
      <c r="J191" s="221"/>
    </row>
    <row r="192" spans="1:10" s="90" customFormat="1" ht="14.25" x14ac:dyDescent="0.3">
      <c r="A192" s="141"/>
      <c r="B192" s="160">
        <v>176</v>
      </c>
      <c r="C192" s="224"/>
      <c r="D192" s="213"/>
      <c r="E192" s="215"/>
      <c r="F192" s="215"/>
      <c r="G192" s="215"/>
      <c r="H192" s="74" t="str">
        <f t="shared" si="4"/>
        <v/>
      </c>
      <c r="I192" s="188" t="str">
        <f t="shared" si="5"/>
        <v/>
      </c>
      <c r="J192" s="221"/>
    </row>
    <row r="193" spans="1:10" s="90" customFormat="1" ht="14.25" x14ac:dyDescent="0.3">
      <c r="A193" s="141"/>
      <c r="B193" s="160">
        <v>177</v>
      </c>
      <c r="C193" s="224"/>
      <c r="D193" s="216"/>
      <c r="E193" s="215"/>
      <c r="F193" s="217"/>
      <c r="G193" s="218"/>
      <c r="H193" s="74" t="str">
        <f t="shared" si="4"/>
        <v/>
      </c>
      <c r="I193" s="188" t="str">
        <f t="shared" si="5"/>
        <v/>
      </c>
      <c r="J193" s="221"/>
    </row>
    <row r="194" spans="1:10" s="90" customFormat="1" ht="14.25" x14ac:dyDescent="0.3">
      <c r="A194" s="141"/>
      <c r="B194" s="160">
        <v>178</v>
      </c>
      <c r="C194" s="224"/>
      <c r="D194" s="213"/>
      <c r="E194" s="215"/>
      <c r="F194" s="217"/>
      <c r="G194" s="218"/>
      <c r="H194" s="74" t="str">
        <f t="shared" si="4"/>
        <v/>
      </c>
      <c r="I194" s="188" t="str">
        <f t="shared" si="5"/>
        <v/>
      </c>
      <c r="J194" s="221"/>
    </row>
    <row r="195" spans="1:10" s="90" customFormat="1" ht="14.25" x14ac:dyDescent="0.3">
      <c r="A195" s="141"/>
      <c r="B195" s="160">
        <v>179</v>
      </c>
      <c r="C195" s="224"/>
      <c r="D195" s="213"/>
      <c r="E195" s="215"/>
      <c r="F195" s="217"/>
      <c r="G195" s="218"/>
      <c r="H195" s="74" t="str">
        <f t="shared" si="4"/>
        <v/>
      </c>
      <c r="I195" s="188" t="str">
        <f t="shared" si="5"/>
        <v/>
      </c>
      <c r="J195" s="221"/>
    </row>
    <row r="196" spans="1:10" s="90" customFormat="1" ht="14.25" x14ac:dyDescent="0.3">
      <c r="A196" s="141"/>
      <c r="B196" s="160">
        <v>180</v>
      </c>
      <c r="C196" s="224"/>
      <c r="D196" s="213"/>
      <c r="E196" s="215"/>
      <c r="F196" s="215"/>
      <c r="G196" s="215"/>
      <c r="H196" s="74" t="str">
        <f t="shared" si="4"/>
        <v/>
      </c>
      <c r="I196" s="188" t="str">
        <f t="shared" si="5"/>
        <v/>
      </c>
      <c r="J196" s="221"/>
    </row>
    <row r="197" spans="1:10" s="90" customFormat="1" ht="14.25" x14ac:dyDescent="0.3">
      <c r="A197" s="141"/>
      <c r="B197" s="160">
        <v>181</v>
      </c>
      <c r="C197" s="224"/>
      <c r="D197" s="216"/>
      <c r="E197" s="215"/>
      <c r="F197" s="217"/>
      <c r="G197" s="218"/>
      <c r="H197" s="74" t="str">
        <f t="shared" si="4"/>
        <v/>
      </c>
      <c r="I197" s="188" t="str">
        <f t="shared" si="5"/>
        <v/>
      </c>
      <c r="J197" s="221"/>
    </row>
    <row r="198" spans="1:10" s="90" customFormat="1" ht="14.25" x14ac:dyDescent="0.3">
      <c r="A198" s="141"/>
      <c r="B198" s="160">
        <v>182</v>
      </c>
      <c r="C198" s="224"/>
      <c r="D198" s="216"/>
      <c r="E198" s="215"/>
      <c r="F198" s="217"/>
      <c r="G198" s="218"/>
      <c r="H198" s="74" t="str">
        <f t="shared" si="4"/>
        <v/>
      </c>
      <c r="I198" s="188" t="str">
        <f t="shared" si="5"/>
        <v/>
      </c>
      <c r="J198" s="221"/>
    </row>
    <row r="199" spans="1:10" s="90" customFormat="1" ht="14.25" x14ac:dyDescent="0.3">
      <c r="A199" s="141"/>
      <c r="B199" s="160">
        <v>183</v>
      </c>
      <c r="C199" s="224"/>
      <c r="D199" s="213"/>
      <c r="E199" s="215"/>
      <c r="F199" s="215"/>
      <c r="G199" s="215"/>
      <c r="H199" s="74" t="str">
        <f t="shared" si="4"/>
        <v/>
      </c>
      <c r="I199" s="188" t="str">
        <f t="shared" si="5"/>
        <v/>
      </c>
      <c r="J199" s="221"/>
    </row>
    <row r="200" spans="1:10" s="90" customFormat="1" ht="14.25" x14ac:dyDescent="0.3">
      <c r="A200" s="141"/>
      <c r="B200" s="160">
        <v>184</v>
      </c>
      <c r="C200" s="224"/>
      <c r="D200" s="216"/>
      <c r="E200" s="215"/>
      <c r="F200" s="217"/>
      <c r="G200" s="218"/>
      <c r="H200" s="74" t="str">
        <f t="shared" si="4"/>
        <v/>
      </c>
      <c r="I200" s="188" t="str">
        <f t="shared" si="5"/>
        <v/>
      </c>
      <c r="J200" s="221"/>
    </row>
    <row r="201" spans="1:10" s="90" customFormat="1" ht="14.25" x14ac:dyDescent="0.3">
      <c r="A201" s="141"/>
      <c r="B201" s="160">
        <v>185</v>
      </c>
      <c r="C201" s="224"/>
      <c r="D201" s="216"/>
      <c r="E201" s="215"/>
      <c r="F201" s="217"/>
      <c r="G201" s="218"/>
      <c r="H201" s="74" t="str">
        <f t="shared" si="4"/>
        <v/>
      </c>
      <c r="I201" s="188" t="str">
        <f t="shared" si="5"/>
        <v/>
      </c>
      <c r="J201" s="221"/>
    </row>
    <row r="202" spans="1:10" s="90" customFormat="1" ht="14.25" x14ac:dyDescent="0.3">
      <c r="A202" s="141"/>
      <c r="B202" s="160">
        <v>186</v>
      </c>
      <c r="C202" s="224"/>
      <c r="D202" s="213"/>
      <c r="E202" s="215"/>
      <c r="F202" s="217"/>
      <c r="G202" s="218"/>
      <c r="H202" s="74" t="str">
        <f t="shared" si="4"/>
        <v/>
      </c>
      <c r="I202" s="188" t="str">
        <f t="shared" si="5"/>
        <v/>
      </c>
      <c r="J202" s="221"/>
    </row>
    <row r="203" spans="1:10" s="90" customFormat="1" ht="14.25" x14ac:dyDescent="0.3">
      <c r="A203" s="141"/>
      <c r="B203" s="160">
        <v>187</v>
      </c>
      <c r="C203" s="224"/>
      <c r="D203" s="213"/>
      <c r="E203" s="215"/>
      <c r="F203" s="217"/>
      <c r="G203" s="218"/>
      <c r="H203" s="74" t="str">
        <f t="shared" si="4"/>
        <v/>
      </c>
      <c r="I203" s="188" t="str">
        <f t="shared" si="5"/>
        <v/>
      </c>
      <c r="J203" s="221"/>
    </row>
    <row r="204" spans="1:10" s="90" customFormat="1" ht="14.25" x14ac:dyDescent="0.3">
      <c r="A204" s="141"/>
      <c r="B204" s="160">
        <v>188</v>
      </c>
      <c r="C204" s="224"/>
      <c r="D204" s="213"/>
      <c r="E204" s="215"/>
      <c r="F204" s="217"/>
      <c r="G204" s="218"/>
      <c r="H204" s="74" t="str">
        <f t="shared" si="4"/>
        <v/>
      </c>
      <c r="I204" s="188" t="str">
        <f t="shared" si="5"/>
        <v/>
      </c>
      <c r="J204" s="221"/>
    </row>
    <row r="205" spans="1:10" s="90" customFormat="1" ht="14.25" x14ac:dyDescent="0.3">
      <c r="A205" s="141"/>
      <c r="B205" s="160">
        <v>189</v>
      </c>
      <c r="C205" s="224"/>
      <c r="D205" s="213"/>
      <c r="E205" s="215"/>
      <c r="F205" s="217"/>
      <c r="G205" s="218"/>
      <c r="H205" s="74" t="str">
        <f t="shared" si="4"/>
        <v/>
      </c>
      <c r="I205" s="188" t="str">
        <f t="shared" si="5"/>
        <v/>
      </c>
      <c r="J205" s="221"/>
    </row>
    <row r="206" spans="1:10" s="90" customFormat="1" ht="14.25" x14ac:dyDescent="0.3">
      <c r="A206" s="141"/>
      <c r="B206" s="160">
        <v>190</v>
      </c>
      <c r="C206" s="224"/>
      <c r="D206" s="213"/>
      <c r="E206" s="215"/>
      <c r="F206" s="217"/>
      <c r="G206" s="218"/>
      <c r="H206" s="74" t="str">
        <f t="shared" si="4"/>
        <v/>
      </c>
      <c r="I206" s="188" t="str">
        <f t="shared" si="5"/>
        <v/>
      </c>
      <c r="J206" s="221"/>
    </row>
    <row r="207" spans="1:10" s="90" customFormat="1" ht="14.25" x14ac:dyDescent="0.3">
      <c r="A207" s="141"/>
      <c r="B207" s="160">
        <v>191</v>
      </c>
      <c r="C207" s="224"/>
      <c r="D207" s="213"/>
      <c r="E207" s="215"/>
      <c r="F207" s="217"/>
      <c r="G207" s="218"/>
      <c r="H207" s="74" t="str">
        <f t="shared" si="4"/>
        <v/>
      </c>
      <c r="I207" s="188" t="str">
        <f t="shared" si="5"/>
        <v/>
      </c>
      <c r="J207" s="221"/>
    </row>
    <row r="208" spans="1:10" s="90" customFormat="1" ht="14.25" x14ac:dyDescent="0.3">
      <c r="A208" s="141"/>
      <c r="B208" s="160">
        <v>192</v>
      </c>
      <c r="C208" s="224"/>
      <c r="D208" s="213"/>
      <c r="E208" s="215"/>
      <c r="F208" s="215"/>
      <c r="G208" s="215"/>
      <c r="H208" s="74" t="str">
        <f t="shared" si="4"/>
        <v/>
      </c>
      <c r="I208" s="188" t="str">
        <f t="shared" si="5"/>
        <v/>
      </c>
      <c r="J208" s="221"/>
    </row>
    <row r="209" spans="1:10" s="90" customFormat="1" ht="14.25" x14ac:dyDescent="0.3">
      <c r="A209" s="141"/>
      <c r="B209" s="160">
        <v>193</v>
      </c>
      <c r="C209" s="224"/>
      <c r="D209" s="213"/>
      <c r="E209" s="215"/>
      <c r="F209" s="214"/>
      <c r="G209" s="214"/>
      <c r="H209" s="74" t="str">
        <f t="shared" ref="H209:H270" si="6">ObterComplexidadeFuncao(E209,F209,G209)</f>
        <v/>
      </c>
      <c r="I209" s="188" t="str">
        <f t="shared" si="5"/>
        <v/>
      </c>
      <c r="J209" s="221"/>
    </row>
    <row r="210" spans="1:10" s="90" customFormat="1" ht="14.25" x14ac:dyDescent="0.3">
      <c r="A210" s="141"/>
      <c r="B210" s="160">
        <v>194</v>
      </c>
      <c r="C210" s="224"/>
      <c r="D210" s="213"/>
      <c r="E210" s="215"/>
      <c r="F210" s="214"/>
      <c r="G210" s="214"/>
      <c r="H210" s="74" t="str">
        <f t="shared" si="6"/>
        <v/>
      </c>
      <c r="I210" s="188" t="str">
        <f t="shared" ref="I210:I273" si="7">ObterContribuicaoFuncao(E210,H210)</f>
        <v/>
      </c>
      <c r="J210" s="221"/>
    </row>
    <row r="211" spans="1:10" s="90" customFormat="1" ht="14.25" x14ac:dyDescent="0.3">
      <c r="A211" s="141"/>
      <c r="B211" s="160">
        <v>195</v>
      </c>
      <c r="C211" s="224"/>
      <c r="D211" s="213"/>
      <c r="E211" s="215"/>
      <c r="F211" s="214"/>
      <c r="G211" s="214"/>
      <c r="H211" s="74" t="str">
        <f t="shared" si="6"/>
        <v/>
      </c>
      <c r="I211" s="188" t="str">
        <f t="shared" si="7"/>
        <v/>
      </c>
      <c r="J211" s="221"/>
    </row>
    <row r="212" spans="1:10" s="90" customFormat="1" ht="14.25" x14ac:dyDescent="0.3">
      <c r="A212" s="141"/>
      <c r="B212" s="160">
        <v>196</v>
      </c>
      <c r="C212" s="224"/>
      <c r="D212" s="213"/>
      <c r="E212" s="215"/>
      <c r="F212" s="214"/>
      <c r="G212" s="214"/>
      <c r="H212" s="74" t="str">
        <f t="shared" si="6"/>
        <v/>
      </c>
      <c r="I212" s="188" t="str">
        <f t="shared" si="7"/>
        <v/>
      </c>
      <c r="J212" s="221"/>
    </row>
    <row r="213" spans="1:10" s="90" customFormat="1" ht="14.25" x14ac:dyDescent="0.3">
      <c r="A213" s="141"/>
      <c r="B213" s="160">
        <v>197</v>
      </c>
      <c r="C213" s="224"/>
      <c r="D213" s="213"/>
      <c r="E213" s="215"/>
      <c r="F213" s="214"/>
      <c r="G213" s="214"/>
      <c r="H213" s="74" t="str">
        <f t="shared" si="6"/>
        <v/>
      </c>
      <c r="I213" s="188" t="str">
        <f t="shared" si="7"/>
        <v/>
      </c>
      <c r="J213" s="221"/>
    </row>
    <row r="214" spans="1:10" s="90" customFormat="1" ht="14.25" x14ac:dyDescent="0.3">
      <c r="A214" s="141"/>
      <c r="B214" s="160">
        <v>198</v>
      </c>
      <c r="C214" s="224"/>
      <c r="D214" s="213"/>
      <c r="E214" s="215"/>
      <c r="F214" s="217"/>
      <c r="G214" s="218"/>
      <c r="H214" s="74" t="str">
        <f t="shared" si="6"/>
        <v/>
      </c>
      <c r="I214" s="188" t="str">
        <f t="shared" si="7"/>
        <v/>
      </c>
      <c r="J214" s="221"/>
    </row>
    <row r="215" spans="1:10" s="90" customFormat="1" ht="14.25" x14ac:dyDescent="0.3">
      <c r="A215" s="141"/>
      <c r="B215" s="160">
        <v>199</v>
      </c>
      <c r="C215" s="224"/>
      <c r="D215" s="213"/>
      <c r="E215" s="215"/>
      <c r="F215" s="217"/>
      <c r="G215" s="218"/>
      <c r="H215" s="74" t="str">
        <f t="shared" si="6"/>
        <v/>
      </c>
      <c r="I215" s="188" t="str">
        <f t="shared" si="7"/>
        <v/>
      </c>
      <c r="J215" s="221"/>
    </row>
    <row r="216" spans="1:10" s="90" customFormat="1" thickBot="1" x14ac:dyDescent="0.35">
      <c r="A216" s="141"/>
      <c r="B216" s="160">
        <v>200</v>
      </c>
      <c r="C216" s="224"/>
      <c r="D216" s="213"/>
      <c r="E216" s="215"/>
      <c r="F216" s="215"/>
      <c r="G216" s="215"/>
      <c r="H216" s="74" t="str">
        <f t="shared" si="6"/>
        <v/>
      </c>
      <c r="I216" s="188" t="str">
        <f t="shared" si="7"/>
        <v/>
      </c>
      <c r="J216" s="221"/>
    </row>
    <row r="217" spans="1:10" s="90" customFormat="1" ht="14.25" hidden="1" x14ac:dyDescent="0.3">
      <c r="A217" s="141"/>
      <c r="B217" s="160">
        <v>201</v>
      </c>
      <c r="C217" s="224"/>
      <c r="D217" s="213"/>
      <c r="E217" s="215"/>
      <c r="F217" s="217"/>
      <c r="G217" s="218"/>
      <c r="H217" s="74" t="str">
        <f t="shared" si="6"/>
        <v/>
      </c>
      <c r="I217" s="188" t="str">
        <f t="shared" si="7"/>
        <v/>
      </c>
      <c r="J217" s="221"/>
    </row>
    <row r="218" spans="1:10" s="90" customFormat="1" ht="14.25" hidden="1" x14ac:dyDescent="0.3">
      <c r="A218" s="141"/>
      <c r="B218" s="160">
        <v>202</v>
      </c>
      <c r="C218" s="224"/>
      <c r="D218" s="213"/>
      <c r="E218" s="215"/>
      <c r="F218" s="217"/>
      <c r="G218" s="218"/>
      <c r="H218" s="74" t="str">
        <f t="shared" si="6"/>
        <v/>
      </c>
      <c r="I218" s="188" t="str">
        <f t="shared" si="7"/>
        <v/>
      </c>
      <c r="J218" s="221"/>
    </row>
    <row r="219" spans="1:10" s="90" customFormat="1" ht="14.25" hidden="1" x14ac:dyDescent="0.3">
      <c r="A219" s="141"/>
      <c r="B219" s="160">
        <v>203</v>
      </c>
      <c r="C219" s="224"/>
      <c r="D219" s="213"/>
      <c r="E219" s="215"/>
      <c r="F219" s="217"/>
      <c r="G219" s="218"/>
      <c r="H219" s="74" t="str">
        <f t="shared" si="6"/>
        <v/>
      </c>
      <c r="I219" s="188" t="str">
        <f t="shared" si="7"/>
        <v/>
      </c>
      <c r="J219" s="221"/>
    </row>
    <row r="220" spans="1:10" s="90" customFormat="1" ht="14.25" hidden="1" x14ac:dyDescent="0.3">
      <c r="A220" s="141"/>
      <c r="B220" s="160">
        <v>204</v>
      </c>
      <c r="C220" s="224"/>
      <c r="D220" s="213"/>
      <c r="E220" s="215"/>
      <c r="F220" s="217"/>
      <c r="G220" s="218"/>
      <c r="H220" s="74" t="str">
        <f t="shared" si="6"/>
        <v/>
      </c>
      <c r="I220" s="188" t="str">
        <f t="shared" si="7"/>
        <v/>
      </c>
      <c r="J220" s="221"/>
    </row>
    <row r="221" spans="1:10" s="90" customFormat="1" ht="14.25" hidden="1" x14ac:dyDescent="0.3">
      <c r="A221" s="141"/>
      <c r="B221" s="160">
        <v>205</v>
      </c>
      <c r="C221" s="224"/>
      <c r="D221" s="213"/>
      <c r="E221" s="215"/>
      <c r="F221" s="217"/>
      <c r="G221" s="218"/>
      <c r="H221" s="74" t="str">
        <f t="shared" si="6"/>
        <v/>
      </c>
      <c r="I221" s="188" t="str">
        <f t="shared" si="7"/>
        <v/>
      </c>
      <c r="J221" s="221"/>
    </row>
    <row r="222" spans="1:10" s="90" customFormat="1" ht="14.25" hidden="1" x14ac:dyDescent="0.3">
      <c r="A222" s="141"/>
      <c r="B222" s="160">
        <v>206</v>
      </c>
      <c r="C222" s="224"/>
      <c r="D222" s="213"/>
      <c r="E222" s="215"/>
      <c r="F222" s="215"/>
      <c r="G222" s="215"/>
      <c r="H222" s="74" t="str">
        <f t="shared" si="6"/>
        <v/>
      </c>
      <c r="I222" s="188" t="str">
        <f t="shared" si="7"/>
        <v/>
      </c>
      <c r="J222" s="221"/>
    </row>
    <row r="223" spans="1:10" s="90" customFormat="1" ht="14.25" hidden="1" x14ac:dyDescent="0.3">
      <c r="A223" s="141"/>
      <c r="B223" s="160">
        <v>207</v>
      </c>
      <c r="C223" s="224"/>
      <c r="D223" s="216"/>
      <c r="E223" s="215"/>
      <c r="F223" s="217"/>
      <c r="G223" s="218"/>
      <c r="H223" s="74" t="str">
        <f t="shared" si="6"/>
        <v/>
      </c>
      <c r="I223" s="188" t="str">
        <f t="shared" si="7"/>
        <v/>
      </c>
      <c r="J223" s="221"/>
    </row>
    <row r="224" spans="1:10" s="90" customFormat="1" ht="14.25" hidden="1" x14ac:dyDescent="0.3">
      <c r="A224" s="141"/>
      <c r="B224" s="160">
        <v>208</v>
      </c>
      <c r="C224" s="224"/>
      <c r="D224" s="213"/>
      <c r="E224" s="215"/>
      <c r="F224" s="217"/>
      <c r="G224" s="218"/>
      <c r="H224" s="74" t="str">
        <f t="shared" si="6"/>
        <v/>
      </c>
      <c r="I224" s="188" t="str">
        <f t="shared" si="7"/>
        <v/>
      </c>
      <c r="J224" s="221"/>
    </row>
    <row r="225" spans="1:10" s="90" customFormat="1" ht="14.25" hidden="1" x14ac:dyDescent="0.3">
      <c r="A225" s="141"/>
      <c r="B225" s="160">
        <v>209</v>
      </c>
      <c r="C225" s="224"/>
      <c r="D225" s="213"/>
      <c r="E225" s="215"/>
      <c r="F225" s="217"/>
      <c r="G225" s="218"/>
      <c r="H225" s="74" t="str">
        <f t="shared" si="6"/>
        <v/>
      </c>
      <c r="I225" s="188" t="str">
        <f t="shared" si="7"/>
        <v/>
      </c>
      <c r="J225" s="221"/>
    </row>
    <row r="226" spans="1:10" s="90" customFormat="1" ht="14.25" hidden="1" x14ac:dyDescent="0.3">
      <c r="A226" s="141"/>
      <c r="B226" s="160">
        <v>210</v>
      </c>
      <c r="C226" s="224"/>
      <c r="D226" s="213"/>
      <c r="E226" s="215"/>
      <c r="F226" s="217"/>
      <c r="G226" s="218"/>
      <c r="H226" s="74" t="str">
        <f t="shared" si="6"/>
        <v/>
      </c>
      <c r="I226" s="188" t="str">
        <f t="shared" si="7"/>
        <v/>
      </c>
      <c r="J226" s="221"/>
    </row>
    <row r="227" spans="1:10" s="90" customFormat="1" ht="14.25" hidden="1" x14ac:dyDescent="0.3">
      <c r="A227" s="141"/>
      <c r="B227" s="160">
        <v>211</v>
      </c>
      <c r="C227" s="224"/>
      <c r="D227" s="213"/>
      <c r="E227" s="215"/>
      <c r="F227" s="217"/>
      <c r="G227" s="218"/>
      <c r="H227" s="74" t="str">
        <f t="shared" si="6"/>
        <v/>
      </c>
      <c r="I227" s="188" t="str">
        <f t="shared" si="7"/>
        <v/>
      </c>
      <c r="J227" s="221"/>
    </row>
    <row r="228" spans="1:10" s="90" customFormat="1" ht="14.25" hidden="1" x14ac:dyDescent="0.3">
      <c r="A228" s="141"/>
      <c r="B228" s="160">
        <v>212</v>
      </c>
      <c r="C228" s="224"/>
      <c r="D228" s="213"/>
      <c r="E228" s="215"/>
      <c r="F228" s="215"/>
      <c r="G228" s="215"/>
      <c r="H228" s="74" t="str">
        <f t="shared" si="6"/>
        <v/>
      </c>
      <c r="I228" s="188" t="str">
        <f t="shared" si="7"/>
        <v/>
      </c>
      <c r="J228" s="221"/>
    </row>
    <row r="229" spans="1:10" s="90" customFormat="1" ht="14.25" hidden="1" x14ac:dyDescent="0.3">
      <c r="A229" s="141"/>
      <c r="B229" s="160">
        <v>213</v>
      </c>
      <c r="C229" s="224"/>
      <c r="D229" s="216"/>
      <c r="E229" s="215"/>
      <c r="F229" s="217"/>
      <c r="G229" s="218"/>
      <c r="H229" s="74" t="str">
        <f t="shared" si="6"/>
        <v/>
      </c>
      <c r="I229" s="188" t="str">
        <f t="shared" si="7"/>
        <v/>
      </c>
      <c r="J229" s="221"/>
    </row>
    <row r="230" spans="1:10" s="90" customFormat="1" ht="14.25" hidden="1" x14ac:dyDescent="0.3">
      <c r="A230" s="141"/>
      <c r="B230" s="160">
        <v>214</v>
      </c>
      <c r="C230" s="224"/>
      <c r="D230" s="216"/>
      <c r="E230" s="215"/>
      <c r="F230" s="217"/>
      <c r="G230" s="218"/>
      <c r="H230" s="74" t="str">
        <f t="shared" si="6"/>
        <v/>
      </c>
      <c r="I230" s="188" t="str">
        <f t="shared" si="7"/>
        <v/>
      </c>
      <c r="J230" s="221"/>
    </row>
    <row r="231" spans="1:10" s="90" customFormat="1" ht="14.25" hidden="1" x14ac:dyDescent="0.3">
      <c r="A231" s="141"/>
      <c r="B231" s="160">
        <v>215</v>
      </c>
      <c r="C231" s="224"/>
      <c r="D231" s="213"/>
      <c r="E231" s="215"/>
      <c r="F231" s="217"/>
      <c r="G231" s="218"/>
      <c r="H231" s="74" t="str">
        <f t="shared" si="6"/>
        <v/>
      </c>
      <c r="I231" s="188" t="str">
        <f t="shared" si="7"/>
        <v/>
      </c>
      <c r="J231" s="221"/>
    </row>
    <row r="232" spans="1:10" s="90" customFormat="1" ht="14.25" hidden="1" x14ac:dyDescent="0.3">
      <c r="A232" s="141"/>
      <c r="B232" s="160">
        <v>216</v>
      </c>
      <c r="C232" s="224"/>
      <c r="D232" s="213"/>
      <c r="E232" s="215"/>
      <c r="F232" s="217"/>
      <c r="G232" s="218"/>
      <c r="H232" s="74" t="str">
        <f t="shared" si="6"/>
        <v/>
      </c>
      <c r="I232" s="188" t="str">
        <f t="shared" si="7"/>
        <v/>
      </c>
      <c r="J232" s="221"/>
    </row>
    <row r="233" spans="1:10" s="90" customFormat="1" ht="14.25" hidden="1" x14ac:dyDescent="0.3">
      <c r="A233" s="141"/>
      <c r="B233" s="160">
        <v>217</v>
      </c>
      <c r="C233" s="224"/>
      <c r="D233" s="213"/>
      <c r="E233" s="215"/>
      <c r="F233" s="215"/>
      <c r="G233" s="215"/>
      <c r="H233" s="74" t="str">
        <f t="shared" si="6"/>
        <v/>
      </c>
      <c r="I233" s="188" t="str">
        <f t="shared" si="7"/>
        <v/>
      </c>
      <c r="J233" s="221"/>
    </row>
    <row r="234" spans="1:10" s="90" customFormat="1" ht="14.25" hidden="1" x14ac:dyDescent="0.3">
      <c r="A234" s="141"/>
      <c r="B234" s="160">
        <v>218</v>
      </c>
      <c r="C234" s="224"/>
      <c r="D234" s="213"/>
      <c r="E234" s="215"/>
      <c r="F234" s="214"/>
      <c r="G234" s="214"/>
      <c r="H234" s="74" t="str">
        <f t="shared" si="6"/>
        <v/>
      </c>
      <c r="I234" s="188" t="str">
        <f t="shared" si="7"/>
        <v/>
      </c>
      <c r="J234" s="221"/>
    </row>
    <row r="235" spans="1:10" s="90" customFormat="1" ht="14.25" hidden="1" x14ac:dyDescent="0.3">
      <c r="A235" s="141"/>
      <c r="B235" s="160">
        <v>219</v>
      </c>
      <c r="C235" s="224"/>
      <c r="D235" s="213"/>
      <c r="E235" s="215"/>
      <c r="F235" s="215"/>
      <c r="G235" s="215"/>
      <c r="H235" s="74" t="str">
        <f t="shared" si="6"/>
        <v/>
      </c>
      <c r="I235" s="188" t="str">
        <f t="shared" si="7"/>
        <v/>
      </c>
      <c r="J235" s="221"/>
    </row>
    <row r="236" spans="1:10" s="90" customFormat="1" ht="14.25" hidden="1" x14ac:dyDescent="0.3">
      <c r="A236" s="141"/>
      <c r="B236" s="160">
        <v>220</v>
      </c>
      <c r="C236" s="224"/>
      <c r="D236" s="213"/>
      <c r="E236" s="215"/>
      <c r="F236" s="214"/>
      <c r="G236" s="214"/>
      <c r="H236" s="74" t="str">
        <f t="shared" si="6"/>
        <v/>
      </c>
      <c r="I236" s="188" t="str">
        <f t="shared" si="7"/>
        <v/>
      </c>
      <c r="J236" s="221"/>
    </row>
    <row r="237" spans="1:10" s="90" customFormat="1" ht="14.25" hidden="1" x14ac:dyDescent="0.3">
      <c r="A237" s="141"/>
      <c r="B237" s="160">
        <v>221</v>
      </c>
      <c r="C237" s="224"/>
      <c r="D237" s="213"/>
      <c r="E237" s="215"/>
      <c r="F237" s="214"/>
      <c r="G237" s="214"/>
      <c r="H237" s="74" t="str">
        <f t="shared" si="6"/>
        <v/>
      </c>
      <c r="I237" s="188" t="str">
        <f t="shared" si="7"/>
        <v/>
      </c>
      <c r="J237" s="221"/>
    </row>
    <row r="238" spans="1:10" s="90" customFormat="1" ht="14.25" hidden="1" x14ac:dyDescent="0.3">
      <c r="A238" s="141"/>
      <c r="B238" s="160">
        <v>222</v>
      </c>
      <c r="C238" s="224"/>
      <c r="D238" s="213"/>
      <c r="E238" s="215"/>
      <c r="F238" s="215"/>
      <c r="G238" s="215"/>
      <c r="H238" s="74" t="str">
        <f t="shared" si="6"/>
        <v/>
      </c>
      <c r="I238" s="188" t="str">
        <f t="shared" si="7"/>
        <v/>
      </c>
      <c r="J238" s="221"/>
    </row>
    <row r="239" spans="1:10" s="90" customFormat="1" ht="14.25" hidden="1" x14ac:dyDescent="0.3">
      <c r="A239" s="141"/>
      <c r="B239" s="160">
        <v>223</v>
      </c>
      <c r="C239" s="224"/>
      <c r="D239" s="213"/>
      <c r="E239" s="215"/>
      <c r="F239" s="217"/>
      <c r="G239" s="218"/>
      <c r="H239" s="74" t="str">
        <f t="shared" si="6"/>
        <v/>
      </c>
      <c r="I239" s="188" t="str">
        <f t="shared" si="7"/>
        <v/>
      </c>
      <c r="J239" s="221"/>
    </row>
    <row r="240" spans="1:10" s="90" customFormat="1" ht="14.25" hidden="1" x14ac:dyDescent="0.3">
      <c r="A240" s="141"/>
      <c r="B240" s="160">
        <v>224</v>
      </c>
      <c r="C240" s="224"/>
      <c r="D240" s="213"/>
      <c r="E240" s="215"/>
      <c r="F240" s="217"/>
      <c r="G240" s="218"/>
      <c r="H240" s="74" t="str">
        <f t="shared" si="6"/>
        <v/>
      </c>
      <c r="I240" s="188" t="str">
        <f t="shared" si="7"/>
        <v/>
      </c>
      <c r="J240" s="221"/>
    </row>
    <row r="241" spans="1:10" s="90" customFormat="1" ht="14.25" hidden="1" x14ac:dyDescent="0.3">
      <c r="A241" s="141"/>
      <c r="B241" s="160">
        <v>225</v>
      </c>
      <c r="C241" s="224"/>
      <c r="D241" s="216"/>
      <c r="E241" s="215"/>
      <c r="F241" s="217"/>
      <c r="G241" s="218"/>
      <c r="H241" s="74" t="str">
        <f t="shared" si="6"/>
        <v/>
      </c>
      <c r="I241" s="188" t="str">
        <f t="shared" si="7"/>
        <v/>
      </c>
      <c r="J241" s="221"/>
    </row>
    <row r="242" spans="1:10" s="90" customFormat="1" ht="14.25" hidden="1" x14ac:dyDescent="0.3">
      <c r="A242" s="141"/>
      <c r="B242" s="160">
        <v>226</v>
      </c>
      <c r="C242" s="224"/>
      <c r="D242" s="216"/>
      <c r="E242" s="215"/>
      <c r="F242" s="217"/>
      <c r="G242" s="218"/>
      <c r="H242" s="74" t="str">
        <f t="shared" si="6"/>
        <v/>
      </c>
      <c r="I242" s="188" t="str">
        <f t="shared" si="7"/>
        <v/>
      </c>
      <c r="J242" s="221"/>
    </row>
    <row r="243" spans="1:10" s="90" customFormat="1" ht="14.25" hidden="1" x14ac:dyDescent="0.3">
      <c r="A243" s="141"/>
      <c r="B243" s="160">
        <v>227</v>
      </c>
      <c r="C243" s="224"/>
      <c r="D243" s="213"/>
      <c r="E243" s="215"/>
      <c r="F243" s="217"/>
      <c r="G243" s="218"/>
      <c r="H243" s="74" t="str">
        <f t="shared" si="6"/>
        <v/>
      </c>
      <c r="I243" s="188" t="str">
        <f t="shared" si="7"/>
        <v/>
      </c>
      <c r="J243" s="221"/>
    </row>
    <row r="244" spans="1:10" s="90" customFormat="1" ht="14.25" hidden="1" x14ac:dyDescent="0.3">
      <c r="A244" s="141"/>
      <c r="B244" s="160">
        <v>228</v>
      </c>
      <c r="C244" s="224"/>
      <c r="D244" s="216"/>
      <c r="E244" s="215"/>
      <c r="F244" s="217"/>
      <c r="G244" s="218"/>
      <c r="H244" s="74" t="str">
        <f t="shared" si="6"/>
        <v/>
      </c>
      <c r="I244" s="188" t="str">
        <f t="shared" si="7"/>
        <v/>
      </c>
      <c r="J244" s="221"/>
    </row>
    <row r="245" spans="1:10" s="90" customFormat="1" ht="14.25" hidden="1" x14ac:dyDescent="0.3">
      <c r="A245" s="141"/>
      <c r="B245" s="160">
        <v>229</v>
      </c>
      <c r="C245" s="224"/>
      <c r="D245" s="216"/>
      <c r="E245" s="215"/>
      <c r="F245" s="217"/>
      <c r="G245" s="218"/>
      <c r="H245" s="74" t="str">
        <f t="shared" si="6"/>
        <v/>
      </c>
      <c r="I245" s="188" t="str">
        <f t="shared" si="7"/>
        <v/>
      </c>
      <c r="J245" s="221"/>
    </row>
    <row r="246" spans="1:10" s="90" customFormat="1" ht="14.25" hidden="1" x14ac:dyDescent="0.3">
      <c r="A246" s="141"/>
      <c r="B246" s="160">
        <v>230</v>
      </c>
      <c r="C246" s="224"/>
      <c r="D246" s="213"/>
      <c r="E246" s="215"/>
      <c r="F246" s="217"/>
      <c r="G246" s="218"/>
      <c r="H246" s="74" t="str">
        <f t="shared" si="6"/>
        <v/>
      </c>
      <c r="I246" s="188" t="str">
        <f t="shared" si="7"/>
        <v/>
      </c>
      <c r="J246" s="221"/>
    </row>
    <row r="247" spans="1:10" s="90" customFormat="1" ht="14.25" hidden="1" x14ac:dyDescent="0.3">
      <c r="A247" s="141"/>
      <c r="B247" s="160">
        <v>231</v>
      </c>
      <c r="C247" s="224"/>
      <c r="D247" s="216"/>
      <c r="E247" s="215"/>
      <c r="F247" s="217"/>
      <c r="G247" s="218"/>
      <c r="H247" s="74" t="str">
        <f t="shared" si="6"/>
        <v/>
      </c>
      <c r="I247" s="188" t="str">
        <f t="shared" si="7"/>
        <v/>
      </c>
      <c r="J247" s="221"/>
    </row>
    <row r="248" spans="1:10" s="90" customFormat="1" ht="14.25" hidden="1" x14ac:dyDescent="0.3">
      <c r="A248" s="141"/>
      <c r="B248" s="160">
        <v>232</v>
      </c>
      <c r="C248" s="224"/>
      <c r="D248" s="216"/>
      <c r="E248" s="215"/>
      <c r="F248" s="217"/>
      <c r="G248" s="218"/>
      <c r="H248" s="74" t="str">
        <f t="shared" si="6"/>
        <v/>
      </c>
      <c r="I248" s="188" t="str">
        <f t="shared" si="7"/>
        <v/>
      </c>
      <c r="J248" s="221"/>
    </row>
    <row r="249" spans="1:10" s="90" customFormat="1" ht="14.25" hidden="1" x14ac:dyDescent="0.3">
      <c r="A249" s="141"/>
      <c r="B249" s="160">
        <v>233</v>
      </c>
      <c r="C249" s="224"/>
      <c r="D249" s="213"/>
      <c r="E249" s="215"/>
      <c r="F249" s="217"/>
      <c r="G249" s="218"/>
      <c r="H249" s="74" t="str">
        <f t="shared" si="6"/>
        <v/>
      </c>
      <c r="I249" s="188" t="str">
        <f t="shared" si="7"/>
        <v/>
      </c>
      <c r="J249" s="221"/>
    </row>
    <row r="250" spans="1:10" s="90" customFormat="1" ht="14.25" hidden="1" x14ac:dyDescent="0.3">
      <c r="A250" s="141"/>
      <c r="B250" s="160">
        <v>234</v>
      </c>
      <c r="C250" s="224"/>
      <c r="D250" s="216"/>
      <c r="E250" s="215"/>
      <c r="F250" s="217"/>
      <c r="G250" s="218"/>
      <c r="H250" s="74" t="str">
        <f t="shared" si="6"/>
        <v/>
      </c>
      <c r="I250" s="188" t="str">
        <f t="shared" si="7"/>
        <v/>
      </c>
      <c r="J250" s="221"/>
    </row>
    <row r="251" spans="1:10" s="90" customFormat="1" ht="14.25" hidden="1" x14ac:dyDescent="0.3">
      <c r="A251" s="141"/>
      <c r="B251" s="160">
        <v>235</v>
      </c>
      <c r="C251" s="224"/>
      <c r="D251" s="216"/>
      <c r="E251" s="215"/>
      <c r="F251" s="217"/>
      <c r="G251" s="218"/>
      <c r="H251" s="74" t="str">
        <f t="shared" si="6"/>
        <v/>
      </c>
      <c r="I251" s="188" t="str">
        <f t="shared" si="7"/>
        <v/>
      </c>
      <c r="J251" s="221"/>
    </row>
    <row r="252" spans="1:10" s="90" customFormat="1" ht="14.25" hidden="1" x14ac:dyDescent="0.3">
      <c r="A252" s="141"/>
      <c r="B252" s="160">
        <v>236</v>
      </c>
      <c r="C252" s="224"/>
      <c r="D252" s="213"/>
      <c r="E252" s="215"/>
      <c r="F252" s="217"/>
      <c r="G252" s="218"/>
      <c r="H252" s="74" t="str">
        <f t="shared" si="6"/>
        <v/>
      </c>
      <c r="I252" s="188" t="str">
        <f t="shared" si="7"/>
        <v/>
      </c>
      <c r="J252" s="221"/>
    </row>
    <row r="253" spans="1:10" s="90" customFormat="1" ht="14.25" hidden="1" x14ac:dyDescent="0.3">
      <c r="A253" s="141"/>
      <c r="B253" s="160">
        <v>237</v>
      </c>
      <c r="C253" s="224"/>
      <c r="D253" s="216"/>
      <c r="E253" s="215"/>
      <c r="F253" s="217"/>
      <c r="G253" s="218"/>
      <c r="H253" s="74" t="str">
        <f t="shared" si="6"/>
        <v/>
      </c>
      <c r="I253" s="188" t="str">
        <f t="shared" si="7"/>
        <v/>
      </c>
      <c r="J253" s="221"/>
    </row>
    <row r="254" spans="1:10" s="90" customFormat="1" ht="14.25" hidden="1" x14ac:dyDescent="0.3">
      <c r="A254" s="141"/>
      <c r="B254" s="160">
        <v>238</v>
      </c>
      <c r="C254" s="224"/>
      <c r="D254" s="216"/>
      <c r="E254" s="215"/>
      <c r="F254" s="217"/>
      <c r="G254" s="218"/>
      <c r="H254" s="74" t="str">
        <f t="shared" si="6"/>
        <v/>
      </c>
      <c r="I254" s="188" t="str">
        <f t="shared" si="7"/>
        <v/>
      </c>
      <c r="J254" s="221"/>
    </row>
    <row r="255" spans="1:10" s="90" customFormat="1" ht="14.25" hidden="1" x14ac:dyDescent="0.3">
      <c r="A255" s="141"/>
      <c r="B255" s="160">
        <v>239</v>
      </c>
      <c r="C255" s="224"/>
      <c r="D255" s="213"/>
      <c r="E255" s="215"/>
      <c r="F255" s="217"/>
      <c r="G255" s="218"/>
      <c r="H255" s="74" t="str">
        <f t="shared" si="6"/>
        <v/>
      </c>
      <c r="I255" s="188" t="str">
        <f t="shared" si="7"/>
        <v/>
      </c>
      <c r="J255" s="221"/>
    </row>
    <row r="256" spans="1:10" s="90" customFormat="1" ht="14.25" hidden="1" x14ac:dyDescent="0.3">
      <c r="A256" s="141"/>
      <c r="B256" s="160">
        <v>240</v>
      </c>
      <c r="C256" s="224"/>
      <c r="D256" s="216"/>
      <c r="E256" s="215"/>
      <c r="F256" s="217"/>
      <c r="G256" s="218"/>
      <c r="H256" s="74" t="str">
        <f t="shared" si="6"/>
        <v/>
      </c>
      <c r="I256" s="188" t="str">
        <f t="shared" si="7"/>
        <v/>
      </c>
      <c r="J256" s="221"/>
    </row>
    <row r="257" spans="1:10" s="90" customFormat="1" ht="14.25" hidden="1" x14ac:dyDescent="0.3">
      <c r="A257" s="141"/>
      <c r="B257" s="160">
        <v>241</v>
      </c>
      <c r="C257" s="224"/>
      <c r="D257" s="216"/>
      <c r="E257" s="215"/>
      <c r="F257" s="217"/>
      <c r="G257" s="218"/>
      <c r="H257" s="74" t="str">
        <f t="shared" si="6"/>
        <v/>
      </c>
      <c r="I257" s="188" t="str">
        <f t="shared" si="7"/>
        <v/>
      </c>
      <c r="J257" s="221"/>
    </row>
    <row r="258" spans="1:10" s="90" customFormat="1" ht="14.25" hidden="1" x14ac:dyDescent="0.3">
      <c r="A258" s="141"/>
      <c r="B258" s="160">
        <v>242</v>
      </c>
      <c r="C258" s="224"/>
      <c r="D258" s="213"/>
      <c r="E258" s="215"/>
      <c r="F258" s="217"/>
      <c r="G258" s="218"/>
      <c r="H258" s="74" t="str">
        <f t="shared" si="6"/>
        <v/>
      </c>
      <c r="I258" s="188" t="str">
        <f t="shared" si="7"/>
        <v/>
      </c>
      <c r="J258" s="221"/>
    </row>
    <row r="259" spans="1:10" s="90" customFormat="1" ht="14.25" hidden="1" x14ac:dyDescent="0.3">
      <c r="A259" s="141"/>
      <c r="B259" s="160">
        <v>243</v>
      </c>
      <c r="C259" s="224"/>
      <c r="D259" s="216"/>
      <c r="E259" s="215"/>
      <c r="F259" s="217"/>
      <c r="G259" s="218"/>
      <c r="H259" s="74" t="str">
        <f t="shared" si="6"/>
        <v/>
      </c>
      <c r="I259" s="188" t="str">
        <f t="shared" si="7"/>
        <v/>
      </c>
      <c r="J259" s="221"/>
    </row>
    <row r="260" spans="1:10" s="90" customFormat="1" ht="14.25" hidden="1" x14ac:dyDescent="0.3">
      <c r="A260" s="141"/>
      <c r="B260" s="160">
        <v>244</v>
      </c>
      <c r="C260" s="224"/>
      <c r="D260" s="216"/>
      <c r="E260" s="215"/>
      <c r="F260" s="217"/>
      <c r="G260" s="218"/>
      <c r="H260" s="74" t="str">
        <f t="shared" si="6"/>
        <v/>
      </c>
      <c r="I260" s="188" t="str">
        <f t="shared" si="7"/>
        <v/>
      </c>
      <c r="J260" s="221"/>
    </row>
    <row r="261" spans="1:10" s="90" customFormat="1" ht="14.25" hidden="1" x14ac:dyDescent="0.3">
      <c r="A261" s="141"/>
      <c r="B261" s="160">
        <v>245</v>
      </c>
      <c r="C261" s="224"/>
      <c r="D261" s="213"/>
      <c r="E261" s="215"/>
      <c r="F261" s="217"/>
      <c r="G261" s="218"/>
      <c r="H261" s="74" t="str">
        <f t="shared" si="6"/>
        <v/>
      </c>
      <c r="I261" s="188" t="str">
        <f t="shared" si="7"/>
        <v/>
      </c>
      <c r="J261" s="221"/>
    </row>
    <row r="262" spans="1:10" s="90" customFormat="1" ht="14.25" hidden="1" x14ac:dyDescent="0.3">
      <c r="A262" s="141"/>
      <c r="B262" s="160">
        <v>246</v>
      </c>
      <c r="C262" s="224"/>
      <c r="D262" s="216"/>
      <c r="E262" s="215"/>
      <c r="F262" s="217"/>
      <c r="G262" s="218"/>
      <c r="H262" s="74" t="str">
        <f t="shared" si="6"/>
        <v/>
      </c>
      <c r="I262" s="188" t="str">
        <f t="shared" si="7"/>
        <v/>
      </c>
      <c r="J262" s="221"/>
    </row>
    <row r="263" spans="1:10" s="90" customFormat="1" ht="14.25" hidden="1" x14ac:dyDescent="0.3">
      <c r="A263" s="141"/>
      <c r="B263" s="160">
        <v>247</v>
      </c>
      <c r="C263" s="224"/>
      <c r="D263" s="216"/>
      <c r="E263" s="215"/>
      <c r="F263" s="217"/>
      <c r="G263" s="218"/>
      <c r="H263" s="74" t="str">
        <f t="shared" si="6"/>
        <v/>
      </c>
      <c r="I263" s="188" t="str">
        <f t="shared" si="7"/>
        <v/>
      </c>
      <c r="J263" s="221"/>
    </row>
    <row r="264" spans="1:10" s="90" customFormat="1" ht="14.25" hidden="1" x14ac:dyDescent="0.3">
      <c r="A264" s="141"/>
      <c r="B264" s="160">
        <v>248</v>
      </c>
      <c r="C264" s="224"/>
      <c r="D264" s="213"/>
      <c r="E264" s="215"/>
      <c r="F264" s="214"/>
      <c r="G264" s="214"/>
      <c r="H264" s="74" t="str">
        <f t="shared" si="6"/>
        <v/>
      </c>
      <c r="I264" s="188" t="str">
        <f t="shared" si="7"/>
        <v/>
      </c>
      <c r="J264" s="221"/>
    </row>
    <row r="265" spans="1:10" s="90" customFormat="1" ht="14.25" hidden="1" x14ac:dyDescent="0.3">
      <c r="A265" s="141"/>
      <c r="B265" s="160">
        <v>249</v>
      </c>
      <c r="C265" s="224"/>
      <c r="D265" s="216"/>
      <c r="E265" s="215"/>
      <c r="F265" s="217"/>
      <c r="G265" s="218"/>
      <c r="H265" s="74" t="str">
        <f t="shared" si="6"/>
        <v/>
      </c>
      <c r="I265" s="188" t="str">
        <f t="shared" si="7"/>
        <v/>
      </c>
      <c r="J265" s="221"/>
    </row>
    <row r="266" spans="1:10" s="90" customFormat="1" ht="14.25" hidden="1" x14ac:dyDescent="0.3">
      <c r="A266" s="141"/>
      <c r="B266" s="160">
        <v>250</v>
      </c>
      <c r="C266" s="224"/>
      <c r="D266" s="216"/>
      <c r="E266" s="215"/>
      <c r="F266" s="214"/>
      <c r="G266" s="214"/>
      <c r="H266" s="74" t="str">
        <f t="shared" si="6"/>
        <v/>
      </c>
      <c r="I266" s="188" t="str">
        <f t="shared" si="7"/>
        <v/>
      </c>
      <c r="J266" s="221"/>
    </row>
    <row r="267" spans="1:10" s="90" customFormat="1" ht="14.25" hidden="1" x14ac:dyDescent="0.3">
      <c r="A267" s="141"/>
      <c r="B267" s="160">
        <v>251</v>
      </c>
      <c r="C267" s="224"/>
      <c r="D267" s="213"/>
      <c r="E267" s="215"/>
      <c r="F267" s="214"/>
      <c r="G267" s="214"/>
      <c r="H267" s="74" t="str">
        <f t="shared" si="6"/>
        <v/>
      </c>
      <c r="I267" s="188" t="str">
        <f t="shared" si="7"/>
        <v/>
      </c>
      <c r="J267" s="221"/>
    </row>
    <row r="268" spans="1:10" s="90" customFormat="1" ht="14.25" hidden="1" x14ac:dyDescent="0.3">
      <c r="A268" s="141"/>
      <c r="B268" s="160">
        <v>252</v>
      </c>
      <c r="C268" s="224"/>
      <c r="D268" s="216"/>
      <c r="E268" s="215"/>
      <c r="F268" s="217"/>
      <c r="G268" s="218"/>
      <c r="H268" s="74" t="str">
        <f t="shared" si="6"/>
        <v/>
      </c>
      <c r="I268" s="188" t="str">
        <f t="shared" si="7"/>
        <v/>
      </c>
      <c r="J268" s="221"/>
    </row>
    <row r="269" spans="1:10" s="90" customFormat="1" ht="14.25" hidden="1" x14ac:dyDescent="0.3">
      <c r="A269" s="141"/>
      <c r="B269" s="160">
        <v>253</v>
      </c>
      <c r="C269" s="224"/>
      <c r="D269" s="216"/>
      <c r="E269" s="215"/>
      <c r="F269" s="214"/>
      <c r="G269" s="214"/>
      <c r="H269" s="74" t="str">
        <f t="shared" si="6"/>
        <v/>
      </c>
      <c r="I269" s="188" t="str">
        <f t="shared" si="7"/>
        <v/>
      </c>
      <c r="J269" s="221"/>
    </row>
    <row r="270" spans="1:10" s="90" customFormat="1" ht="14.25" hidden="1" x14ac:dyDescent="0.3">
      <c r="A270" s="141"/>
      <c r="B270" s="160">
        <v>254</v>
      </c>
      <c r="C270" s="224"/>
      <c r="D270" s="213"/>
      <c r="E270" s="215"/>
      <c r="F270" s="214"/>
      <c r="G270" s="214"/>
      <c r="H270" s="74" t="str">
        <f t="shared" si="6"/>
        <v/>
      </c>
      <c r="I270" s="188" t="str">
        <f t="shared" si="7"/>
        <v/>
      </c>
      <c r="J270" s="221"/>
    </row>
    <row r="271" spans="1:10" s="90" customFormat="1" ht="14.25" hidden="1" x14ac:dyDescent="0.3">
      <c r="A271" s="141"/>
      <c r="B271" s="160">
        <v>255</v>
      </c>
      <c r="C271" s="224"/>
      <c r="D271" s="216"/>
      <c r="E271" s="215"/>
      <c r="F271" s="217"/>
      <c r="G271" s="218"/>
      <c r="H271" s="74" t="str">
        <f t="shared" ref="H271:H302" si="8">ObterComplexidadeFuncao(E271,F271,G271)</f>
        <v/>
      </c>
      <c r="I271" s="188" t="str">
        <f t="shared" si="7"/>
        <v/>
      </c>
      <c r="J271" s="221"/>
    </row>
    <row r="272" spans="1:10" s="90" customFormat="1" ht="14.25" hidden="1" x14ac:dyDescent="0.3">
      <c r="A272" s="141"/>
      <c r="B272" s="160">
        <v>256</v>
      </c>
      <c r="C272" s="224"/>
      <c r="D272" s="216"/>
      <c r="E272" s="215"/>
      <c r="F272" s="214"/>
      <c r="G272" s="214"/>
      <c r="H272" s="74" t="str">
        <f t="shared" si="8"/>
        <v/>
      </c>
      <c r="I272" s="188" t="str">
        <f t="shared" si="7"/>
        <v/>
      </c>
      <c r="J272" s="221"/>
    </row>
    <row r="273" spans="1:10" s="90" customFormat="1" ht="14.25" hidden="1" x14ac:dyDescent="0.3">
      <c r="A273" s="141"/>
      <c r="B273" s="160">
        <v>257</v>
      </c>
      <c r="C273" s="224"/>
      <c r="D273" s="213"/>
      <c r="E273" s="215"/>
      <c r="F273" s="214"/>
      <c r="G273" s="214"/>
      <c r="H273" s="74" t="str">
        <f t="shared" si="8"/>
        <v/>
      </c>
      <c r="I273" s="188" t="str">
        <f t="shared" si="7"/>
        <v/>
      </c>
      <c r="J273" s="221"/>
    </row>
    <row r="274" spans="1:10" s="90" customFormat="1" ht="14.25" hidden="1" x14ac:dyDescent="0.3">
      <c r="A274" s="141"/>
      <c r="B274" s="160">
        <v>258</v>
      </c>
      <c r="C274" s="224"/>
      <c r="D274" s="216"/>
      <c r="E274" s="215"/>
      <c r="F274" s="217"/>
      <c r="G274" s="218"/>
      <c r="H274" s="74" t="str">
        <f t="shared" si="8"/>
        <v/>
      </c>
      <c r="I274" s="188" t="str">
        <f t="shared" ref="I274:I337" si="9">ObterContribuicaoFuncao(E274,H274)</f>
        <v/>
      </c>
      <c r="J274" s="221"/>
    </row>
    <row r="275" spans="1:10" s="90" customFormat="1" ht="14.25" hidden="1" x14ac:dyDescent="0.3">
      <c r="A275" s="141"/>
      <c r="B275" s="160">
        <v>259</v>
      </c>
      <c r="C275" s="224"/>
      <c r="D275" s="216"/>
      <c r="E275" s="215"/>
      <c r="F275" s="214"/>
      <c r="G275" s="214"/>
      <c r="H275" s="74" t="str">
        <f t="shared" si="8"/>
        <v/>
      </c>
      <c r="I275" s="188" t="str">
        <f t="shared" si="9"/>
        <v/>
      </c>
      <c r="J275" s="221"/>
    </row>
    <row r="276" spans="1:10" s="90" customFormat="1" ht="14.25" hidden="1" x14ac:dyDescent="0.3">
      <c r="A276" s="141"/>
      <c r="B276" s="160">
        <v>260</v>
      </c>
      <c r="C276" s="224"/>
      <c r="D276" s="213"/>
      <c r="E276" s="215"/>
      <c r="F276" s="214"/>
      <c r="G276" s="214"/>
      <c r="H276" s="74" t="str">
        <f t="shared" si="8"/>
        <v/>
      </c>
      <c r="I276" s="188" t="str">
        <f t="shared" si="9"/>
        <v/>
      </c>
      <c r="J276" s="221"/>
    </row>
    <row r="277" spans="1:10" s="90" customFormat="1" ht="14.25" hidden="1" x14ac:dyDescent="0.3">
      <c r="A277" s="141"/>
      <c r="B277" s="160">
        <v>261</v>
      </c>
      <c r="C277" s="224"/>
      <c r="D277" s="216"/>
      <c r="E277" s="215"/>
      <c r="F277" s="217"/>
      <c r="G277" s="218"/>
      <c r="H277" s="74" t="str">
        <f t="shared" si="8"/>
        <v/>
      </c>
      <c r="I277" s="188" t="str">
        <f t="shared" si="9"/>
        <v/>
      </c>
      <c r="J277" s="221"/>
    </row>
    <row r="278" spans="1:10" s="90" customFormat="1" ht="14.25" hidden="1" x14ac:dyDescent="0.3">
      <c r="A278" s="141"/>
      <c r="B278" s="160">
        <v>262</v>
      </c>
      <c r="C278" s="224"/>
      <c r="D278" s="216"/>
      <c r="E278" s="215"/>
      <c r="F278" s="214"/>
      <c r="G278" s="214"/>
      <c r="H278" s="74" t="str">
        <f t="shared" si="8"/>
        <v/>
      </c>
      <c r="I278" s="188" t="str">
        <f t="shared" si="9"/>
        <v/>
      </c>
      <c r="J278" s="221"/>
    </row>
    <row r="279" spans="1:10" s="90" customFormat="1" ht="14.25" hidden="1" x14ac:dyDescent="0.3">
      <c r="A279" s="141"/>
      <c r="B279" s="160">
        <v>263</v>
      </c>
      <c r="C279" s="224"/>
      <c r="D279" s="213"/>
      <c r="E279" s="215"/>
      <c r="F279" s="214"/>
      <c r="G279" s="214"/>
      <c r="H279" s="74" t="str">
        <f t="shared" si="8"/>
        <v/>
      </c>
      <c r="I279" s="188" t="str">
        <f t="shared" si="9"/>
        <v/>
      </c>
      <c r="J279" s="221"/>
    </row>
    <row r="280" spans="1:10" s="90" customFormat="1" ht="14.25" hidden="1" x14ac:dyDescent="0.3">
      <c r="A280" s="141"/>
      <c r="B280" s="160">
        <v>264</v>
      </c>
      <c r="C280" s="224"/>
      <c r="D280" s="216"/>
      <c r="E280" s="215"/>
      <c r="F280" s="217"/>
      <c r="G280" s="218"/>
      <c r="H280" s="74" t="str">
        <f t="shared" si="8"/>
        <v/>
      </c>
      <c r="I280" s="188" t="str">
        <f t="shared" si="9"/>
        <v/>
      </c>
      <c r="J280" s="221"/>
    </row>
    <row r="281" spans="1:10" s="90" customFormat="1" ht="14.25" hidden="1" x14ac:dyDescent="0.3">
      <c r="A281" s="141"/>
      <c r="B281" s="160">
        <v>265</v>
      </c>
      <c r="C281" s="224"/>
      <c r="D281" s="216"/>
      <c r="E281" s="215"/>
      <c r="F281" s="214"/>
      <c r="G281" s="214"/>
      <c r="H281" s="74" t="str">
        <f t="shared" si="8"/>
        <v/>
      </c>
      <c r="I281" s="188" t="str">
        <f t="shared" si="9"/>
        <v/>
      </c>
      <c r="J281" s="221"/>
    </row>
    <row r="282" spans="1:10" s="90" customFormat="1" ht="14.25" hidden="1" x14ac:dyDescent="0.3">
      <c r="A282" s="141"/>
      <c r="B282" s="160">
        <v>266</v>
      </c>
      <c r="C282" s="224"/>
      <c r="D282" s="213"/>
      <c r="E282" s="215"/>
      <c r="F282" s="217"/>
      <c r="G282" s="218"/>
      <c r="H282" s="74" t="str">
        <f t="shared" si="8"/>
        <v/>
      </c>
      <c r="I282" s="188" t="str">
        <f t="shared" si="9"/>
        <v/>
      </c>
      <c r="J282" s="221"/>
    </row>
    <row r="283" spans="1:10" s="90" customFormat="1" ht="14.25" hidden="1" x14ac:dyDescent="0.3">
      <c r="A283" s="141"/>
      <c r="B283" s="160">
        <v>267</v>
      </c>
      <c r="C283" s="224"/>
      <c r="D283" s="216"/>
      <c r="E283" s="215"/>
      <c r="F283" s="217"/>
      <c r="G283" s="218"/>
      <c r="H283" s="74" t="str">
        <f t="shared" si="8"/>
        <v/>
      </c>
      <c r="I283" s="188" t="str">
        <f t="shared" si="9"/>
        <v/>
      </c>
      <c r="J283" s="221"/>
    </row>
    <row r="284" spans="1:10" s="90" customFormat="1" ht="14.25" hidden="1" x14ac:dyDescent="0.3">
      <c r="A284" s="141"/>
      <c r="B284" s="160">
        <v>268</v>
      </c>
      <c r="C284" s="224"/>
      <c r="D284" s="213"/>
      <c r="E284" s="215"/>
      <c r="F284" s="217"/>
      <c r="G284" s="218"/>
      <c r="H284" s="74" t="str">
        <f t="shared" si="8"/>
        <v/>
      </c>
      <c r="I284" s="188" t="str">
        <f t="shared" si="9"/>
        <v/>
      </c>
      <c r="J284" s="221"/>
    </row>
    <row r="285" spans="1:10" s="90" customFormat="1" ht="14.25" hidden="1" x14ac:dyDescent="0.3">
      <c r="A285" s="141"/>
      <c r="B285" s="160">
        <v>269</v>
      </c>
      <c r="C285" s="224"/>
      <c r="D285" s="213"/>
      <c r="E285" s="215"/>
      <c r="F285" s="214"/>
      <c r="G285" s="214"/>
      <c r="H285" s="74" t="str">
        <f t="shared" si="8"/>
        <v/>
      </c>
      <c r="I285" s="188" t="str">
        <f t="shared" si="9"/>
        <v/>
      </c>
      <c r="J285" s="221"/>
    </row>
    <row r="286" spans="1:10" s="90" customFormat="1" ht="14.25" hidden="1" x14ac:dyDescent="0.3">
      <c r="A286" s="141"/>
      <c r="B286" s="160">
        <v>270</v>
      </c>
      <c r="C286" s="224"/>
      <c r="D286" s="216"/>
      <c r="E286" s="215"/>
      <c r="F286" s="217"/>
      <c r="G286" s="218"/>
      <c r="H286" s="74" t="str">
        <f t="shared" si="8"/>
        <v/>
      </c>
      <c r="I286" s="188" t="str">
        <f t="shared" si="9"/>
        <v/>
      </c>
      <c r="J286" s="221"/>
    </row>
    <row r="287" spans="1:10" s="90" customFormat="1" ht="14.25" hidden="1" x14ac:dyDescent="0.3">
      <c r="A287" s="141"/>
      <c r="B287" s="160">
        <v>271</v>
      </c>
      <c r="C287" s="224"/>
      <c r="D287" s="216"/>
      <c r="E287" s="215"/>
      <c r="F287" s="214"/>
      <c r="G287" s="214"/>
      <c r="H287" s="74" t="str">
        <f t="shared" si="8"/>
        <v/>
      </c>
      <c r="I287" s="188" t="str">
        <f t="shared" si="9"/>
        <v/>
      </c>
      <c r="J287" s="221"/>
    </row>
    <row r="288" spans="1:10" s="90" customFormat="1" ht="14.25" hidden="1" x14ac:dyDescent="0.3">
      <c r="A288" s="141"/>
      <c r="B288" s="160">
        <v>272</v>
      </c>
      <c r="C288" s="224"/>
      <c r="D288" s="213"/>
      <c r="E288" s="215"/>
      <c r="F288" s="214"/>
      <c r="G288" s="214"/>
      <c r="H288" s="74" t="str">
        <f t="shared" si="8"/>
        <v/>
      </c>
      <c r="I288" s="188" t="str">
        <f t="shared" si="9"/>
        <v/>
      </c>
      <c r="J288" s="221"/>
    </row>
    <row r="289" spans="1:10" s="90" customFormat="1" ht="14.25" hidden="1" x14ac:dyDescent="0.3">
      <c r="A289" s="141"/>
      <c r="B289" s="160">
        <v>273</v>
      </c>
      <c r="C289" s="224"/>
      <c r="D289" s="216"/>
      <c r="E289" s="215"/>
      <c r="F289" s="214"/>
      <c r="G289" s="214"/>
      <c r="H289" s="74" t="str">
        <f t="shared" si="8"/>
        <v/>
      </c>
      <c r="I289" s="188" t="str">
        <f t="shared" si="9"/>
        <v/>
      </c>
      <c r="J289" s="221"/>
    </row>
    <row r="290" spans="1:10" s="90" customFormat="1" ht="14.25" hidden="1" x14ac:dyDescent="0.3">
      <c r="A290" s="141"/>
      <c r="B290" s="160">
        <v>274</v>
      </c>
      <c r="C290" s="224"/>
      <c r="D290" s="216"/>
      <c r="E290" s="215"/>
      <c r="F290" s="214"/>
      <c r="G290" s="214"/>
      <c r="H290" s="74" t="str">
        <f t="shared" si="8"/>
        <v/>
      </c>
      <c r="I290" s="188" t="str">
        <f t="shared" si="9"/>
        <v/>
      </c>
      <c r="J290" s="221"/>
    </row>
    <row r="291" spans="1:10" s="90" customFormat="1" ht="14.25" hidden="1" x14ac:dyDescent="0.3">
      <c r="A291" s="141"/>
      <c r="B291" s="160">
        <v>275</v>
      </c>
      <c r="C291" s="224"/>
      <c r="D291" s="213"/>
      <c r="E291" s="215"/>
      <c r="F291" s="214"/>
      <c r="G291" s="214"/>
      <c r="H291" s="74" t="str">
        <f t="shared" si="8"/>
        <v/>
      </c>
      <c r="I291" s="188" t="str">
        <f t="shared" si="9"/>
        <v/>
      </c>
      <c r="J291" s="221"/>
    </row>
    <row r="292" spans="1:10" s="90" customFormat="1" ht="14.25" hidden="1" x14ac:dyDescent="0.3">
      <c r="A292" s="141"/>
      <c r="B292" s="160">
        <v>276</v>
      </c>
      <c r="C292" s="224"/>
      <c r="D292" s="216"/>
      <c r="E292" s="215"/>
      <c r="F292" s="217"/>
      <c r="G292" s="218"/>
      <c r="H292" s="74" t="str">
        <f t="shared" si="8"/>
        <v/>
      </c>
      <c r="I292" s="188" t="str">
        <f t="shared" si="9"/>
        <v/>
      </c>
      <c r="J292" s="221"/>
    </row>
    <row r="293" spans="1:10" s="90" customFormat="1" ht="14.25" hidden="1" x14ac:dyDescent="0.3">
      <c r="A293" s="141"/>
      <c r="B293" s="160">
        <v>277</v>
      </c>
      <c r="C293" s="224"/>
      <c r="D293" s="216"/>
      <c r="E293" s="215"/>
      <c r="F293" s="214"/>
      <c r="G293" s="214"/>
      <c r="H293" s="74" t="str">
        <f t="shared" si="8"/>
        <v/>
      </c>
      <c r="I293" s="188" t="str">
        <f t="shared" si="9"/>
        <v/>
      </c>
      <c r="J293" s="221"/>
    </row>
    <row r="294" spans="1:10" s="90" customFormat="1" ht="14.25" hidden="1" x14ac:dyDescent="0.3">
      <c r="A294" s="141"/>
      <c r="B294" s="160">
        <v>278</v>
      </c>
      <c r="C294" s="224"/>
      <c r="D294" s="213"/>
      <c r="E294" s="215"/>
      <c r="F294" s="214"/>
      <c r="G294" s="214"/>
      <c r="H294" s="74" t="str">
        <f t="shared" si="8"/>
        <v/>
      </c>
      <c r="I294" s="188" t="str">
        <f t="shared" si="9"/>
        <v/>
      </c>
      <c r="J294" s="221"/>
    </row>
    <row r="295" spans="1:10" s="90" customFormat="1" ht="14.25" hidden="1" x14ac:dyDescent="0.3">
      <c r="A295" s="141"/>
      <c r="B295" s="160">
        <v>279</v>
      </c>
      <c r="C295" s="224"/>
      <c r="D295" s="216"/>
      <c r="E295" s="215"/>
      <c r="F295" s="217"/>
      <c r="G295" s="218"/>
      <c r="H295" s="74" t="str">
        <f t="shared" si="8"/>
        <v/>
      </c>
      <c r="I295" s="188" t="str">
        <f t="shared" si="9"/>
        <v/>
      </c>
      <c r="J295" s="221"/>
    </row>
    <row r="296" spans="1:10" s="90" customFormat="1" ht="14.25" hidden="1" x14ac:dyDescent="0.3">
      <c r="A296" s="141"/>
      <c r="B296" s="160">
        <v>280</v>
      </c>
      <c r="C296" s="224"/>
      <c r="D296" s="216"/>
      <c r="E296" s="215"/>
      <c r="F296" s="214"/>
      <c r="G296" s="214"/>
      <c r="H296" s="74" t="str">
        <f t="shared" si="8"/>
        <v/>
      </c>
      <c r="I296" s="188" t="str">
        <f t="shared" si="9"/>
        <v/>
      </c>
      <c r="J296" s="221"/>
    </row>
    <row r="297" spans="1:10" s="90" customFormat="1" ht="14.25" hidden="1" x14ac:dyDescent="0.3">
      <c r="A297" s="141"/>
      <c r="B297" s="160">
        <v>281</v>
      </c>
      <c r="C297" s="224"/>
      <c r="D297" s="213"/>
      <c r="E297" s="215"/>
      <c r="F297" s="214"/>
      <c r="G297" s="214"/>
      <c r="H297" s="74" t="str">
        <f t="shared" si="8"/>
        <v/>
      </c>
      <c r="I297" s="188" t="str">
        <f t="shared" si="9"/>
        <v/>
      </c>
      <c r="J297" s="221"/>
    </row>
    <row r="298" spans="1:10" s="90" customFormat="1" ht="14.25" hidden="1" x14ac:dyDescent="0.3">
      <c r="A298" s="141"/>
      <c r="B298" s="160">
        <v>282</v>
      </c>
      <c r="C298" s="224"/>
      <c r="D298" s="216"/>
      <c r="E298" s="215"/>
      <c r="F298" s="217"/>
      <c r="G298" s="218"/>
      <c r="H298" s="74" t="str">
        <f t="shared" si="8"/>
        <v/>
      </c>
      <c r="I298" s="188" t="str">
        <f t="shared" si="9"/>
        <v/>
      </c>
      <c r="J298" s="221"/>
    </row>
    <row r="299" spans="1:10" s="90" customFormat="1" ht="14.25" hidden="1" x14ac:dyDescent="0.3">
      <c r="A299" s="141"/>
      <c r="B299" s="160">
        <v>283</v>
      </c>
      <c r="C299" s="224"/>
      <c r="D299" s="216"/>
      <c r="E299" s="215"/>
      <c r="F299" s="214"/>
      <c r="G299" s="214"/>
      <c r="H299" s="74" t="str">
        <f t="shared" si="8"/>
        <v/>
      </c>
      <c r="I299" s="188" t="str">
        <f t="shared" si="9"/>
        <v/>
      </c>
      <c r="J299" s="221"/>
    </row>
    <row r="300" spans="1:10" s="90" customFormat="1" ht="14.25" hidden="1" x14ac:dyDescent="0.3">
      <c r="A300" s="141"/>
      <c r="B300" s="160">
        <v>284</v>
      </c>
      <c r="C300" s="224"/>
      <c r="D300" s="213"/>
      <c r="E300" s="215"/>
      <c r="F300" s="214"/>
      <c r="G300" s="214"/>
      <c r="H300" s="74" t="str">
        <f t="shared" si="8"/>
        <v/>
      </c>
      <c r="I300" s="188" t="str">
        <f t="shared" si="9"/>
        <v/>
      </c>
      <c r="J300" s="221"/>
    </row>
    <row r="301" spans="1:10" s="90" customFormat="1" ht="14.25" hidden="1" x14ac:dyDescent="0.3">
      <c r="A301" s="141"/>
      <c r="B301" s="160">
        <v>285</v>
      </c>
      <c r="C301" s="224"/>
      <c r="D301" s="216"/>
      <c r="E301" s="215"/>
      <c r="F301" s="217"/>
      <c r="G301" s="218"/>
      <c r="H301" s="74" t="str">
        <f t="shared" si="8"/>
        <v/>
      </c>
      <c r="I301" s="188" t="str">
        <f t="shared" si="9"/>
        <v/>
      </c>
      <c r="J301" s="221"/>
    </row>
    <row r="302" spans="1:10" s="90" customFormat="1" ht="14.25" hidden="1" x14ac:dyDescent="0.3">
      <c r="A302" s="141"/>
      <c r="B302" s="160">
        <v>286</v>
      </c>
      <c r="C302" s="224"/>
      <c r="D302" s="216"/>
      <c r="E302" s="215"/>
      <c r="F302" s="214"/>
      <c r="G302" s="214"/>
      <c r="H302" s="74" t="str">
        <f t="shared" si="8"/>
        <v/>
      </c>
      <c r="I302" s="188" t="str">
        <f t="shared" si="9"/>
        <v/>
      </c>
      <c r="J302" s="221"/>
    </row>
    <row r="303" spans="1:10" s="90" customFormat="1" ht="14.25" hidden="1" x14ac:dyDescent="0.3">
      <c r="A303" s="141"/>
      <c r="B303" s="160">
        <v>287</v>
      </c>
      <c r="C303" s="224"/>
      <c r="D303" s="213"/>
      <c r="E303" s="215"/>
      <c r="F303" s="214"/>
      <c r="G303" s="214"/>
      <c r="H303" s="74" t="str">
        <f t="shared" ref="H303:H325" si="10">ObterComplexidadeFuncao(E303,F303,G303)</f>
        <v/>
      </c>
      <c r="I303" s="188" t="str">
        <f t="shared" si="9"/>
        <v/>
      </c>
      <c r="J303" s="221"/>
    </row>
    <row r="304" spans="1:10" s="90" customFormat="1" ht="14.25" hidden="1" x14ac:dyDescent="0.3">
      <c r="A304" s="141"/>
      <c r="B304" s="160">
        <v>288</v>
      </c>
      <c r="C304" s="224"/>
      <c r="D304" s="216"/>
      <c r="E304" s="215"/>
      <c r="F304" s="217"/>
      <c r="G304" s="218"/>
      <c r="H304" s="74" t="str">
        <f t="shared" si="10"/>
        <v/>
      </c>
      <c r="I304" s="188" t="str">
        <f t="shared" si="9"/>
        <v/>
      </c>
      <c r="J304" s="221"/>
    </row>
    <row r="305" spans="1:10" s="90" customFormat="1" ht="14.25" hidden="1" x14ac:dyDescent="0.3">
      <c r="A305" s="141"/>
      <c r="B305" s="160">
        <v>289</v>
      </c>
      <c r="C305" s="224"/>
      <c r="D305" s="216"/>
      <c r="E305" s="215"/>
      <c r="F305" s="214"/>
      <c r="G305" s="214"/>
      <c r="H305" s="74" t="str">
        <f t="shared" si="10"/>
        <v/>
      </c>
      <c r="I305" s="188" t="str">
        <f t="shared" si="9"/>
        <v/>
      </c>
      <c r="J305" s="221"/>
    </row>
    <row r="306" spans="1:10" s="90" customFormat="1" ht="14.25" hidden="1" x14ac:dyDescent="0.3">
      <c r="A306" s="141"/>
      <c r="B306" s="160">
        <v>290</v>
      </c>
      <c r="C306" s="224"/>
      <c r="D306" s="213"/>
      <c r="E306" s="215"/>
      <c r="F306" s="214"/>
      <c r="G306" s="214"/>
      <c r="H306" s="74" t="str">
        <f t="shared" si="10"/>
        <v/>
      </c>
      <c r="I306" s="188" t="str">
        <f t="shared" si="9"/>
        <v/>
      </c>
      <c r="J306" s="221"/>
    </row>
    <row r="307" spans="1:10" s="90" customFormat="1" ht="14.25" hidden="1" x14ac:dyDescent="0.3">
      <c r="A307" s="141"/>
      <c r="B307" s="160">
        <v>291</v>
      </c>
      <c r="C307" s="224"/>
      <c r="D307" s="216"/>
      <c r="E307" s="215"/>
      <c r="F307" s="217"/>
      <c r="G307" s="218"/>
      <c r="H307" s="74" t="str">
        <f t="shared" si="10"/>
        <v/>
      </c>
      <c r="I307" s="188" t="str">
        <f t="shared" si="9"/>
        <v/>
      </c>
      <c r="J307" s="221"/>
    </row>
    <row r="308" spans="1:10" s="90" customFormat="1" ht="14.25" hidden="1" x14ac:dyDescent="0.3">
      <c r="A308" s="141"/>
      <c r="B308" s="160">
        <v>292</v>
      </c>
      <c r="C308" s="224"/>
      <c r="D308" s="216"/>
      <c r="E308" s="215"/>
      <c r="F308" s="214"/>
      <c r="G308" s="214"/>
      <c r="H308" s="74" t="str">
        <f t="shared" si="10"/>
        <v/>
      </c>
      <c r="I308" s="188" t="str">
        <f t="shared" si="9"/>
        <v/>
      </c>
      <c r="J308" s="221"/>
    </row>
    <row r="309" spans="1:10" s="90" customFormat="1" ht="14.25" hidden="1" x14ac:dyDescent="0.3">
      <c r="A309" s="141"/>
      <c r="B309" s="160">
        <v>293</v>
      </c>
      <c r="C309" s="224"/>
      <c r="D309" s="213"/>
      <c r="E309" s="215"/>
      <c r="F309" s="217"/>
      <c r="G309" s="218"/>
      <c r="H309" s="74" t="str">
        <f t="shared" si="10"/>
        <v/>
      </c>
      <c r="I309" s="188" t="str">
        <f t="shared" si="9"/>
        <v/>
      </c>
      <c r="J309" s="221"/>
    </row>
    <row r="310" spans="1:10" s="90" customFormat="1" ht="14.25" hidden="1" x14ac:dyDescent="0.3">
      <c r="A310" s="141"/>
      <c r="B310" s="160">
        <v>294</v>
      </c>
      <c r="C310" s="224"/>
      <c r="D310" s="216"/>
      <c r="E310" s="215"/>
      <c r="F310" s="217"/>
      <c r="G310" s="218"/>
      <c r="H310" s="74" t="str">
        <f t="shared" si="10"/>
        <v/>
      </c>
      <c r="I310" s="188" t="str">
        <f t="shared" si="9"/>
        <v/>
      </c>
      <c r="J310" s="221"/>
    </row>
    <row r="311" spans="1:10" s="90" customFormat="1" ht="14.25" hidden="1" x14ac:dyDescent="0.3">
      <c r="A311" s="141"/>
      <c r="B311" s="160">
        <v>295</v>
      </c>
      <c r="C311" s="224"/>
      <c r="D311" s="213"/>
      <c r="E311" s="215"/>
      <c r="F311" s="217"/>
      <c r="G311" s="218"/>
      <c r="H311" s="74" t="str">
        <f t="shared" si="10"/>
        <v/>
      </c>
      <c r="I311" s="188" t="str">
        <f t="shared" si="9"/>
        <v/>
      </c>
      <c r="J311" s="221"/>
    </row>
    <row r="312" spans="1:10" s="90" customFormat="1" ht="14.25" hidden="1" x14ac:dyDescent="0.3">
      <c r="A312" s="141"/>
      <c r="B312" s="160">
        <v>296</v>
      </c>
      <c r="C312" s="224"/>
      <c r="D312" s="213"/>
      <c r="E312" s="215"/>
      <c r="F312" s="217"/>
      <c r="G312" s="218"/>
      <c r="H312" s="74" t="str">
        <f t="shared" si="10"/>
        <v/>
      </c>
      <c r="I312" s="188" t="str">
        <f t="shared" si="9"/>
        <v/>
      </c>
      <c r="J312" s="221"/>
    </row>
    <row r="313" spans="1:10" s="90" customFormat="1" ht="14.25" hidden="1" x14ac:dyDescent="0.3">
      <c r="A313" s="141"/>
      <c r="B313" s="160">
        <v>297</v>
      </c>
      <c r="C313" s="224"/>
      <c r="D313" s="216"/>
      <c r="E313" s="215"/>
      <c r="F313" s="217"/>
      <c r="G313" s="218"/>
      <c r="H313" s="74" t="str">
        <f t="shared" si="10"/>
        <v/>
      </c>
      <c r="I313" s="188" t="str">
        <f t="shared" si="9"/>
        <v/>
      </c>
      <c r="J313" s="221"/>
    </row>
    <row r="314" spans="1:10" s="90" customFormat="1" ht="14.25" hidden="1" x14ac:dyDescent="0.3">
      <c r="A314" s="141"/>
      <c r="B314" s="160">
        <v>298</v>
      </c>
      <c r="C314" s="224"/>
      <c r="D314" s="213"/>
      <c r="E314" s="215"/>
      <c r="F314" s="217"/>
      <c r="G314" s="218"/>
      <c r="H314" s="74" t="str">
        <f t="shared" si="10"/>
        <v/>
      </c>
      <c r="I314" s="188" t="str">
        <f t="shared" si="9"/>
        <v/>
      </c>
      <c r="J314" s="221"/>
    </row>
    <row r="315" spans="1:10" s="90" customFormat="1" ht="14.25" hidden="1" x14ac:dyDescent="0.3">
      <c r="A315" s="141"/>
      <c r="B315" s="160">
        <v>299</v>
      </c>
      <c r="C315" s="224"/>
      <c r="D315" s="213"/>
      <c r="E315" s="215"/>
      <c r="F315" s="217"/>
      <c r="G315" s="218"/>
      <c r="H315" s="74" t="str">
        <f t="shared" si="10"/>
        <v/>
      </c>
      <c r="I315" s="188" t="str">
        <f t="shared" si="9"/>
        <v/>
      </c>
      <c r="J315" s="221"/>
    </row>
    <row r="316" spans="1:10" s="90" customFormat="1" ht="14.25" hidden="1" x14ac:dyDescent="0.3">
      <c r="A316" s="141"/>
      <c r="B316" s="160">
        <v>300</v>
      </c>
      <c r="C316" s="224"/>
      <c r="D316" s="216"/>
      <c r="E316" s="215"/>
      <c r="F316" s="217"/>
      <c r="G316" s="218"/>
      <c r="H316" s="74" t="str">
        <f t="shared" si="10"/>
        <v/>
      </c>
      <c r="I316" s="188" t="str">
        <f t="shared" si="9"/>
        <v/>
      </c>
      <c r="J316" s="221"/>
    </row>
    <row r="317" spans="1:10" s="90" customFormat="1" ht="14.25" hidden="1" x14ac:dyDescent="0.3">
      <c r="A317" s="141"/>
      <c r="B317" s="160">
        <v>301</v>
      </c>
      <c r="C317" s="224"/>
      <c r="D317" s="213"/>
      <c r="E317" s="215"/>
      <c r="F317" s="217"/>
      <c r="G317" s="218"/>
      <c r="H317" s="74" t="str">
        <f t="shared" si="10"/>
        <v/>
      </c>
      <c r="I317" s="188" t="str">
        <f t="shared" si="9"/>
        <v/>
      </c>
      <c r="J317" s="221"/>
    </row>
    <row r="318" spans="1:10" s="90" customFormat="1" ht="14.25" hidden="1" x14ac:dyDescent="0.3">
      <c r="A318" s="141"/>
      <c r="B318" s="160">
        <v>302</v>
      </c>
      <c r="C318" s="224"/>
      <c r="D318" s="213"/>
      <c r="E318" s="215"/>
      <c r="F318" s="217"/>
      <c r="G318" s="218"/>
      <c r="H318" s="74" t="str">
        <f t="shared" si="10"/>
        <v/>
      </c>
      <c r="I318" s="188" t="str">
        <f t="shared" si="9"/>
        <v/>
      </c>
      <c r="J318" s="221"/>
    </row>
    <row r="319" spans="1:10" s="90" customFormat="1" ht="14.25" hidden="1" x14ac:dyDescent="0.3">
      <c r="A319" s="141"/>
      <c r="B319" s="160">
        <v>303</v>
      </c>
      <c r="C319" s="224"/>
      <c r="D319" s="216"/>
      <c r="E319" s="215"/>
      <c r="F319" s="217"/>
      <c r="G319" s="218"/>
      <c r="H319" s="74" t="str">
        <f t="shared" si="10"/>
        <v/>
      </c>
      <c r="I319" s="188" t="str">
        <f t="shared" si="9"/>
        <v/>
      </c>
      <c r="J319" s="221"/>
    </row>
    <row r="320" spans="1:10" s="90" customFormat="1" ht="14.25" hidden="1" x14ac:dyDescent="0.3">
      <c r="A320" s="141"/>
      <c r="B320" s="160">
        <v>304</v>
      </c>
      <c r="C320" s="224"/>
      <c r="D320" s="213"/>
      <c r="E320" s="215"/>
      <c r="F320" s="217"/>
      <c r="G320" s="218"/>
      <c r="H320" s="74" t="str">
        <f t="shared" si="10"/>
        <v/>
      </c>
      <c r="I320" s="188" t="str">
        <f t="shared" si="9"/>
        <v/>
      </c>
      <c r="J320" s="221"/>
    </row>
    <row r="321" spans="1:10" s="90" customFormat="1" ht="14.25" hidden="1" x14ac:dyDescent="0.3">
      <c r="A321" s="141"/>
      <c r="B321" s="160">
        <v>305</v>
      </c>
      <c r="C321" s="224"/>
      <c r="D321" s="213"/>
      <c r="E321" s="215"/>
      <c r="F321" s="217"/>
      <c r="G321" s="218"/>
      <c r="H321" s="74" t="str">
        <f t="shared" si="10"/>
        <v/>
      </c>
      <c r="I321" s="188" t="str">
        <f t="shared" si="9"/>
        <v/>
      </c>
      <c r="J321" s="221"/>
    </row>
    <row r="322" spans="1:10" s="90" customFormat="1" ht="14.25" hidden="1" x14ac:dyDescent="0.3">
      <c r="A322" s="141"/>
      <c r="B322" s="160">
        <v>306</v>
      </c>
      <c r="C322" s="224"/>
      <c r="D322" s="216"/>
      <c r="E322" s="215"/>
      <c r="F322" s="217"/>
      <c r="G322" s="218"/>
      <c r="H322" s="74" t="str">
        <f t="shared" si="10"/>
        <v/>
      </c>
      <c r="I322" s="188" t="str">
        <f t="shared" si="9"/>
        <v/>
      </c>
      <c r="J322" s="221"/>
    </row>
    <row r="323" spans="1:10" s="90" customFormat="1" ht="14.25" hidden="1" x14ac:dyDescent="0.3">
      <c r="A323" s="141"/>
      <c r="B323" s="160">
        <v>307</v>
      </c>
      <c r="C323" s="224"/>
      <c r="D323" s="213"/>
      <c r="E323" s="215"/>
      <c r="F323" s="217"/>
      <c r="G323" s="218"/>
      <c r="H323" s="74" t="str">
        <f t="shared" si="10"/>
        <v/>
      </c>
      <c r="I323" s="188" t="str">
        <f t="shared" si="9"/>
        <v/>
      </c>
      <c r="J323" s="221"/>
    </row>
    <row r="324" spans="1:10" s="90" customFormat="1" ht="14.25" hidden="1" x14ac:dyDescent="0.3">
      <c r="A324" s="141"/>
      <c r="B324" s="160">
        <v>308</v>
      </c>
      <c r="C324" s="224"/>
      <c r="D324" s="213"/>
      <c r="E324" s="215"/>
      <c r="F324" s="214"/>
      <c r="G324" s="214"/>
      <c r="H324" s="74" t="str">
        <f t="shared" si="10"/>
        <v/>
      </c>
      <c r="I324" s="188" t="str">
        <f t="shared" si="9"/>
        <v/>
      </c>
      <c r="J324" s="221"/>
    </row>
    <row r="325" spans="1:10" s="90" customFormat="1" ht="14.25" hidden="1" x14ac:dyDescent="0.3">
      <c r="A325" s="141"/>
      <c r="B325" s="160">
        <v>309</v>
      </c>
      <c r="C325" s="224"/>
      <c r="D325" s="216"/>
      <c r="E325" s="215"/>
      <c r="F325" s="217"/>
      <c r="G325" s="218"/>
      <c r="H325" s="74" t="str">
        <f t="shared" si="10"/>
        <v/>
      </c>
      <c r="I325" s="188" t="str">
        <f t="shared" si="9"/>
        <v/>
      </c>
      <c r="J325" s="221"/>
    </row>
    <row r="326" spans="1:10" s="90" customFormat="1" ht="14.25" hidden="1" x14ac:dyDescent="0.3">
      <c r="A326" s="141"/>
      <c r="B326" s="160">
        <v>310</v>
      </c>
      <c r="C326" s="224"/>
      <c r="D326" s="216"/>
      <c r="E326" s="215"/>
      <c r="F326" s="214"/>
      <c r="G326" s="214"/>
      <c r="H326" s="74" t="str">
        <f t="shared" ref="H326:H389" si="11">ObterComplexidadeFuncao(E326,F326,G326)</f>
        <v/>
      </c>
      <c r="I326" s="188" t="str">
        <f t="shared" si="9"/>
        <v/>
      </c>
      <c r="J326" s="221"/>
    </row>
    <row r="327" spans="1:10" s="90" customFormat="1" ht="14.25" hidden="1" x14ac:dyDescent="0.3">
      <c r="A327" s="141"/>
      <c r="B327" s="160">
        <v>311</v>
      </c>
      <c r="C327" s="224"/>
      <c r="D327" s="213"/>
      <c r="E327" s="215"/>
      <c r="F327" s="217"/>
      <c r="G327" s="218"/>
      <c r="H327" s="74" t="str">
        <f t="shared" si="11"/>
        <v/>
      </c>
      <c r="I327" s="188" t="str">
        <f t="shared" si="9"/>
        <v/>
      </c>
      <c r="J327" s="221"/>
    </row>
    <row r="328" spans="1:10" s="90" customFormat="1" ht="14.25" hidden="1" x14ac:dyDescent="0.3">
      <c r="A328" s="141"/>
      <c r="B328" s="160">
        <v>312</v>
      </c>
      <c r="C328" s="224"/>
      <c r="D328" s="216"/>
      <c r="E328" s="215"/>
      <c r="F328" s="217"/>
      <c r="G328" s="218"/>
      <c r="H328" s="74" t="str">
        <f t="shared" si="11"/>
        <v/>
      </c>
      <c r="I328" s="188" t="str">
        <f t="shared" si="9"/>
        <v/>
      </c>
      <c r="J328" s="221"/>
    </row>
    <row r="329" spans="1:10" s="90" customFormat="1" ht="14.25" hidden="1" x14ac:dyDescent="0.3">
      <c r="A329" s="141"/>
      <c r="B329" s="160">
        <v>313</v>
      </c>
      <c r="C329" s="224"/>
      <c r="D329" s="213"/>
      <c r="E329" s="215"/>
      <c r="F329" s="217"/>
      <c r="G329" s="218"/>
      <c r="H329" s="74" t="str">
        <f t="shared" si="11"/>
        <v/>
      </c>
      <c r="I329" s="188" t="str">
        <f t="shared" si="9"/>
        <v/>
      </c>
      <c r="J329" s="221"/>
    </row>
    <row r="330" spans="1:10" s="90" customFormat="1" ht="14.25" hidden="1" x14ac:dyDescent="0.3">
      <c r="A330" s="141"/>
      <c r="B330" s="160">
        <v>314</v>
      </c>
      <c r="C330" s="224"/>
      <c r="D330" s="213"/>
      <c r="E330" s="215"/>
      <c r="F330" s="217"/>
      <c r="G330" s="218"/>
      <c r="H330" s="74" t="str">
        <f t="shared" si="11"/>
        <v/>
      </c>
      <c r="I330" s="188" t="str">
        <f t="shared" si="9"/>
        <v/>
      </c>
      <c r="J330" s="221"/>
    </row>
    <row r="331" spans="1:10" s="90" customFormat="1" ht="14.25" hidden="1" x14ac:dyDescent="0.3">
      <c r="A331" s="141"/>
      <c r="B331" s="160">
        <v>315</v>
      </c>
      <c r="C331" s="224"/>
      <c r="D331" s="216"/>
      <c r="E331" s="215"/>
      <c r="F331" s="217"/>
      <c r="G331" s="218"/>
      <c r="H331" s="74" t="str">
        <f t="shared" si="11"/>
        <v/>
      </c>
      <c r="I331" s="188" t="str">
        <f t="shared" si="9"/>
        <v/>
      </c>
      <c r="J331" s="221"/>
    </row>
    <row r="332" spans="1:10" s="90" customFormat="1" ht="14.25" hidden="1" x14ac:dyDescent="0.3">
      <c r="A332" s="141"/>
      <c r="B332" s="160">
        <v>316</v>
      </c>
      <c r="C332" s="224"/>
      <c r="D332" s="213"/>
      <c r="E332" s="215"/>
      <c r="F332" s="217"/>
      <c r="G332" s="218"/>
      <c r="H332" s="74" t="str">
        <f t="shared" si="11"/>
        <v/>
      </c>
      <c r="I332" s="188" t="str">
        <f t="shared" si="9"/>
        <v/>
      </c>
      <c r="J332" s="221"/>
    </row>
    <row r="333" spans="1:10" s="90" customFormat="1" ht="14.25" hidden="1" x14ac:dyDescent="0.3">
      <c r="A333" s="141"/>
      <c r="B333" s="160">
        <v>317</v>
      </c>
      <c r="C333" s="224"/>
      <c r="D333" s="213"/>
      <c r="E333" s="215"/>
      <c r="F333" s="217"/>
      <c r="G333" s="218"/>
      <c r="H333" s="74" t="str">
        <f t="shared" si="11"/>
        <v/>
      </c>
      <c r="I333" s="188" t="str">
        <f t="shared" si="9"/>
        <v/>
      </c>
      <c r="J333" s="221"/>
    </row>
    <row r="334" spans="1:10" s="90" customFormat="1" ht="14.25" hidden="1" x14ac:dyDescent="0.3">
      <c r="A334" s="141"/>
      <c r="B334" s="160">
        <v>318</v>
      </c>
      <c r="C334" s="224"/>
      <c r="D334" s="216"/>
      <c r="E334" s="215"/>
      <c r="F334" s="217"/>
      <c r="G334" s="218"/>
      <c r="H334" s="74" t="str">
        <f t="shared" si="11"/>
        <v/>
      </c>
      <c r="I334" s="188" t="str">
        <f t="shared" si="9"/>
        <v/>
      </c>
      <c r="J334" s="221"/>
    </row>
    <row r="335" spans="1:10" s="90" customFormat="1" ht="14.25" hidden="1" x14ac:dyDescent="0.3">
      <c r="A335" s="141"/>
      <c r="B335" s="160">
        <v>319</v>
      </c>
      <c r="C335" s="224"/>
      <c r="D335" s="216"/>
      <c r="E335" s="215"/>
      <c r="F335" s="217"/>
      <c r="G335" s="218"/>
      <c r="H335" s="74" t="str">
        <f t="shared" si="11"/>
        <v/>
      </c>
      <c r="I335" s="188" t="str">
        <f t="shared" si="9"/>
        <v/>
      </c>
      <c r="J335" s="221"/>
    </row>
    <row r="336" spans="1:10" s="90" customFormat="1" ht="14.25" hidden="1" x14ac:dyDescent="0.3">
      <c r="A336" s="141"/>
      <c r="B336" s="160">
        <v>320</v>
      </c>
      <c r="C336" s="224"/>
      <c r="D336" s="213"/>
      <c r="E336" s="215"/>
      <c r="F336" s="217"/>
      <c r="G336" s="218"/>
      <c r="H336" s="74" t="str">
        <f t="shared" si="11"/>
        <v/>
      </c>
      <c r="I336" s="188" t="str">
        <f t="shared" si="9"/>
        <v/>
      </c>
      <c r="J336" s="221"/>
    </row>
    <row r="337" spans="1:10" s="90" customFormat="1" ht="14.25" hidden="1" x14ac:dyDescent="0.3">
      <c r="A337" s="141"/>
      <c r="B337" s="160">
        <v>321</v>
      </c>
      <c r="C337" s="224"/>
      <c r="D337" s="216"/>
      <c r="E337" s="215"/>
      <c r="F337" s="217"/>
      <c r="G337" s="218"/>
      <c r="H337" s="74" t="str">
        <f t="shared" si="11"/>
        <v/>
      </c>
      <c r="I337" s="188" t="str">
        <f t="shared" si="9"/>
        <v/>
      </c>
      <c r="J337" s="221"/>
    </row>
    <row r="338" spans="1:10" s="90" customFormat="1" ht="14.25" hidden="1" x14ac:dyDescent="0.3">
      <c r="A338" s="141"/>
      <c r="B338" s="160">
        <v>322</v>
      </c>
      <c r="C338" s="224"/>
      <c r="D338" s="216"/>
      <c r="E338" s="215"/>
      <c r="F338" s="217"/>
      <c r="G338" s="218"/>
      <c r="H338" s="74" t="str">
        <f t="shared" si="11"/>
        <v/>
      </c>
      <c r="I338" s="188" t="str">
        <f t="shared" ref="I338:I401" si="12">ObterContribuicaoFuncao(E338,H338)</f>
        <v/>
      </c>
      <c r="J338" s="221"/>
    </row>
    <row r="339" spans="1:10" s="90" customFormat="1" ht="14.25" hidden="1" x14ac:dyDescent="0.3">
      <c r="A339" s="141"/>
      <c r="B339" s="160">
        <v>323</v>
      </c>
      <c r="C339" s="224"/>
      <c r="D339" s="213"/>
      <c r="E339" s="215"/>
      <c r="F339" s="217"/>
      <c r="G339" s="218"/>
      <c r="H339" s="74" t="str">
        <f t="shared" si="11"/>
        <v/>
      </c>
      <c r="I339" s="188" t="str">
        <f t="shared" si="12"/>
        <v/>
      </c>
      <c r="J339" s="221"/>
    </row>
    <row r="340" spans="1:10" s="90" customFormat="1" ht="14.25" hidden="1" x14ac:dyDescent="0.3">
      <c r="A340" s="141"/>
      <c r="B340" s="160">
        <v>324</v>
      </c>
      <c r="C340" s="224"/>
      <c r="D340" s="213"/>
      <c r="E340" s="215"/>
      <c r="F340" s="217"/>
      <c r="G340" s="218"/>
      <c r="H340" s="74" t="str">
        <f t="shared" si="11"/>
        <v/>
      </c>
      <c r="I340" s="188" t="str">
        <f t="shared" si="12"/>
        <v/>
      </c>
      <c r="J340" s="221"/>
    </row>
    <row r="341" spans="1:10" s="90" customFormat="1" ht="14.25" hidden="1" x14ac:dyDescent="0.3">
      <c r="A341" s="141"/>
      <c r="B341" s="160">
        <v>325</v>
      </c>
      <c r="C341" s="224"/>
      <c r="D341" s="213"/>
      <c r="E341" s="215"/>
      <c r="F341" s="217"/>
      <c r="G341" s="218"/>
      <c r="H341" s="74" t="str">
        <f t="shared" si="11"/>
        <v/>
      </c>
      <c r="I341" s="188" t="str">
        <f t="shared" si="12"/>
        <v/>
      </c>
      <c r="J341" s="221"/>
    </row>
    <row r="342" spans="1:10" s="90" customFormat="1" ht="14.25" hidden="1" x14ac:dyDescent="0.3">
      <c r="A342" s="141"/>
      <c r="B342" s="160">
        <v>326</v>
      </c>
      <c r="C342" s="224"/>
      <c r="D342" s="213"/>
      <c r="E342" s="215"/>
      <c r="F342" s="217"/>
      <c r="G342" s="218"/>
      <c r="H342" s="74" t="str">
        <f t="shared" si="11"/>
        <v/>
      </c>
      <c r="I342" s="188" t="str">
        <f t="shared" si="12"/>
        <v/>
      </c>
      <c r="J342" s="221"/>
    </row>
    <row r="343" spans="1:10" s="90" customFormat="1" ht="14.25" hidden="1" x14ac:dyDescent="0.3">
      <c r="A343" s="141"/>
      <c r="B343" s="160">
        <v>327</v>
      </c>
      <c r="C343" s="224"/>
      <c r="D343" s="213"/>
      <c r="E343" s="215"/>
      <c r="F343" s="217"/>
      <c r="G343" s="218"/>
      <c r="H343" s="74" t="str">
        <f t="shared" si="11"/>
        <v/>
      </c>
      <c r="I343" s="188" t="str">
        <f t="shared" si="12"/>
        <v/>
      </c>
      <c r="J343" s="221"/>
    </row>
    <row r="344" spans="1:10" s="90" customFormat="1" ht="14.25" hidden="1" x14ac:dyDescent="0.3">
      <c r="A344" s="141"/>
      <c r="B344" s="160">
        <v>328</v>
      </c>
      <c r="C344" s="224"/>
      <c r="D344" s="213"/>
      <c r="E344" s="215"/>
      <c r="F344" s="217"/>
      <c r="G344" s="218"/>
      <c r="H344" s="74" t="str">
        <f t="shared" si="11"/>
        <v/>
      </c>
      <c r="I344" s="188" t="str">
        <f t="shared" si="12"/>
        <v/>
      </c>
      <c r="J344" s="221"/>
    </row>
    <row r="345" spans="1:10" s="90" customFormat="1" ht="14.25" hidden="1" x14ac:dyDescent="0.3">
      <c r="A345" s="141"/>
      <c r="B345" s="160">
        <v>329</v>
      </c>
      <c r="C345" s="224"/>
      <c r="D345" s="213"/>
      <c r="E345" s="215"/>
      <c r="F345" s="217"/>
      <c r="G345" s="218"/>
      <c r="H345" s="74" t="str">
        <f t="shared" si="11"/>
        <v/>
      </c>
      <c r="I345" s="188" t="str">
        <f t="shared" si="12"/>
        <v/>
      </c>
      <c r="J345" s="221"/>
    </row>
    <row r="346" spans="1:10" s="90" customFormat="1" ht="14.25" hidden="1" x14ac:dyDescent="0.3">
      <c r="A346" s="141"/>
      <c r="B346" s="160">
        <v>330</v>
      </c>
      <c r="C346" s="224"/>
      <c r="D346" s="213"/>
      <c r="E346" s="215"/>
      <c r="F346" s="217"/>
      <c r="G346" s="218"/>
      <c r="H346" s="74" t="str">
        <f t="shared" si="11"/>
        <v/>
      </c>
      <c r="I346" s="188" t="str">
        <f t="shared" si="12"/>
        <v/>
      </c>
      <c r="J346" s="221"/>
    </row>
    <row r="347" spans="1:10" s="90" customFormat="1" ht="14.25" hidden="1" x14ac:dyDescent="0.3">
      <c r="A347" s="141"/>
      <c r="B347" s="160">
        <v>331</v>
      </c>
      <c r="C347" s="224"/>
      <c r="D347" s="213"/>
      <c r="E347" s="215"/>
      <c r="F347" s="217"/>
      <c r="G347" s="218"/>
      <c r="H347" s="74" t="str">
        <f t="shared" si="11"/>
        <v/>
      </c>
      <c r="I347" s="188" t="str">
        <f t="shared" si="12"/>
        <v/>
      </c>
      <c r="J347" s="221"/>
    </row>
    <row r="348" spans="1:10" s="90" customFormat="1" ht="14.25" hidden="1" x14ac:dyDescent="0.3">
      <c r="A348" s="141"/>
      <c r="B348" s="160">
        <v>332</v>
      </c>
      <c r="C348" s="224"/>
      <c r="D348" s="213"/>
      <c r="E348" s="215"/>
      <c r="F348" s="217"/>
      <c r="G348" s="218"/>
      <c r="H348" s="74" t="str">
        <f t="shared" si="11"/>
        <v/>
      </c>
      <c r="I348" s="188" t="str">
        <f t="shared" si="12"/>
        <v/>
      </c>
      <c r="J348" s="221"/>
    </row>
    <row r="349" spans="1:10" s="90" customFormat="1" ht="14.25" hidden="1" x14ac:dyDescent="0.3">
      <c r="A349" s="141"/>
      <c r="B349" s="160">
        <v>333</v>
      </c>
      <c r="C349" s="224"/>
      <c r="D349" s="213"/>
      <c r="E349" s="215"/>
      <c r="F349" s="217"/>
      <c r="G349" s="218"/>
      <c r="H349" s="74" t="str">
        <f t="shared" si="11"/>
        <v/>
      </c>
      <c r="I349" s="188" t="str">
        <f t="shared" si="12"/>
        <v/>
      </c>
      <c r="J349" s="221"/>
    </row>
    <row r="350" spans="1:10" s="90" customFormat="1" ht="14.25" hidden="1" x14ac:dyDescent="0.3">
      <c r="A350" s="141"/>
      <c r="B350" s="160">
        <v>334</v>
      </c>
      <c r="C350" s="224"/>
      <c r="D350" s="213"/>
      <c r="E350" s="215"/>
      <c r="F350" s="217"/>
      <c r="G350" s="218"/>
      <c r="H350" s="74" t="str">
        <f t="shared" si="11"/>
        <v/>
      </c>
      <c r="I350" s="188" t="str">
        <f t="shared" si="12"/>
        <v/>
      </c>
      <c r="J350" s="221"/>
    </row>
    <row r="351" spans="1:10" s="90" customFormat="1" ht="14.25" hidden="1" x14ac:dyDescent="0.3">
      <c r="A351" s="141"/>
      <c r="B351" s="160">
        <v>335</v>
      </c>
      <c r="C351" s="224"/>
      <c r="D351" s="213"/>
      <c r="E351" s="215"/>
      <c r="F351" s="217"/>
      <c r="G351" s="218"/>
      <c r="H351" s="74" t="str">
        <f t="shared" si="11"/>
        <v/>
      </c>
      <c r="I351" s="188" t="str">
        <f t="shared" si="12"/>
        <v/>
      </c>
      <c r="J351" s="221"/>
    </row>
    <row r="352" spans="1:10" s="90" customFormat="1" ht="14.25" hidden="1" x14ac:dyDescent="0.3">
      <c r="A352" s="141"/>
      <c r="B352" s="160">
        <v>336</v>
      </c>
      <c r="C352" s="224"/>
      <c r="D352" s="213"/>
      <c r="E352" s="215"/>
      <c r="F352" s="217"/>
      <c r="G352" s="218"/>
      <c r="H352" s="74" t="str">
        <f t="shared" si="11"/>
        <v/>
      </c>
      <c r="I352" s="188" t="str">
        <f t="shared" si="12"/>
        <v/>
      </c>
      <c r="J352" s="221"/>
    </row>
    <row r="353" spans="1:10" s="90" customFormat="1" ht="14.25" hidden="1" x14ac:dyDescent="0.3">
      <c r="A353" s="141"/>
      <c r="B353" s="160">
        <v>337</v>
      </c>
      <c r="C353" s="224"/>
      <c r="D353" s="213"/>
      <c r="E353" s="215"/>
      <c r="F353" s="217"/>
      <c r="G353" s="218"/>
      <c r="H353" s="74" t="str">
        <f t="shared" si="11"/>
        <v/>
      </c>
      <c r="I353" s="188" t="str">
        <f t="shared" si="12"/>
        <v/>
      </c>
      <c r="J353" s="221"/>
    </row>
    <row r="354" spans="1:10" s="90" customFormat="1" ht="14.25" hidden="1" x14ac:dyDescent="0.3">
      <c r="A354" s="141"/>
      <c r="B354" s="160">
        <v>338</v>
      </c>
      <c r="C354" s="224"/>
      <c r="D354" s="213"/>
      <c r="E354" s="215"/>
      <c r="F354" s="217"/>
      <c r="G354" s="218"/>
      <c r="H354" s="74" t="str">
        <f t="shared" si="11"/>
        <v/>
      </c>
      <c r="I354" s="188" t="str">
        <f t="shared" si="12"/>
        <v/>
      </c>
      <c r="J354" s="221"/>
    </row>
    <row r="355" spans="1:10" s="90" customFormat="1" ht="14.25" hidden="1" x14ac:dyDescent="0.3">
      <c r="A355" s="141"/>
      <c r="B355" s="160">
        <v>339</v>
      </c>
      <c r="C355" s="224"/>
      <c r="D355" s="213"/>
      <c r="E355" s="215"/>
      <c r="F355" s="217"/>
      <c r="G355" s="218"/>
      <c r="H355" s="74" t="str">
        <f t="shared" si="11"/>
        <v/>
      </c>
      <c r="I355" s="188" t="str">
        <f t="shared" si="12"/>
        <v/>
      </c>
      <c r="J355" s="221"/>
    </row>
    <row r="356" spans="1:10" s="90" customFormat="1" ht="14.25" hidden="1" x14ac:dyDescent="0.3">
      <c r="A356" s="141"/>
      <c r="B356" s="160">
        <v>340</v>
      </c>
      <c r="C356" s="224"/>
      <c r="D356" s="213"/>
      <c r="E356" s="215"/>
      <c r="F356" s="217"/>
      <c r="G356" s="218"/>
      <c r="H356" s="74" t="str">
        <f t="shared" si="11"/>
        <v/>
      </c>
      <c r="I356" s="188" t="str">
        <f t="shared" si="12"/>
        <v/>
      </c>
      <c r="J356" s="221"/>
    </row>
    <row r="357" spans="1:10" s="90" customFormat="1" ht="14.25" hidden="1" x14ac:dyDescent="0.3">
      <c r="A357" s="141"/>
      <c r="B357" s="160">
        <v>341</v>
      </c>
      <c r="C357" s="224"/>
      <c r="D357" s="213"/>
      <c r="E357" s="215"/>
      <c r="F357" s="217"/>
      <c r="G357" s="218"/>
      <c r="H357" s="74" t="str">
        <f t="shared" si="11"/>
        <v/>
      </c>
      <c r="I357" s="188" t="str">
        <f t="shared" si="12"/>
        <v/>
      </c>
      <c r="J357" s="221"/>
    </row>
    <row r="358" spans="1:10" s="90" customFormat="1" ht="14.25" hidden="1" x14ac:dyDescent="0.3">
      <c r="A358" s="141"/>
      <c r="B358" s="160">
        <v>342</v>
      </c>
      <c r="C358" s="224"/>
      <c r="D358" s="213"/>
      <c r="E358" s="215"/>
      <c r="F358" s="217"/>
      <c r="G358" s="218"/>
      <c r="H358" s="74" t="str">
        <f t="shared" si="11"/>
        <v/>
      </c>
      <c r="I358" s="188" t="str">
        <f t="shared" si="12"/>
        <v/>
      </c>
      <c r="J358" s="221"/>
    </row>
    <row r="359" spans="1:10" s="90" customFormat="1" ht="14.25" hidden="1" x14ac:dyDescent="0.3">
      <c r="A359" s="141"/>
      <c r="B359" s="160">
        <v>343</v>
      </c>
      <c r="C359" s="224"/>
      <c r="D359" s="213"/>
      <c r="E359" s="215"/>
      <c r="F359" s="217"/>
      <c r="G359" s="218"/>
      <c r="H359" s="74" t="str">
        <f t="shared" si="11"/>
        <v/>
      </c>
      <c r="I359" s="188" t="str">
        <f t="shared" si="12"/>
        <v/>
      </c>
      <c r="J359" s="221"/>
    </row>
    <row r="360" spans="1:10" s="90" customFormat="1" ht="14.25" hidden="1" x14ac:dyDescent="0.3">
      <c r="A360" s="141"/>
      <c r="B360" s="160">
        <v>344</v>
      </c>
      <c r="C360" s="224"/>
      <c r="D360" s="213"/>
      <c r="E360" s="215"/>
      <c r="F360" s="217"/>
      <c r="G360" s="218"/>
      <c r="H360" s="74" t="str">
        <f t="shared" si="11"/>
        <v/>
      </c>
      <c r="I360" s="188" t="str">
        <f t="shared" si="12"/>
        <v/>
      </c>
      <c r="J360" s="221"/>
    </row>
    <row r="361" spans="1:10" s="90" customFormat="1" ht="14.25" hidden="1" x14ac:dyDescent="0.3">
      <c r="A361" s="141"/>
      <c r="B361" s="160">
        <v>345</v>
      </c>
      <c r="C361" s="224"/>
      <c r="D361" s="213"/>
      <c r="E361" s="215"/>
      <c r="F361" s="217"/>
      <c r="G361" s="218"/>
      <c r="H361" s="74" t="str">
        <f t="shared" si="11"/>
        <v/>
      </c>
      <c r="I361" s="188" t="str">
        <f t="shared" si="12"/>
        <v/>
      </c>
      <c r="J361" s="221"/>
    </row>
    <row r="362" spans="1:10" s="90" customFormat="1" ht="14.25" hidden="1" x14ac:dyDescent="0.3">
      <c r="A362" s="141"/>
      <c r="B362" s="160">
        <v>346</v>
      </c>
      <c r="C362" s="224"/>
      <c r="D362" s="213"/>
      <c r="E362" s="215"/>
      <c r="F362" s="217"/>
      <c r="G362" s="218"/>
      <c r="H362" s="74" t="str">
        <f t="shared" si="11"/>
        <v/>
      </c>
      <c r="I362" s="188" t="str">
        <f t="shared" si="12"/>
        <v/>
      </c>
      <c r="J362" s="221"/>
    </row>
    <row r="363" spans="1:10" s="90" customFormat="1" ht="14.25" hidden="1" x14ac:dyDescent="0.3">
      <c r="A363" s="141"/>
      <c r="B363" s="160">
        <v>347</v>
      </c>
      <c r="C363" s="224"/>
      <c r="D363" s="213"/>
      <c r="E363" s="215"/>
      <c r="F363" s="217"/>
      <c r="G363" s="218"/>
      <c r="H363" s="74" t="str">
        <f t="shared" si="11"/>
        <v/>
      </c>
      <c r="I363" s="188" t="str">
        <f t="shared" si="12"/>
        <v/>
      </c>
      <c r="J363" s="221"/>
    </row>
    <row r="364" spans="1:10" s="90" customFormat="1" ht="14.25" hidden="1" x14ac:dyDescent="0.3">
      <c r="A364" s="141"/>
      <c r="B364" s="160">
        <v>348</v>
      </c>
      <c r="C364" s="224"/>
      <c r="D364" s="213"/>
      <c r="E364" s="215"/>
      <c r="F364" s="217"/>
      <c r="G364" s="218"/>
      <c r="H364" s="74" t="str">
        <f t="shared" si="11"/>
        <v/>
      </c>
      <c r="I364" s="188" t="str">
        <f t="shared" si="12"/>
        <v/>
      </c>
      <c r="J364" s="221"/>
    </row>
    <row r="365" spans="1:10" s="90" customFormat="1" ht="14.25" hidden="1" x14ac:dyDescent="0.3">
      <c r="A365" s="141"/>
      <c r="B365" s="160">
        <v>349</v>
      </c>
      <c r="C365" s="224"/>
      <c r="D365" s="213"/>
      <c r="E365" s="215"/>
      <c r="F365" s="217"/>
      <c r="G365" s="218"/>
      <c r="H365" s="74" t="str">
        <f t="shared" si="11"/>
        <v/>
      </c>
      <c r="I365" s="188" t="str">
        <f t="shared" si="12"/>
        <v/>
      </c>
      <c r="J365" s="221"/>
    </row>
    <row r="366" spans="1:10" s="90" customFormat="1" ht="14.25" hidden="1" x14ac:dyDescent="0.3">
      <c r="A366" s="141"/>
      <c r="B366" s="160">
        <v>350</v>
      </c>
      <c r="C366" s="224"/>
      <c r="D366" s="213"/>
      <c r="E366" s="215"/>
      <c r="F366" s="217"/>
      <c r="G366" s="218"/>
      <c r="H366" s="74" t="str">
        <f t="shared" si="11"/>
        <v/>
      </c>
      <c r="I366" s="188" t="str">
        <f t="shared" si="12"/>
        <v/>
      </c>
      <c r="J366" s="221"/>
    </row>
    <row r="367" spans="1:10" s="90" customFormat="1" ht="14.25" hidden="1" x14ac:dyDescent="0.3">
      <c r="A367" s="141"/>
      <c r="B367" s="160">
        <v>351</v>
      </c>
      <c r="C367" s="224"/>
      <c r="D367" s="213"/>
      <c r="E367" s="215"/>
      <c r="F367" s="217"/>
      <c r="G367" s="218"/>
      <c r="H367" s="74" t="str">
        <f t="shared" si="11"/>
        <v/>
      </c>
      <c r="I367" s="188" t="str">
        <f t="shared" si="12"/>
        <v/>
      </c>
      <c r="J367" s="221"/>
    </row>
    <row r="368" spans="1:10" s="90" customFormat="1" ht="14.25" hidden="1" x14ac:dyDescent="0.3">
      <c r="A368" s="141"/>
      <c r="B368" s="160">
        <v>352</v>
      </c>
      <c r="C368" s="224"/>
      <c r="D368" s="213"/>
      <c r="E368" s="215"/>
      <c r="F368" s="217"/>
      <c r="G368" s="218"/>
      <c r="H368" s="74" t="str">
        <f t="shared" si="11"/>
        <v/>
      </c>
      <c r="I368" s="188" t="str">
        <f t="shared" si="12"/>
        <v/>
      </c>
      <c r="J368" s="221"/>
    </row>
    <row r="369" spans="1:10" s="90" customFormat="1" ht="14.25" hidden="1" x14ac:dyDescent="0.3">
      <c r="A369" s="141"/>
      <c r="B369" s="160">
        <v>353</v>
      </c>
      <c r="C369" s="224"/>
      <c r="D369" s="213"/>
      <c r="E369" s="215"/>
      <c r="F369" s="217"/>
      <c r="G369" s="218"/>
      <c r="H369" s="74" t="str">
        <f t="shared" si="11"/>
        <v/>
      </c>
      <c r="I369" s="188" t="str">
        <f t="shared" si="12"/>
        <v/>
      </c>
      <c r="J369" s="221"/>
    </row>
    <row r="370" spans="1:10" s="90" customFormat="1" ht="14.25" hidden="1" x14ac:dyDescent="0.3">
      <c r="A370" s="141"/>
      <c r="B370" s="160">
        <v>354</v>
      </c>
      <c r="C370" s="224"/>
      <c r="D370" s="213"/>
      <c r="E370" s="215"/>
      <c r="F370" s="217"/>
      <c r="G370" s="218"/>
      <c r="H370" s="74" t="str">
        <f t="shared" si="11"/>
        <v/>
      </c>
      <c r="I370" s="188" t="str">
        <f t="shared" si="12"/>
        <v/>
      </c>
      <c r="J370" s="221"/>
    </row>
    <row r="371" spans="1:10" s="90" customFormat="1" ht="14.25" hidden="1" x14ac:dyDescent="0.3">
      <c r="A371" s="141"/>
      <c r="B371" s="160">
        <v>355</v>
      </c>
      <c r="C371" s="224"/>
      <c r="D371" s="213"/>
      <c r="E371" s="215"/>
      <c r="F371" s="217"/>
      <c r="G371" s="218"/>
      <c r="H371" s="74" t="str">
        <f t="shared" si="11"/>
        <v/>
      </c>
      <c r="I371" s="188" t="str">
        <f t="shared" si="12"/>
        <v/>
      </c>
      <c r="J371" s="221"/>
    </row>
    <row r="372" spans="1:10" s="90" customFormat="1" ht="14.25" hidden="1" x14ac:dyDescent="0.3">
      <c r="A372" s="141"/>
      <c r="B372" s="160">
        <v>356</v>
      </c>
      <c r="C372" s="224"/>
      <c r="D372" s="213"/>
      <c r="E372" s="215"/>
      <c r="F372" s="217"/>
      <c r="G372" s="218"/>
      <c r="H372" s="74" t="str">
        <f t="shared" si="11"/>
        <v/>
      </c>
      <c r="I372" s="188" t="str">
        <f t="shared" si="12"/>
        <v/>
      </c>
      <c r="J372" s="221"/>
    </row>
    <row r="373" spans="1:10" s="90" customFormat="1" ht="14.25" hidden="1" x14ac:dyDescent="0.3">
      <c r="A373" s="141"/>
      <c r="B373" s="160">
        <v>357</v>
      </c>
      <c r="C373" s="224"/>
      <c r="D373" s="213"/>
      <c r="E373" s="215"/>
      <c r="F373" s="217"/>
      <c r="G373" s="218"/>
      <c r="H373" s="74" t="str">
        <f t="shared" si="11"/>
        <v/>
      </c>
      <c r="I373" s="188" t="str">
        <f t="shared" si="12"/>
        <v/>
      </c>
      <c r="J373" s="221"/>
    </row>
    <row r="374" spans="1:10" s="90" customFormat="1" ht="14.25" hidden="1" x14ac:dyDescent="0.3">
      <c r="A374" s="141"/>
      <c r="B374" s="160">
        <v>358</v>
      </c>
      <c r="C374" s="224"/>
      <c r="D374" s="213"/>
      <c r="E374" s="215"/>
      <c r="F374" s="217"/>
      <c r="G374" s="218"/>
      <c r="H374" s="74" t="str">
        <f t="shared" si="11"/>
        <v/>
      </c>
      <c r="I374" s="188" t="str">
        <f t="shared" si="12"/>
        <v/>
      </c>
      <c r="J374" s="221"/>
    </row>
    <row r="375" spans="1:10" s="90" customFormat="1" ht="14.25" hidden="1" x14ac:dyDescent="0.3">
      <c r="A375" s="141"/>
      <c r="B375" s="160">
        <v>359</v>
      </c>
      <c r="C375" s="224"/>
      <c r="D375" s="213"/>
      <c r="E375" s="215"/>
      <c r="F375" s="217"/>
      <c r="G375" s="218"/>
      <c r="H375" s="74" t="str">
        <f t="shared" si="11"/>
        <v/>
      </c>
      <c r="I375" s="188" t="str">
        <f t="shared" si="12"/>
        <v/>
      </c>
      <c r="J375" s="221"/>
    </row>
    <row r="376" spans="1:10" s="90" customFormat="1" ht="14.25" hidden="1" x14ac:dyDescent="0.3">
      <c r="A376" s="141"/>
      <c r="B376" s="160">
        <v>360</v>
      </c>
      <c r="C376" s="224"/>
      <c r="D376" s="213"/>
      <c r="E376" s="215"/>
      <c r="F376" s="217"/>
      <c r="G376" s="218"/>
      <c r="H376" s="74" t="str">
        <f t="shared" si="11"/>
        <v/>
      </c>
      <c r="I376" s="188" t="str">
        <f t="shared" si="12"/>
        <v/>
      </c>
      <c r="J376" s="221"/>
    </row>
    <row r="377" spans="1:10" s="90" customFormat="1" ht="14.25" hidden="1" x14ac:dyDescent="0.3">
      <c r="A377" s="141"/>
      <c r="B377" s="160">
        <v>361</v>
      </c>
      <c r="C377" s="224"/>
      <c r="D377" s="213"/>
      <c r="E377" s="215"/>
      <c r="F377" s="217"/>
      <c r="G377" s="218"/>
      <c r="H377" s="74" t="str">
        <f t="shared" si="11"/>
        <v/>
      </c>
      <c r="I377" s="188" t="str">
        <f t="shared" si="12"/>
        <v/>
      </c>
      <c r="J377" s="221"/>
    </row>
    <row r="378" spans="1:10" s="90" customFormat="1" ht="14.25" hidden="1" x14ac:dyDescent="0.3">
      <c r="A378" s="141"/>
      <c r="B378" s="160">
        <v>362</v>
      </c>
      <c r="C378" s="224"/>
      <c r="D378" s="213"/>
      <c r="E378" s="215"/>
      <c r="F378" s="217"/>
      <c r="G378" s="218"/>
      <c r="H378" s="74" t="str">
        <f t="shared" si="11"/>
        <v/>
      </c>
      <c r="I378" s="188" t="str">
        <f t="shared" si="12"/>
        <v/>
      </c>
      <c r="J378" s="221"/>
    </row>
    <row r="379" spans="1:10" s="90" customFormat="1" ht="14.25" hidden="1" x14ac:dyDescent="0.3">
      <c r="A379" s="141"/>
      <c r="B379" s="160">
        <v>363</v>
      </c>
      <c r="C379" s="224"/>
      <c r="D379" s="213"/>
      <c r="E379" s="215"/>
      <c r="F379" s="217"/>
      <c r="G379" s="218"/>
      <c r="H379" s="74" t="str">
        <f t="shared" si="11"/>
        <v/>
      </c>
      <c r="I379" s="188" t="str">
        <f t="shared" si="12"/>
        <v/>
      </c>
      <c r="J379" s="221"/>
    </row>
    <row r="380" spans="1:10" s="90" customFormat="1" ht="14.25" hidden="1" x14ac:dyDescent="0.3">
      <c r="A380" s="141"/>
      <c r="B380" s="160">
        <v>364</v>
      </c>
      <c r="C380" s="224"/>
      <c r="D380" s="213"/>
      <c r="E380" s="215"/>
      <c r="F380" s="217"/>
      <c r="G380" s="218"/>
      <c r="H380" s="74" t="str">
        <f t="shared" si="11"/>
        <v/>
      </c>
      <c r="I380" s="188" t="str">
        <f t="shared" si="12"/>
        <v/>
      </c>
      <c r="J380" s="221"/>
    </row>
    <row r="381" spans="1:10" s="90" customFormat="1" ht="14.25" hidden="1" x14ac:dyDescent="0.3">
      <c r="A381" s="141"/>
      <c r="B381" s="160">
        <v>365</v>
      </c>
      <c r="C381" s="224"/>
      <c r="D381" s="213"/>
      <c r="E381" s="215"/>
      <c r="F381" s="217"/>
      <c r="G381" s="218"/>
      <c r="H381" s="74" t="str">
        <f t="shared" si="11"/>
        <v/>
      </c>
      <c r="I381" s="188" t="str">
        <f t="shared" si="12"/>
        <v/>
      </c>
      <c r="J381" s="221"/>
    </row>
    <row r="382" spans="1:10" s="90" customFormat="1" ht="14.25" hidden="1" x14ac:dyDescent="0.3">
      <c r="A382" s="141"/>
      <c r="B382" s="160">
        <v>366</v>
      </c>
      <c r="C382" s="224"/>
      <c r="D382" s="213"/>
      <c r="E382" s="215"/>
      <c r="F382" s="217"/>
      <c r="G382" s="218"/>
      <c r="H382" s="74" t="str">
        <f t="shared" si="11"/>
        <v/>
      </c>
      <c r="I382" s="188" t="str">
        <f t="shared" si="12"/>
        <v/>
      </c>
      <c r="J382" s="221"/>
    </row>
    <row r="383" spans="1:10" s="90" customFormat="1" ht="14.25" hidden="1" x14ac:dyDescent="0.3">
      <c r="A383" s="141"/>
      <c r="B383" s="160">
        <v>367</v>
      </c>
      <c r="C383" s="224"/>
      <c r="D383" s="213"/>
      <c r="E383" s="215"/>
      <c r="F383" s="217"/>
      <c r="G383" s="218"/>
      <c r="H383" s="74" t="str">
        <f t="shared" si="11"/>
        <v/>
      </c>
      <c r="I383" s="188" t="str">
        <f t="shared" si="12"/>
        <v/>
      </c>
      <c r="J383" s="221"/>
    </row>
    <row r="384" spans="1:10" s="90" customFormat="1" ht="14.25" hidden="1" x14ac:dyDescent="0.3">
      <c r="A384" s="141"/>
      <c r="B384" s="160">
        <v>368</v>
      </c>
      <c r="C384" s="224"/>
      <c r="D384" s="213"/>
      <c r="E384" s="215"/>
      <c r="F384" s="217"/>
      <c r="G384" s="218"/>
      <c r="H384" s="74" t="str">
        <f t="shared" si="11"/>
        <v/>
      </c>
      <c r="I384" s="188" t="str">
        <f t="shared" si="12"/>
        <v/>
      </c>
      <c r="J384" s="221"/>
    </row>
    <row r="385" spans="1:10" s="90" customFormat="1" ht="14.25" hidden="1" x14ac:dyDescent="0.3">
      <c r="A385" s="141"/>
      <c r="B385" s="160">
        <v>369</v>
      </c>
      <c r="C385" s="224"/>
      <c r="D385" s="213"/>
      <c r="E385" s="215"/>
      <c r="F385" s="217"/>
      <c r="G385" s="218"/>
      <c r="H385" s="74" t="str">
        <f t="shared" si="11"/>
        <v/>
      </c>
      <c r="I385" s="188" t="str">
        <f t="shared" si="12"/>
        <v/>
      </c>
      <c r="J385" s="221"/>
    </row>
    <row r="386" spans="1:10" s="90" customFormat="1" ht="14.25" hidden="1" x14ac:dyDescent="0.3">
      <c r="A386" s="141"/>
      <c r="B386" s="160">
        <v>370</v>
      </c>
      <c r="C386" s="224"/>
      <c r="D386" s="213"/>
      <c r="E386" s="215"/>
      <c r="F386" s="217"/>
      <c r="G386" s="218"/>
      <c r="H386" s="74" t="str">
        <f t="shared" si="11"/>
        <v/>
      </c>
      <c r="I386" s="188" t="str">
        <f t="shared" si="12"/>
        <v/>
      </c>
      <c r="J386" s="221"/>
    </row>
    <row r="387" spans="1:10" s="90" customFormat="1" ht="14.25" hidden="1" x14ac:dyDescent="0.3">
      <c r="A387" s="141"/>
      <c r="B387" s="160">
        <v>371</v>
      </c>
      <c r="C387" s="224"/>
      <c r="D387" s="213"/>
      <c r="E387" s="215"/>
      <c r="F387" s="217"/>
      <c r="G387" s="218"/>
      <c r="H387" s="74" t="str">
        <f t="shared" si="11"/>
        <v/>
      </c>
      <c r="I387" s="188" t="str">
        <f t="shared" si="12"/>
        <v/>
      </c>
      <c r="J387" s="221"/>
    </row>
    <row r="388" spans="1:10" s="90" customFormat="1" ht="14.25" hidden="1" x14ac:dyDescent="0.3">
      <c r="A388" s="141"/>
      <c r="B388" s="160">
        <v>372</v>
      </c>
      <c r="C388" s="224"/>
      <c r="D388" s="213"/>
      <c r="E388" s="215"/>
      <c r="F388" s="217"/>
      <c r="G388" s="218"/>
      <c r="H388" s="74" t="str">
        <f t="shared" si="11"/>
        <v/>
      </c>
      <c r="I388" s="188" t="str">
        <f t="shared" si="12"/>
        <v/>
      </c>
      <c r="J388" s="221"/>
    </row>
    <row r="389" spans="1:10" s="90" customFormat="1" ht="14.25" hidden="1" x14ac:dyDescent="0.3">
      <c r="A389" s="141"/>
      <c r="B389" s="160">
        <v>373</v>
      </c>
      <c r="C389" s="224"/>
      <c r="D389" s="213"/>
      <c r="E389" s="215"/>
      <c r="F389" s="217"/>
      <c r="G389" s="218"/>
      <c r="H389" s="74" t="str">
        <f t="shared" si="11"/>
        <v/>
      </c>
      <c r="I389" s="188" t="str">
        <f t="shared" si="12"/>
        <v/>
      </c>
      <c r="J389" s="221"/>
    </row>
    <row r="390" spans="1:10" s="90" customFormat="1" ht="14.25" hidden="1" x14ac:dyDescent="0.3">
      <c r="A390" s="141"/>
      <c r="B390" s="160">
        <v>374</v>
      </c>
      <c r="C390" s="224"/>
      <c r="D390" s="213"/>
      <c r="E390" s="215"/>
      <c r="F390" s="217"/>
      <c r="G390" s="218"/>
      <c r="H390" s="74" t="str">
        <f t="shared" ref="H390:H400" si="13">ObterComplexidadeFuncao(E390,F390,G390)</f>
        <v/>
      </c>
      <c r="I390" s="188" t="str">
        <f t="shared" si="12"/>
        <v/>
      </c>
      <c r="J390" s="221"/>
    </row>
    <row r="391" spans="1:10" s="90" customFormat="1" ht="14.25" hidden="1" x14ac:dyDescent="0.3">
      <c r="A391" s="141"/>
      <c r="B391" s="160">
        <v>375</v>
      </c>
      <c r="C391" s="224"/>
      <c r="D391" s="213"/>
      <c r="E391" s="215"/>
      <c r="F391" s="217"/>
      <c r="G391" s="218"/>
      <c r="H391" s="74" t="str">
        <f t="shared" si="13"/>
        <v/>
      </c>
      <c r="I391" s="188" t="str">
        <f t="shared" si="12"/>
        <v/>
      </c>
      <c r="J391" s="221"/>
    </row>
    <row r="392" spans="1:10" s="90" customFormat="1" ht="14.25" hidden="1" x14ac:dyDescent="0.3">
      <c r="A392" s="141"/>
      <c r="B392" s="160">
        <v>376</v>
      </c>
      <c r="C392" s="224"/>
      <c r="D392" s="213"/>
      <c r="E392" s="215"/>
      <c r="F392" s="217"/>
      <c r="G392" s="218"/>
      <c r="H392" s="74" t="str">
        <f t="shared" si="13"/>
        <v/>
      </c>
      <c r="I392" s="188" t="str">
        <f t="shared" si="12"/>
        <v/>
      </c>
      <c r="J392" s="221"/>
    </row>
    <row r="393" spans="1:10" s="90" customFormat="1" ht="14.25" hidden="1" x14ac:dyDescent="0.3">
      <c r="A393" s="141"/>
      <c r="B393" s="160">
        <v>377</v>
      </c>
      <c r="C393" s="224"/>
      <c r="D393" s="213"/>
      <c r="E393" s="215"/>
      <c r="F393" s="217"/>
      <c r="G393" s="218"/>
      <c r="H393" s="74" t="str">
        <f t="shared" si="13"/>
        <v/>
      </c>
      <c r="I393" s="188" t="str">
        <f t="shared" si="12"/>
        <v/>
      </c>
      <c r="J393" s="221"/>
    </row>
    <row r="394" spans="1:10" s="90" customFormat="1" ht="14.25" hidden="1" x14ac:dyDescent="0.3">
      <c r="A394" s="141"/>
      <c r="B394" s="160">
        <v>378</v>
      </c>
      <c r="C394" s="224"/>
      <c r="D394" s="213"/>
      <c r="E394" s="215"/>
      <c r="F394" s="217"/>
      <c r="G394" s="218"/>
      <c r="H394" s="74" t="str">
        <f t="shared" si="13"/>
        <v/>
      </c>
      <c r="I394" s="188" t="str">
        <f t="shared" si="12"/>
        <v/>
      </c>
      <c r="J394" s="221"/>
    </row>
    <row r="395" spans="1:10" s="90" customFormat="1" ht="14.25" hidden="1" x14ac:dyDescent="0.3">
      <c r="A395" s="141"/>
      <c r="B395" s="160">
        <v>379</v>
      </c>
      <c r="C395" s="224"/>
      <c r="D395" s="213"/>
      <c r="E395" s="215"/>
      <c r="F395" s="217"/>
      <c r="G395" s="218"/>
      <c r="H395" s="74" t="str">
        <f t="shared" si="13"/>
        <v/>
      </c>
      <c r="I395" s="188" t="str">
        <f t="shared" si="12"/>
        <v/>
      </c>
      <c r="J395" s="221"/>
    </row>
    <row r="396" spans="1:10" s="90" customFormat="1" ht="14.25" hidden="1" x14ac:dyDescent="0.3">
      <c r="A396" s="141"/>
      <c r="B396" s="160">
        <v>380</v>
      </c>
      <c r="C396" s="224"/>
      <c r="D396" s="213"/>
      <c r="E396" s="215"/>
      <c r="F396" s="217"/>
      <c r="G396" s="218"/>
      <c r="H396" s="74" t="str">
        <f t="shared" si="13"/>
        <v/>
      </c>
      <c r="I396" s="188" t="str">
        <f t="shared" si="12"/>
        <v/>
      </c>
      <c r="J396" s="221"/>
    </row>
    <row r="397" spans="1:10" s="90" customFormat="1" ht="14.25" hidden="1" x14ac:dyDescent="0.3">
      <c r="A397" s="141"/>
      <c r="B397" s="160">
        <v>381</v>
      </c>
      <c r="C397" s="224"/>
      <c r="D397" s="213"/>
      <c r="E397" s="215"/>
      <c r="F397" s="217"/>
      <c r="G397" s="218"/>
      <c r="H397" s="74" t="str">
        <f t="shared" si="13"/>
        <v/>
      </c>
      <c r="I397" s="188" t="str">
        <f t="shared" si="12"/>
        <v/>
      </c>
      <c r="J397" s="221"/>
    </row>
    <row r="398" spans="1:10" s="90" customFormat="1" ht="14.25" hidden="1" x14ac:dyDescent="0.3">
      <c r="A398" s="141"/>
      <c r="B398" s="160">
        <v>382</v>
      </c>
      <c r="C398" s="224"/>
      <c r="D398" s="213"/>
      <c r="E398" s="215"/>
      <c r="F398" s="217"/>
      <c r="G398" s="218"/>
      <c r="H398" s="74" t="str">
        <f t="shared" si="13"/>
        <v/>
      </c>
      <c r="I398" s="188" t="str">
        <f t="shared" si="12"/>
        <v/>
      </c>
      <c r="J398" s="221"/>
    </row>
    <row r="399" spans="1:10" s="90" customFormat="1" ht="14.25" hidden="1" x14ac:dyDescent="0.3">
      <c r="A399" s="141"/>
      <c r="B399" s="160">
        <v>383</v>
      </c>
      <c r="C399" s="224"/>
      <c r="D399" s="213"/>
      <c r="E399" s="215"/>
      <c r="F399" s="217"/>
      <c r="G399" s="218"/>
      <c r="H399" s="74" t="str">
        <f t="shared" si="13"/>
        <v/>
      </c>
      <c r="I399" s="188" t="str">
        <f t="shared" si="12"/>
        <v/>
      </c>
      <c r="J399" s="221"/>
    </row>
    <row r="400" spans="1:10" s="90" customFormat="1" ht="14.25" hidden="1" x14ac:dyDescent="0.3">
      <c r="A400" s="141"/>
      <c r="B400" s="160">
        <v>384</v>
      </c>
      <c r="C400" s="224"/>
      <c r="D400" s="213"/>
      <c r="E400" s="215"/>
      <c r="F400" s="217"/>
      <c r="G400" s="218"/>
      <c r="H400" s="74" t="str">
        <f t="shared" si="13"/>
        <v/>
      </c>
      <c r="I400" s="188" t="str">
        <f t="shared" si="12"/>
        <v/>
      </c>
      <c r="J400" s="221"/>
    </row>
    <row r="401" spans="1:10" s="90" customFormat="1" ht="14.25" hidden="1" x14ac:dyDescent="0.3">
      <c r="A401" s="141"/>
      <c r="B401" s="160">
        <v>385</v>
      </c>
      <c r="C401" s="224"/>
      <c r="D401" s="213"/>
      <c r="E401" s="215"/>
      <c r="F401" s="217"/>
      <c r="G401" s="218"/>
      <c r="H401" s="74" t="str">
        <f t="shared" ref="H401:H464" si="14">ObterComplexidadeFuncao(E401,F401,G401)</f>
        <v/>
      </c>
      <c r="I401" s="188" t="str">
        <f t="shared" si="12"/>
        <v/>
      </c>
      <c r="J401" s="221"/>
    </row>
    <row r="402" spans="1:10" s="90" customFormat="1" ht="14.25" hidden="1" x14ac:dyDescent="0.3">
      <c r="A402" s="141"/>
      <c r="B402" s="160">
        <v>386</v>
      </c>
      <c r="C402" s="224"/>
      <c r="D402" s="213"/>
      <c r="E402" s="215"/>
      <c r="F402" s="217"/>
      <c r="G402" s="218"/>
      <c r="H402" s="74" t="str">
        <f t="shared" si="14"/>
        <v/>
      </c>
      <c r="I402" s="188" t="str">
        <f t="shared" ref="I402:I465" si="15">ObterContribuicaoFuncao(E402,H402)</f>
        <v/>
      </c>
      <c r="J402" s="221"/>
    </row>
    <row r="403" spans="1:10" s="90" customFormat="1" ht="14.25" hidden="1" x14ac:dyDescent="0.3">
      <c r="A403" s="141"/>
      <c r="B403" s="160">
        <v>387</v>
      </c>
      <c r="C403" s="224"/>
      <c r="D403" s="213"/>
      <c r="E403" s="215"/>
      <c r="F403" s="217"/>
      <c r="G403" s="218"/>
      <c r="H403" s="74" t="str">
        <f t="shared" si="14"/>
        <v/>
      </c>
      <c r="I403" s="188" t="str">
        <f t="shared" si="15"/>
        <v/>
      </c>
      <c r="J403" s="221"/>
    </row>
    <row r="404" spans="1:10" s="90" customFormat="1" ht="14.25" hidden="1" x14ac:dyDescent="0.3">
      <c r="A404" s="141"/>
      <c r="B404" s="160">
        <v>388</v>
      </c>
      <c r="C404" s="224"/>
      <c r="D404" s="213"/>
      <c r="E404" s="215"/>
      <c r="F404" s="217"/>
      <c r="G404" s="218"/>
      <c r="H404" s="74" t="str">
        <f t="shared" si="14"/>
        <v/>
      </c>
      <c r="I404" s="188" t="str">
        <f t="shared" si="15"/>
        <v/>
      </c>
      <c r="J404" s="221"/>
    </row>
    <row r="405" spans="1:10" s="90" customFormat="1" ht="14.25" hidden="1" x14ac:dyDescent="0.3">
      <c r="A405" s="141"/>
      <c r="B405" s="160">
        <v>389</v>
      </c>
      <c r="C405" s="224"/>
      <c r="D405" s="213"/>
      <c r="E405" s="215"/>
      <c r="F405" s="217"/>
      <c r="G405" s="218"/>
      <c r="H405" s="74" t="str">
        <f t="shared" si="14"/>
        <v/>
      </c>
      <c r="I405" s="188" t="str">
        <f t="shared" si="15"/>
        <v/>
      </c>
      <c r="J405" s="221"/>
    </row>
    <row r="406" spans="1:10" s="90" customFormat="1" ht="14.25" hidden="1" x14ac:dyDescent="0.3">
      <c r="A406" s="141"/>
      <c r="B406" s="160">
        <v>390</v>
      </c>
      <c r="C406" s="224"/>
      <c r="D406" s="213"/>
      <c r="E406" s="215"/>
      <c r="F406" s="217"/>
      <c r="G406" s="218"/>
      <c r="H406" s="74" t="str">
        <f t="shared" si="14"/>
        <v/>
      </c>
      <c r="I406" s="188" t="str">
        <f t="shared" si="15"/>
        <v/>
      </c>
      <c r="J406" s="221"/>
    </row>
    <row r="407" spans="1:10" s="90" customFormat="1" ht="14.25" hidden="1" x14ac:dyDescent="0.3">
      <c r="A407" s="141"/>
      <c r="B407" s="160">
        <v>391</v>
      </c>
      <c r="C407" s="224"/>
      <c r="D407" s="213"/>
      <c r="E407" s="215"/>
      <c r="F407" s="217"/>
      <c r="G407" s="218"/>
      <c r="H407" s="74" t="str">
        <f t="shared" si="14"/>
        <v/>
      </c>
      <c r="I407" s="188" t="str">
        <f t="shared" si="15"/>
        <v/>
      </c>
      <c r="J407" s="221"/>
    </row>
    <row r="408" spans="1:10" s="90" customFormat="1" ht="14.25" hidden="1" x14ac:dyDescent="0.3">
      <c r="A408" s="141"/>
      <c r="B408" s="160">
        <v>392</v>
      </c>
      <c r="C408" s="224"/>
      <c r="D408" s="213"/>
      <c r="E408" s="215"/>
      <c r="F408" s="217"/>
      <c r="G408" s="218"/>
      <c r="H408" s="74" t="str">
        <f t="shared" si="14"/>
        <v/>
      </c>
      <c r="I408" s="188" t="str">
        <f t="shared" si="15"/>
        <v/>
      </c>
      <c r="J408" s="221"/>
    </row>
    <row r="409" spans="1:10" s="90" customFormat="1" ht="14.25" hidden="1" x14ac:dyDescent="0.3">
      <c r="A409" s="141"/>
      <c r="B409" s="160">
        <v>393</v>
      </c>
      <c r="C409" s="224"/>
      <c r="D409" s="213"/>
      <c r="E409" s="215"/>
      <c r="F409" s="217"/>
      <c r="G409" s="218"/>
      <c r="H409" s="74" t="str">
        <f t="shared" si="14"/>
        <v/>
      </c>
      <c r="I409" s="188" t="str">
        <f t="shared" si="15"/>
        <v/>
      </c>
      <c r="J409" s="221"/>
    </row>
    <row r="410" spans="1:10" s="90" customFormat="1" ht="14.25" hidden="1" x14ac:dyDescent="0.3">
      <c r="A410" s="141"/>
      <c r="B410" s="160">
        <v>394</v>
      </c>
      <c r="C410" s="224"/>
      <c r="D410" s="213"/>
      <c r="E410" s="215"/>
      <c r="F410" s="217"/>
      <c r="G410" s="218"/>
      <c r="H410" s="74" t="str">
        <f t="shared" si="14"/>
        <v/>
      </c>
      <c r="I410" s="188" t="str">
        <f t="shared" si="15"/>
        <v/>
      </c>
      <c r="J410" s="221"/>
    </row>
    <row r="411" spans="1:10" s="90" customFormat="1" ht="14.25" hidden="1" x14ac:dyDescent="0.3">
      <c r="A411" s="141"/>
      <c r="B411" s="160">
        <v>395</v>
      </c>
      <c r="C411" s="224"/>
      <c r="D411" s="213"/>
      <c r="E411" s="215"/>
      <c r="F411" s="217"/>
      <c r="G411" s="218"/>
      <c r="H411" s="74" t="str">
        <f t="shared" si="14"/>
        <v/>
      </c>
      <c r="I411" s="188" t="str">
        <f t="shared" si="15"/>
        <v/>
      </c>
      <c r="J411" s="221"/>
    </row>
    <row r="412" spans="1:10" s="90" customFormat="1" ht="14.25" hidden="1" x14ac:dyDescent="0.3">
      <c r="A412" s="141"/>
      <c r="B412" s="160">
        <v>396</v>
      </c>
      <c r="C412" s="224"/>
      <c r="D412" s="213"/>
      <c r="E412" s="215"/>
      <c r="F412" s="217"/>
      <c r="G412" s="218"/>
      <c r="H412" s="74" t="str">
        <f t="shared" si="14"/>
        <v/>
      </c>
      <c r="I412" s="188" t="str">
        <f t="shared" si="15"/>
        <v/>
      </c>
      <c r="J412" s="221"/>
    </row>
    <row r="413" spans="1:10" s="90" customFormat="1" ht="14.25" hidden="1" x14ac:dyDescent="0.3">
      <c r="A413" s="141"/>
      <c r="B413" s="160">
        <v>397</v>
      </c>
      <c r="C413" s="224"/>
      <c r="D413" s="213"/>
      <c r="E413" s="215"/>
      <c r="F413" s="214"/>
      <c r="G413" s="214"/>
      <c r="H413" s="74" t="str">
        <f t="shared" si="14"/>
        <v/>
      </c>
      <c r="I413" s="188" t="str">
        <f t="shared" si="15"/>
        <v/>
      </c>
      <c r="J413" s="221"/>
    </row>
    <row r="414" spans="1:10" s="90" customFormat="1" ht="14.25" hidden="1" x14ac:dyDescent="0.3">
      <c r="A414" s="141"/>
      <c r="B414" s="160">
        <v>398</v>
      </c>
      <c r="C414" s="224"/>
      <c r="D414" s="213"/>
      <c r="E414" s="215"/>
      <c r="F414" s="217"/>
      <c r="G414" s="218"/>
      <c r="H414" s="74" t="str">
        <f t="shared" si="14"/>
        <v/>
      </c>
      <c r="I414" s="188" t="str">
        <f t="shared" si="15"/>
        <v/>
      </c>
      <c r="J414" s="221"/>
    </row>
    <row r="415" spans="1:10" s="90" customFormat="1" ht="14.25" hidden="1" x14ac:dyDescent="0.3">
      <c r="A415" s="141"/>
      <c r="B415" s="160">
        <v>399</v>
      </c>
      <c r="C415" s="224"/>
      <c r="D415" s="213"/>
      <c r="E415" s="215"/>
      <c r="F415" s="214"/>
      <c r="G415" s="214"/>
      <c r="H415" s="74" t="str">
        <f t="shared" si="14"/>
        <v/>
      </c>
      <c r="I415" s="188" t="str">
        <f t="shared" si="15"/>
        <v/>
      </c>
      <c r="J415" s="221"/>
    </row>
    <row r="416" spans="1:10" s="90" customFormat="1" ht="14.25" hidden="1" x14ac:dyDescent="0.3">
      <c r="A416" s="141"/>
      <c r="B416" s="160">
        <v>400</v>
      </c>
      <c r="C416" s="224"/>
      <c r="D416" s="213"/>
      <c r="E416" s="215"/>
      <c r="F416" s="214"/>
      <c r="G416" s="214"/>
      <c r="H416" s="74" t="str">
        <f t="shared" si="14"/>
        <v/>
      </c>
      <c r="I416" s="188" t="str">
        <f t="shared" si="15"/>
        <v/>
      </c>
      <c r="J416" s="221"/>
    </row>
    <row r="417" spans="1:10" s="90" customFormat="1" ht="14.25" hidden="1" x14ac:dyDescent="0.3">
      <c r="A417" s="141"/>
      <c r="B417" s="160">
        <v>401</v>
      </c>
      <c r="C417" s="224"/>
      <c r="D417" s="213"/>
      <c r="E417" s="215"/>
      <c r="F417" s="217"/>
      <c r="G417" s="218"/>
      <c r="H417" s="74" t="str">
        <f t="shared" si="14"/>
        <v/>
      </c>
      <c r="I417" s="188" t="str">
        <f t="shared" si="15"/>
        <v/>
      </c>
      <c r="J417" s="221"/>
    </row>
    <row r="418" spans="1:10" s="90" customFormat="1" ht="14.25" hidden="1" x14ac:dyDescent="0.3">
      <c r="A418" s="141"/>
      <c r="B418" s="160">
        <v>402</v>
      </c>
      <c r="C418" s="224"/>
      <c r="D418" s="213"/>
      <c r="E418" s="215"/>
      <c r="F418" s="214"/>
      <c r="G418" s="214"/>
      <c r="H418" s="74" t="str">
        <f t="shared" si="14"/>
        <v/>
      </c>
      <c r="I418" s="188" t="str">
        <f t="shared" si="15"/>
        <v/>
      </c>
      <c r="J418" s="221"/>
    </row>
    <row r="419" spans="1:10" s="90" customFormat="1" ht="14.25" hidden="1" x14ac:dyDescent="0.3">
      <c r="A419" s="141"/>
      <c r="B419" s="160">
        <v>403</v>
      </c>
      <c r="C419" s="224"/>
      <c r="D419" s="216"/>
      <c r="E419" s="215"/>
      <c r="F419" s="217"/>
      <c r="G419" s="218"/>
      <c r="H419" s="74" t="str">
        <f t="shared" si="14"/>
        <v/>
      </c>
      <c r="I419" s="188" t="str">
        <f t="shared" si="15"/>
        <v/>
      </c>
      <c r="J419" s="221"/>
    </row>
    <row r="420" spans="1:10" s="90" customFormat="1" ht="14.25" hidden="1" x14ac:dyDescent="0.3">
      <c r="A420" s="141"/>
      <c r="B420" s="160">
        <v>404</v>
      </c>
      <c r="C420" s="224"/>
      <c r="D420" s="213"/>
      <c r="E420" s="215"/>
      <c r="F420" s="215"/>
      <c r="G420" s="215"/>
      <c r="H420" s="74" t="str">
        <f t="shared" si="14"/>
        <v/>
      </c>
      <c r="I420" s="188" t="str">
        <f t="shared" si="15"/>
        <v/>
      </c>
      <c r="J420" s="221"/>
    </row>
    <row r="421" spans="1:10" s="90" customFormat="1" ht="14.25" hidden="1" x14ac:dyDescent="0.3">
      <c r="A421" s="141"/>
      <c r="B421" s="160">
        <v>405</v>
      </c>
      <c r="C421" s="224"/>
      <c r="D421" s="216"/>
      <c r="E421" s="215"/>
      <c r="F421" s="217"/>
      <c r="G421" s="218"/>
      <c r="H421" s="74" t="str">
        <f t="shared" si="14"/>
        <v/>
      </c>
      <c r="I421" s="188" t="str">
        <f t="shared" si="15"/>
        <v/>
      </c>
      <c r="J421" s="221"/>
    </row>
    <row r="422" spans="1:10" s="90" customFormat="1" ht="14.25" hidden="1" x14ac:dyDescent="0.3">
      <c r="A422" s="141"/>
      <c r="B422" s="160">
        <v>406</v>
      </c>
      <c r="C422" s="224"/>
      <c r="D422" s="213"/>
      <c r="E422" s="215"/>
      <c r="F422" s="214"/>
      <c r="G422" s="214"/>
      <c r="H422" s="74" t="str">
        <f t="shared" si="14"/>
        <v/>
      </c>
      <c r="I422" s="188" t="str">
        <f t="shared" si="15"/>
        <v/>
      </c>
      <c r="J422" s="221"/>
    </row>
    <row r="423" spans="1:10" s="90" customFormat="1" ht="14.25" hidden="1" x14ac:dyDescent="0.3">
      <c r="A423" s="141"/>
      <c r="B423" s="160">
        <v>407</v>
      </c>
      <c r="C423" s="224"/>
      <c r="D423" s="213"/>
      <c r="E423" s="215"/>
      <c r="F423" s="215"/>
      <c r="G423" s="215"/>
      <c r="H423" s="74" t="str">
        <f t="shared" si="14"/>
        <v/>
      </c>
      <c r="I423" s="188" t="str">
        <f t="shared" si="15"/>
        <v/>
      </c>
      <c r="J423" s="221"/>
    </row>
    <row r="424" spans="1:10" s="90" customFormat="1" ht="14.25" hidden="1" x14ac:dyDescent="0.3">
      <c r="A424" s="141"/>
      <c r="B424" s="160">
        <v>408</v>
      </c>
      <c r="C424" s="224"/>
      <c r="D424" s="213"/>
      <c r="E424" s="215"/>
      <c r="F424" s="214"/>
      <c r="G424" s="214"/>
      <c r="H424" s="74" t="str">
        <f t="shared" si="14"/>
        <v/>
      </c>
      <c r="I424" s="188" t="str">
        <f t="shared" si="15"/>
        <v/>
      </c>
      <c r="J424" s="221"/>
    </row>
    <row r="425" spans="1:10" s="90" customFormat="1" ht="14.25" hidden="1" x14ac:dyDescent="0.3">
      <c r="A425" s="141"/>
      <c r="B425" s="160">
        <v>409</v>
      </c>
      <c r="C425" s="224"/>
      <c r="D425" s="213"/>
      <c r="E425" s="215"/>
      <c r="F425" s="214"/>
      <c r="G425" s="214"/>
      <c r="H425" s="74" t="str">
        <f t="shared" si="14"/>
        <v/>
      </c>
      <c r="I425" s="188" t="str">
        <f t="shared" si="15"/>
        <v/>
      </c>
      <c r="J425" s="221"/>
    </row>
    <row r="426" spans="1:10" s="90" customFormat="1" ht="14.25" hidden="1" x14ac:dyDescent="0.3">
      <c r="A426" s="141"/>
      <c r="B426" s="160">
        <v>410</v>
      </c>
      <c r="C426" s="224"/>
      <c r="D426" s="213"/>
      <c r="E426" s="215"/>
      <c r="F426" s="214"/>
      <c r="G426" s="214"/>
      <c r="H426" s="74" t="str">
        <f t="shared" si="14"/>
        <v/>
      </c>
      <c r="I426" s="188" t="str">
        <f t="shared" si="15"/>
        <v/>
      </c>
      <c r="J426" s="221"/>
    </row>
    <row r="427" spans="1:10" s="90" customFormat="1" ht="14.25" hidden="1" x14ac:dyDescent="0.3">
      <c r="A427" s="141"/>
      <c r="B427" s="160">
        <v>411</v>
      </c>
      <c r="C427" s="224"/>
      <c r="D427" s="213"/>
      <c r="E427" s="215"/>
      <c r="F427" s="214"/>
      <c r="G427" s="214"/>
      <c r="H427" s="74" t="str">
        <f t="shared" si="14"/>
        <v/>
      </c>
      <c r="I427" s="188" t="str">
        <f t="shared" si="15"/>
        <v/>
      </c>
      <c r="J427" s="221"/>
    </row>
    <row r="428" spans="1:10" s="90" customFormat="1" ht="14.25" hidden="1" x14ac:dyDescent="0.3">
      <c r="A428" s="141"/>
      <c r="B428" s="160">
        <v>412</v>
      </c>
      <c r="C428" s="224"/>
      <c r="D428" s="213"/>
      <c r="E428" s="215"/>
      <c r="F428" s="214"/>
      <c r="G428" s="214"/>
      <c r="H428" s="74" t="str">
        <f t="shared" si="14"/>
        <v/>
      </c>
      <c r="I428" s="188" t="str">
        <f t="shared" si="15"/>
        <v/>
      </c>
      <c r="J428" s="221"/>
    </row>
    <row r="429" spans="1:10" s="90" customFormat="1" ht="14.25" hidden="1" x14ac:dyDescent="0.3">
      <c r="A429" s="141"/>
      <c r="B429" s="160">
        <v>413</v>
      </c>
      <c r="C429" s="224"/>
      <c r="D429" s="213"/>
      <c r="E429" s="215"/>
      <c r="F429" s="217"/>
      <c r="G429" s="218"/>
      <c r="H429" s="74" t="str">
        <f t="shared" si="14"/>
        <v/>
      </c>
      <c r="I429" s="188" t="str">
        <f t="shared" si="15"/>
        <v/>
      </c>
      <c r="J429" s="221"/>
    </row>
    <row r="430" spans="1:10" s="90" customFormat="1" ht="14.25" hidden="1" x14ac:dyDescent="0.3">
      <c r="A430" s="141"/>
      <c r="B430" s="160">
        <v>414</v>
      </c>
      <c r="C430" s="224"/>
      <c r="D430" s="213"/>
      <c r="E430" s="215"/>
      <c r="F430" s="217"/>
      <c r="G430" s="218"/>
      <c r="H430" s="74" t="str">
        <f t="shared" si="14"/>
        <v/>
      </c>
      <c r="I430" s="188" t="str">
        <f t="shared" si="15"/>
        <v/>
      </c>
      <c r="J430" s="221"/>
    </row>
    <row r="431" spans="1:10" s="90" customFormat="1" ht="14.25" hidden="1" x14ac:dyDescent="0.3">
      <c r="A431" s="141"/>
      <c r="B431" s="160">
        <v>415</v>
      </c>
      <c r="C431" s="224"/>
      <c r="D431" s="213"/>
      <c r="E431" s="215"/>
      <c r="F431" s="214"/>
      <c r="G431" s="214"/>
      <c r="H431" s="74" t="str">
        <f t="shared" si="14"/>
        <v/>
      </c>
      <c r="I431" s="188" t="str">
        <f t="shared" si="15"/>
        <v/>
      </c>
      <c r="J431" s="221"/>
    </row>
    <row r="432" spans="1:10" s="90" customFormat="1" ht="14.25" hidden="1" x14ac:dyDescent="0.3">
      <c r="A432" s="141"/>
      <c r="B432" s="160">
        <v>416</v>
      </c>
      <c r="C432" s="224"/>
      <c r="D432" s="213"/>
      <c r="E432" s="215"/>
      <c r="F432" s="215"/>
      <c r="G432" s="215"/>
      <c r="H432" s="74" t="str">
        <f t="shared" si="14"/>
        <v/>
      </c>
      <c r="I432" s="188" t="str">
        <f t="shared" si="15"/>
        <v/>
      </c>
      <c r="J432" s="221"/>
    </row>
    <row r="433" spans="1:10" s="90" customFormat="1" ht="14.25" hidden="1" x14ac:dyDescent="0.3">
      <c r="A433" s="141"/>
      <c r="B433" s="160">
        <v>417</v>
      </c>
      <c r="C433" s="224"/>
      <c r="D433" s="213"/>
      <c r="E433" s="215"/>
      <c r="F433" s="214"/>
      <c r="G433" s="214"/>
      <c r="H433" s="74" t="str">
        <f t="shared" si="14"/>
        <v/>
      </c>
      <c r="I433" s="188" t="str">
        <f t="shared" si="15"/>
        <v/>
      </c>
      <c r="J433" s="221"/>
    </row>
    <row r="434" spans="1:10" s="90" customFormat="1" ht="14.25" hidden="1" x14ac:dyDescent="0.3">
      <c r="A434" s="141"/>
      <c r="B434" s="160">
        <v>418</v>
      </c>
      <c r="C434" s="224"/>
      <c r="D434" s="213"/>
      <c r="E434" s="215"/>
      <c r="F434" s="214"/>
      <c r="G434" s="214"/>
      <c r="H434" s="74" t="str">
        <f t="shared" si="14"/>
        <v/>
      </c>
      <c r="I434" s="188" t="str">
        <f t="shared" si="15"/>
        <v/>
      </c>
      <c r="J434" s="221"/>
    </row>
    <row r="435" spans="1:10" s="90" customFormat="1" ht="14.25" hidden="1" x14ac:dyDescent="0.3">
      <c r="A435" s="141"/>
      <c r="B435" s="160">
        <v>419</v>
      </c>
      <c r="C435" s="224"/>
      <c r="D435" s="213"/>
      <c r="E435" s="215"/>
      <c r="F435" s="214"/>
      <c r="G435" s="214"/>
      <c r="H435" s="74" t="str">
        <f t="shared" si="14"/>
        <v/>
      </c>
      <c r="I435" s="188" t="str">
        <f t="shared" si="15"/>
        <v/>
      </c>
      <c r="J435" s="221"/>
    </row>
    <row r="436" spans="1:10" s="90" customFormat="1" ht="14.25" hidden="1" x14ac:dyDescent="0.3">
      <c r="A436" s="141"/>
      <c r="B436" s="160">
        <v>420</v>
      </c>
      <c r="C436" s="224"/>
      <c r="D436" s="213"/>
      <c r="E436" s="215"/>
      <c r="F436" s="214"/>
      <c r="G436" s="214"/>
      <c r="H436" s="74" t="str">
        <f t="shared" si="14"/>
        <v/>
      </c>
      <c r="I436" s="188" t="str">
        <f t="shared" si="15"/>
        <v/>
      </c>
      <c r="J436" s="221"/>
    </row>
    <row r="437" spans="1:10" s="90" customFormat="1" ht="14.25" hidden="1" x14ac:dyDescent="0.3">
      <c r="A437" s="141"/>
      <c r="B437" s="160">
        <v>421</v>
      </c>
      <c r="C437" s="224"/>
      <c r="D437" s="213"/>
      <c r="E437" s="215"/>
      <c r="F437" s="214"/>
      <c r="G437" s="214"/>
      <c r="H437" s="74" t="str">
        <f t="shared" si="14"/>
        <v/>
      </c>
      <c r="I437" s="188" t="str">
        <f t="shared" si="15"/>
        <v/>
      </c>
      <c r="J437" s="221"/>
    </row>
    <row r="438" spans="1:10" s="90" customFormat="1" ht="14.25" hidden="1" x14ac:dyDescent="0.3">
      <c r="A438" s="141"/>
      <c r="B438" s="160">
        <v>422</v>
      </c>
      <c r="C438" s="224"/>
      <c r="D438" s="213"/>
      <c r="E438" s="215"/>
      <c r="F438" s="217"/>
      <c r="G438" s="218"/>
      <c r="H438" s="74" t="str">
        <f t="shared" si="14"/>
        <v/>
      </c>
      <c r="I438" s="188" t="str">
        <f t="shared" si="15"/>
        <v/>
      </c>
      <c r="J438" s="221"/>
    </row>
    <row r="439" spans="1:10" s="90" customFormat="1" ht="14.25" hidden="1" x14ac:dyDescent="0.3">
      <c r="A439" s="141"/>
      <c r="B439" s="160">
        <v>423</v>
      </c>
      <c r="C439" s="224"/>
      <c r="D439" s="213"/>
      <c r="E439" s="215"/>
      <c r="F439" s="217"/>
      <c r="G439" s="218"/>
      <c r="H439" s="74" t="str">
        <f t="shared" si="14"/>
        <v/>
      </c>
      <c r="I439" s="188" t="str">
        <f t="shared" si="15"/>
        <v/>
      </c>
      <c r="J439" s="221"/>
    </row>
    <row r="440" spans="1:10" s="90" customFormat="1" ht="14.25" hidden="1" x14ac:dyDescent="0.3">
      <c r="A440" s="141"/>
      <c r="B440" s="160">
        <v>424</v>
      </c>
      <c r="C440" s="224"/>
      <c r="D440" s="213"/>
      <c r="E440" s="215"/>
      <c r="F440" s="214"/>
      <c r="G440" s="214"/>
      <c r="H440" s="74" t="str">
        <f t="shared" si="14"/>
        <v/>
      </c>
      <c r="I440" s="188" t="str">
        <f t="shared" si="15"/>
        <v/>
      </c>
      <c r="J440" s="221"/>
    </row>
    <row r="441" spans="1:10" s="90" customFormat="1" ht="14.25" hidden="1" x14ac:dyDescent="0.3">
      <c r="A441" s="141"/>
      <c r="B441" s="160">
        <v>425</v>
      </c>
      <c r="C441" s="224"/>
      <c r="D441" s="213"/>
      <c r="E441" s="215"/>
      <c r="F441" s="215"/>
      <c r="G441" s="215"/>
      <c r="H441" s="74" t="str">
        <f t="shared" si="14"/>
        <v/>
      </c>
      <c r="I441" s="188" t="str">
        <f t="shared" si="15"/>
        <v/>
      </c>
      <c r="J441" s="221"/>
    </row>
    <row r="442" spans="1:10" s="90" customFormat="1" ht="14.25" hidden="1" x14ac:dyDescent="0.3">
      <c r="A442" s="141"/>
      <c r="B442" s="160">
        <v>426</v>
      </c>
      <c r="C442" s="224"/>
      <c r="D442" s="216"/>
      <c r="E442" s="215"/>
      <c r="F442" s="217"/>
      <c r="G442" s="218"/>
      <c r="H442" s="74" t="str">
        <f t="shared" si="14"/>
        <v/>
      </c>
      <c r="I442" s="188" t="str">
        <f t="shared" si="15"/>
        <v/>
      </c>
      <c r="J442" s="221"/>
    </row>
    <row r="443" spans="1:10" s="90" customFormat="1" ht="14.25" hidden="1" x14ac:dyDescent="0.3">
      <c r="A443" s="141"/>
      <c r="B443" s="160">
        <v>427</v>
      </c>
      <c r="C443" s="224"/>
      <c r="D443" s="213"/>
      <c r="E443" s="215"/>
      <c r="F443" s="214"/>
      <c r="G443" s="218"/>
      <c r="H443" s="74" t="str">
        <f t="shared" si="14"/>
        <v/>
      </c>
      <c r="I443" s="188" t="str">
        <f t="shared" si="15"/>
        <v/>
      </c>
      <c r="J443" s="221"/>
    </row>
    <row r="444" spans="1:10" s="90" customFormat="1" ht="14.25" hidden="1" x14ac:dyDescent="0.3">
      <c r="A444" s="141"/>
      <c r="B444" s="160">
        <v>428</v>
      </c>
      <c r="C444" s="224"/>
      <c r="D444" s="213"/>
      <c r="E444" s="215"/>
      <c r="F444" s="214"/>
      <c r="G444" s="218"/>
      <c r="H444" s="74" t="str">
        <f t="shared" si="14"/>
        <v/>
      </c>
      <c r="I444" s="188" t="str">
        <f t="shared" si="15"/>
        <v/>
      </c>
      <c r="J444" s="221"/>
    </row>
    <row r="445" spans="1:10" s="90" customFormat="1" ht="14.25" hidden="1" x14ac:dyDescent="0.3">
      <c r="A445" s="141"/>
      <c r="B445" s="160">
        <v>429</v>
      </c>
      <c r="C445" s="224"/>
      <c r="D445" s="216"/>
      <c r="E445" s="215"/>
      <c r="F445" s="217"/>
      <c r="G445" s="218"/>
      <c r="H445" s="74" t="str">
        <f t="shared" si="14"/>
        <v/>
      </c>
      <c r="I445" s="188" t="str">
        <f t="shared" si="15"/>
        <v/>
      </c>
      <c r="J445" s="221"/>
    </row>
    <row r="446" spans="1:10" s="90" customFormat="1" ht="14.25" hidden="1" x14ac:dyDescent="0.3">
      <c r="A446" s="141"/>
      <c r="B446" s="160">
        <v>430</v>
      </c>
      <c r="C446" s="224"/>
      <c r="D446" s="213"/>
      <c r="E446" s="215"/>
      <c r="F446" s="214"/>
      <c r="G446" s="218"/>
      <c r="H446" s="74" t="str">
        <f t="shared" si="14"/>
        <v/>
      </c>
      <c r="I446" s="188" t="str">
        <f t="shared" si="15"/>
        <v/>
      </c>
      <c r="J446" s="221"/>
    </row>
    <row r="447" spans="1:10" s="90" customFormat="1" ht="14.25" hidden="1" x14ac:dyDescent="0.3">
      <c r="A447" s="141"/>
      <c r="B447" s="160">
        <v>431</v>
      </c>
      <c r="C447" s="224"/>
      <c r="D447" s="213"/>
      <c r="E447" s="215"/>
      <c r="F447" s="214"/>
      <c r="G447" s="218"/>
      <c r="H447" s="74" t="str">
        <f t="shared" si="14"/>
        <v/>
      </c>
      <c r="I447" s="188" t="str">
        <f t="shared" si="15"/>
        <v/>
      </c>
      <c r="J447" s="221"/>
    </row>
    <row r="448" spans="1:10" s="90" customFormat="1" ht="14.25" hidden="1" x14ac:dyDescent="0.3">
      <c r="A448" s="141"/>
      <c r="B448" s="160">
        <v>432</v>
      </c>
      <c r="C448" s="224"/>
      <c r="D448" s="213"/>
      <c r="E448" s="215"/>
      <c r="F448" s="217"/>
      <c r="G448" s="218"/>
      <c r="H448" s="74" t="str">
        <f t="shared" si="14"/>
        <v/>
      </c>
      <c r="I448" s="188" t="str">
        <f t="shared" si="15"/>
        <v/>
      </c>
      <c r="J448" s="221"/>
    </row>
    <row r="449" spans="1:10" s="90" customFormat="1" ht="14.25" hidden="1" x14ac:dyDescent="0.3">
      <c r="A449" s="141"/>
      <c r="B449" s="160">
        <v>433</v>
      </c>
      <c r="C449" s="224"/>
      <c r="D449" s="213"/>
      <c r="E449" s="215"/>
      <c r="F449" s="214"/>
      <c r="G449" s="214"/>
      <c r="H449" s="74" t="str">
        <f t="shared" si="14"/>
        <v/>
      </c>
      <c r="I449" s="188" t="str">
        <f t="shared" si="15"/>
        <v/>
      </c>
      <c r="J449" s="221"/>
    </row>
    <row r="450" spans="1:10" s="90" customFormat="1" ht="14.25" hidden="1" x14ac:dyDescent="0.3">
      <c r="A450" s="141"/>
      <c r="B450" s="160">
        <v>434</v>
      </c>
      <c r="C450" s="224"/>
      <c r="D450" s="213"/>
      <c r="E450" s="215"/>
      <c r="F450" s="215"/>
      <c r="G450" s="215"/>
      <c r="H450" s="74" t="str">
        <f t="shared" si="14"/>
        <v/>
      </c>
      <c r="I450" s="188" t="str">
        <f t="shared" si="15"/>
        <v/>
      </c>
      <c r="J450" s="221"/>
    </row>
    <row r="451" spans="1:10" s="90" customFormat="1" ht="14.25" hidden="1" x14ac:dyDescent="0.3">
      <c r="A451" s="141"/>
      <c r="B451" s="160">
        <v>435</v>
      </c>
      <c r="C451" s="224"/>
      <c r="D451" s="216"/>
      <c r="E451" s="215"/>
      <c r="F451" s="217"/>
      <c r="G451" s="218"/>
      <c r="H451" s="74" t="str">
        <f t="shared" si="14"/>
        <v/>
      </c>
      <c r="I451" s="188" t="str">
        <f t="shared" si="15"/>
        <v/>
      </c>
      <c r="J451" s="221"/>
    </row>
    <row r="452" spans="1:10" s="90" customFormat="1" ht="14.25" hidden="1" x14ac:dyDescent="0.3">
      <c r="A452" s="141"/>
      <c r="B452" s="160">
        <v>436</v>
      </c>
      <c r="C452" s="224"/>
      <c r="D452" s="213"/>
      <c r="E452" s="215"/>
      <c r="F452" s="214"/>
      <c r="G452" s="214"/>
      <c r="H452" s="74" t="str">
        <f t="shared" si="14"/>
        <v/>
      </c>
      <c r="I452" s="188" t="str">
        <f t="shared" si="15"/>
        <v/>
      </c>
      <c r="J452" s="221"/>
    </row>
    <row r="453" spans="1:10" s="90" customFormat="1" ht="14.25" hidden="1" x14ac:dyDescent="0.3">
      <c r="A453" s="141"/>
      <c r="B453" s="160">
        <v>437</v>
      </c>
      <c r="C453" s="224"/>
      <c r="D453" s="213"/>
      <c r="E453" s="215"/>
      <c r="F453" s="215"/>
      <c r="G453" s="215"/>
      <c r="H453" s="74" t="str">
        <f t="shared" si="14"/>
        <v/>
      </c>
      <c r="I453" s="188" t="str">
        <f t="shared" si="15"/>
        <v/>
      </c>
      <c r="J453" s="221"/>
    </row>
    <row r="454" spans="1:10" s="90" customFormat="1" ht="14.25" hidden="1" x14ac:dyDescent="0.3">
      <c r="A454" s="141"/>
      <c r="B454" s="160">
        <v>438</v>
      </c>
      <c r="C454" s="224"/>
      <c r="D454" s="216"/>
      <c r="E454" s="215"/>
      <c r="F454" s="217"/>
      <c r="G454" s="218"/>
      <c r="H454" s="74" t="str">
        <f t="shared" si="14"/>
        <v/>
      </c>
      <c r="I454" s="188" t="str">
        <f t="shared" si="15"/>
        <v/>
      </c>
      <c r="J454" s="221"/>
    </row>
    <row r="455" spans="1:10" s="90" customFormat="1" ht="14.25" hidden="1" x14ac:dyDescent="0.3">
      <c r="A455" s="141"/>
      <c r="B455" s="160">
        <v>439</v>
      </c>
      <c r="C455" s="224"/>
      <c r="D455" s="213"/>
      <c r="E455" s="215"/>
      <c r="F455" s="214"/>
      <c r="G455" s="214"/>
      <c r="H455" s="74" t="str">
        <f t="shared" si="14"/>
        <v/>
      </c>
      <c r="I455" s="188" t="str">
        <f t="shared" si="15"/>
        <v/>
      </c>
      <c r="J455" s="221"/>
    </row>
    <row r="456" spans="1:10" s="90" customFormat="1" ht="14.25" hidden="1" x14ac:dyDescent="0.3">
      <c r="A456" s="141"/>
      <c r="B456" s="160">
        <v>440</v>
      </c>
      <c r="C456" s="224"/>
      <c r="D456" s="213"/>
      <c r="E456" s="215"/>
      <c r="F456" s="215"/>
      <c r="G456" s="215"/>
      <c r="H456" s="74" t="str">
        <f t="shared" si="14"/>
        <v/>
      </c>
      <c r="I456" s="188" t="str">
        <f t="shared" si="15"/>
        <v/>
      </c>
      <c r="J456" s="221"/>
    </row>
    <row r="457" spans="1:10" s="90" customFormat="1" ht="14.25" hidden="1" x14ac:dyDescent="0.3">
      <c r="A457" s="141"/>
      <c r="B457" s="160">
        <v>441</v>
      </c>
      <c r="C457" s="224"/>
      <c r="D457" s="216"/>
      <c r="E457" s="215"/>
      <c r="F457" s="217"/>
      <c r="G457" s="218"/>
      <c r="H457" s="74" t="str">
        <f t="shared" si="14"/>
        <v/>
      </c>
      <c r="I457" s="188" t="str">
        <f t="shared" si="15"/>
        <v/>
      </c>
      <c r="J457" s="221"/>
    </row>
    <row r="458" spans="1:10" s="90" customFormat="1" ht="14.25" hidden="1" x14ac:dyDescent="0.3">
      <c r="A458" s="141"/>
      <c r="B458" s="160">
        <v>442</v>
      </c>
      <c r="C458" s="224"/>
      <c r="D458" s="213"/>
      <c r="E458" s="215"/>
      <c r="F458" s="215"/>
      <c r="G458" s="215"/>
      <c r="H458" s="74" t="str">
        <f t="shared" si="14"/>
        <v/>
      </c>
      <c r="I458" s="188" t="str">
        <f t="shared" si="15"/>
        <v/>
      </c>
      <c r="J458" s="221"/>
    </row>
    <row r="459" spans="1:10" s="90" customFormat="1" ht="14.25" hidden="1" x14ac:dyDescent="0.3">
      <c r="A459" s="141"/>
      <c r="B459" s="160">
        <v>443</v>
      </c>
      <c r="C459" s="224"/>
      <c r="D459" s="216"/>
      <c r="E459" s="215"/>
      <c r="F459" s="217"/>
      <c r="G459" s="218"/>
      <c r="H459" s="74" t="str">
        <f t="shared" si="14"/>
        <v/>
      </c>
      <c r="I459" s="188" t="str">
        <f t="shared" si="15"/>
        <v/>
      </c>
      <c r="J459" s="221"/>
    </row>
    <row r="460" spans="1:10" s="90" customFormat="1" ht="14.25" hidden="1" x14ac:dyDescent="0.3">
      <c r="A460" s="141"/>
      <c r="B460" s="160">
        <v>444</v>
      </c>
      <c r="C460" s="224"/>
      <c r="D460" s="216"/>
      <c r="E460" s="215"/>
      <c r="F460" s="217"/>
      <c r="G460" s="218"/>
      <c r="H460" s="74" t="str">
        <f t="shared" si="14"/>
        <v/>
      </c>
      <c r="I460" s="188" t="str">
        <f t="shared" si="15"/>
        <v/>
      </c>
      <c r="J460" s="221"/>
    </row>
    <row r="461" spans="1:10" s="90" customFormat="1" ht="14.25" hidden="1" x14ac:dyDescent="0.3">
      <c r="A461" s="141"/>
      <c r="B461" s="160">
        <v>445</v>
      </c>
      <c r="C461" s="224"/>
      <c r="D461" s="213"/>
      <c r="E461" s="215"/>
      <c r="F461" s="215"/>
      <c r="G461" s="215"/>
      <c r="H461" s="74" t="str">
        <f t="shared" si="14"/>
        <v/>
      </c>
      <c r="I461" s="188" t="str">
        <f t="shared" si="15"/>
        <v/>
      </c>
      <c r="J461" s="221"/>
    </row>
    <row r="462" spans="1:10" s="90" customFormat="1" ht="14.25" hidden="1" x14ac:dyDescent="0.3">
      <c r="A462" s="141"/>
      <c r="B462" s="160">
        <v>446</v>
      </c>
      <c r="C462" s="224"/>
      <c r="D462" s="216"/>
      <c r="E462" s="215"/>
      <c r="F462" s="217"/>
      <c r="G462" s="218"/>
      <c r="H462" s="74" t="str">
        <f t="shared" si="14"/>
        <v/>
      </c>
      <c r="I462" s="188" t="str">
        <f t="shared" si="15"/>
        <v/>
      </c>
      <c r="J462" s="221"/>
    </row>
    <row r="463" spans="1:10" s="90" customFormat="1" ht="14.25" hidden="1" x14ac:dyDescent="0.3">
      <c r="A463" s="141"/>
      <c r="B463" s="160">
        <v>447</v>
      </c>
      <c r="C463" s="224"/>
      <c r="D463" s="213"/>
      <c r="E463" s="215"/>
      <c r="F463" s="214"/>
      <c r="G463" s="218"/>
      <c r="H463" s="74" t="str">
        <f t="shared" si="14"/>
        <v/>
      </c>
      <c r="I463" s="188" t="str">
        <f t="shared" si="15"/>
        <v/>
      </c>
      <c r="J463" s="221"/>
    </row>
    <row r="464" spans="1:10" s="90" customFormat="1" ht="14.25" hidden="1" x14ac:dyDescent="0.3">
      <c r="A464" s="141"/>
      <c r="B464" s="160">
        <v>448</v>
      </c>
      <c r="C464" s="224"/>
      <c r="D464" s="213"/>
      <c r="E464" s="215"/>
      <c r="F464" s="214"/>
      <c r="G464" s="218"/>
      <c r="H464" s="74" t="str">
        <f t="shared" si="14"/>
        <v/>
      </c>
      <c r="I464" s="188" t="str">
        <f t="shared" si="15"/>
        <v/>
      </c>
      <c r="J464" s="221"/>
    </row>
    <row r="465" spans="1:10" s="90" customFormat="1" ht="14.25" hidden="1" x14ac:dyDescent="0.3">
      <c r="A465" s="141"/>
      <c r="B465" s="160">
        <v>449</v>
      </c>
      <c r="C465" s="224"/>
      <c r="D465" s="216"/>
      <c r="E465" s="215"/>
      <c r="F465" s="217"/>
      <c r="G465" s="218"/>
      <c r="H465" s="74" t="str">
        <f t="shared" ref="H465:H528" si="16">ObterComplexidadeFuncao(E465,F465,G465)</f>
        <v/>
      </c>
      <c r="I465" s="188" t="str">
        <f t="shared" si="15"/>
        <v/>
      </c>
      <c r="J465" s="221"/>
    </row>
    <row r="466" spans="1:10" s="90" customFormat="1" ht="14.25" hidden="1" x14ac:dyDescent="0.3">
      <c r="A466" s="141"/>
      <c r="B466" s="160">
        <v>450</v>
      </c>
      <c r="C466" s="224"/>
      <c r="D466" s="213"/>
      <c r="E466" s="215"/>
      <c r="F466" s="214"/>
      <c r="G466" s="218"/>
      <c r="H466" s="74" t="str">
        <f t="shared" si="16"/>
        <v/>
      </c>
      <c r="I466" s="188" t="str">
        <f t="shared" ref="I466:I529" si="17">ObterContribuicaoFuncao(E466,H466)</f>
        <v/>
      </c>
      <c r="J466" s="221"/>
    </row>
    <row r="467" spans="1:10" s="90" customFormat="1" ht="14.25" hidden="1" x14ac:dyDescent="0.3">
      <c r="A467" s="141"/>
      <c r="B467" s="160">
        <v>451</v>
      </c>
      <c r="C467" s="224"/>
      <c r="D467" s="213"/>
      <c r="E467" s="215"/>
      <c r="F467" s="214"/>
      <c r="G467" s="218"/>
      <c r="H467" s="74" t="str">
        <f t="shared" si="16"/>
        <v/>
      </c>
      <c r="I467" s="188" t="str">
        <f t="shared" si="17"/>
        <v/>
      </c>
      <c r="J467" s="221"/>
    </row>
    <row r="468" spans="1:10" s="90" customFormat="1" ht="14.25" hidden="1" x14ac:dyDescent="0.3">
      <c r="A468" s="141"/>
      <c r="B468" s="160">
        <v>452</v>
      </c>
      <c r="C468" s="224"/>
      <c r="D468" s="213"/>
      <c r="E468" s="215"/>
      <c r="F468" s="217"/>
      <c r="G468" s="218"/>
      <c r="H468" s="74" t="str">
        <f t="shared" si="16"/>
        <v/>
      </c>
      <c r="I468" s="188" t="str">
        <f t="shared" si="17"/>
        <v/>
      </c>
      <c r="J468" s="221"/>
    </row>
    <row r="469" spans="1:10" s="90" customFormat="1" ht="14.25" hidden="1" x14ac:dyDescent="0.3">
      <c r="A469" s="141"/>
      <c r="B469" s="160">
        <v>453</v>
      </c>
      <c r="C469" s="224"/>
      <c r="D469" s="216"/>
      <c r="E469" s="215"/>
      <c r="F469" s="217"/>
      <c r="G469" s="218"/>
      <c r="H469" s="74" t="str">
        <f t="shared" si="16"/>
        <v/>
      </c>
      <c r="I469" s="188" t="str">
        <f t="shared" si="17"/>
        <v/>
      </c>
      <c r="J469" s="221"/>
    </row>
    <row r="470" spans="1:10" s="90" customFormat="1" ht="14.25" hidden="1" x14ac:dyDescent="0.3">
      <c r="A470" s="141"/>
      <c r="B470" s="160">
        <v>454</v>
      </c>
      <c r="C470" s="224"/>
      <c r="D470" s="213"/>
      <c r="E470" s="215"/>
      <c r="F470" s="215"/>
      <c r="G470" s="215"/>
      <c r="H470" s="74" t="str">
        <f t="shared" si="16"/>
        <v/>
      </c>
      <c r="I470" s="188" t="str">
        <f t="shared" si="17"/>
        <v/>
      </c>
      <c r="J470" s="221"/>
    </row>
    <row r="471" spans="1:10" s="90" customFormat="1" ht="14.25" hidden="1" x14ac:dyDescent="0.3">
      <c r="A471" s="141"/>
      <c r="B471" s="160">
        <v>455</v>
      </c>
      <c r="C471" s="224"/>
      <c r="D471" s="216"/>
      <c r="E471" s="215"/>
      <c r="F471" s="217"/>
      <c r="G471" s="218"/>
      <c r="H471" s="74" t="str">
        <f t="shared" si="16"/>
        <v/>
      </c>
      <c r="I471" s="188" t="str">
        <f t="shared" si="17"/>
        <v/>
      </c>
      <c r="J471" s="221"/>
    </row>
    <row r="472" spans="1:10" s="90" customFormat="1" ht="14.25" hidden="1" x14ac:dyDescent="0.3">
      <c r="A472" s="141"/>
      <c r="B472" s="160">
        <v>456</v>
      </c>
      <c r="C472" s="224"/>
      <c r="D472" s="213"/>
      <c r="E472" s="215"/>
      <c r="F472" s="214"/>
      <c r="G472" s="218"/>
      <c r="H472" s="74" t="str">
        <f t="shared" si="16"/>
        <v/>
      </c>
      <c r="I472" s="188" t="str">
        <f t="shared" si="17"/>
        <v/>
      </c>
      <c r="J472" s="221"/>
    </row>
    <row r="473" spans="1:10" s="90" customFormat="1" ht="14.25" hidden="1" x14ac:dyDescent="0.3">
      <c r="A473" s="141"/>
      <c r="B473" s="160">
        <v>457</v>
      </c>
      <c r="C473" s="224"/>
      <c r="D473" s="213"/>
      <c r="E473" s="215"/>
      <c r="F473" s="214"/>
      <c r="G473" s="218"/>
      <c r="H473" s="74" t="str">
        <f t="shared" si="16"/>
        <v/>
      </c>
      <c r="I473" s="188" t="str">
        <f t="shared" si="17"/>
        <v/>
      </c>
      <c r="J473" s="221"/>
    </row>
    <row r="474" spans="1:10" s="90" customFormat="1" ht="14.25" hidden="1" x14ac:dyDescent="0.3">
      <c r="A474" s="141"/>
      <c r="B474" s="160">
        <v>458</v>
      </c>
      <c r="C474" s="224"/>
      <c r="D474" s="216"/>
      <c r="E474" s="215"/>
      <c r="F474" s="217"/>
      <c r="G474" s="218"/>
      <c r="H474" s="74" t="str">
        <f t="shared" si="16"/>
        <v/>
      </c>
      <c r="I474" s="188" t="str">
        <f t="shared" si="17"/>
        <v/>
      </c>
      <c r="J474" s="221"/>
    </row>
    <row r="475" spans="1:10" s="90" customFormat="1" ht="14.25" hidden="1" x14ac:dyDescent="0.3">
      <c r="A475" s="141"/>
      <c r="B475" s="160">
        <v>459</v>
      </c>
      <c r="C475" s="224"/>
      <c r="D475" s="213"/>
      <c r="E475" s="215"/>
      <c r="F475" s="214"/>
      <c r="G475" s="218"/>
      <c r="H475" s="74" t="str">
        <f t="shared" si="16"/>
        <v/>
      </c>
      <c r="I475" s="188" t="str">
        <f t="shared" si="17"/>
        <v/>
      </c>
      <c r="J475" s="221"/>
    </row>
    <row r="476" spans="1:10" s="90" customFormat="1" ht="14.25" hidden="1" x14ac:dyDescent="0.3">
      <c r="A476" s="141"/>
      <c r="B476" s="160">
        <v>460</v>
      </c>
      <c r="C476" s="224"/>
      <c r="D476" s="213"/>
      <c r="E476" s="215"/>
      <c r="F476" s="214"/>
      <c r="G476" s="218"/>
      <c r="H476" s="74" t="str">
        <f t="shared" si="16"/>
        <v/>
      </c>
      <c r="I476" s="188" t="str">
        <f t="shared" si="17"/>
        <v/>
      </c>
      <c r="J476" s="221"/>
    </row>
    <row r="477" spans="1:10" s="90" customFormat="1" ht="14.25" hidden="1" x14ac:dyDescent="0.3">
      <c r="A477" s="141"/>
      <c r="B477" s="160">
        <v>461</v>
      </c>
      <c r="C477" s="224"/>
      <c r="D477" s="213"/>
      <c r="E477" s="215"/>
      <c r="F477" s="217"/>
      <c r="G477" s="218"/>
      <c r="H477" s="74" t="str">
        <f t="shared" si="16"/>
        <v/>
      </c>
      <c r="I477" s="188" t="str">
        <f t="shared" si="17"/>
        <v/>
      </c>
      <c r="J477" s="221"/>
    </row>
    <row r="478" spans="1:10" s="90" customFormat="1" ht="14.25" hidden="1" x14ac:dyDescent="0.3">
      <c r="A478" s="141"/>
      <c r="B478" s="160">
        <v>462</v>
      </c>
      <c r="C478" s="224"/>
      <c r="D478" s="216"/>
      <c r="E478" s="215"/>
      <c r="F478" s="217"/>
      <c r="G478" s="218"/>
      <c r="H478" s="74" t="str">
        <f t="shared" si="16"/>
        <v/>
      </c>
      <c r="I478" s="188" t="str">
        <f t="shared" si="17"/>
        <v/>
      </c>
      <c r="J478" s="221"/>
    </row>
    <row r="479" spans="1:10" s="90" customFormat="1" ht="14.25" hidden="1" x14ac:dyDescent="0.3">
      <c r="A479" s="141"/>
      <c r="B479" s="160">
        <v>463</v>
      </c>
      <c r="C479" s="224"/>
      <c r="D479" s="213"/>
      <c r="E479" s="215"/>
      <c r="F479" s="215"/>
      <c r="G479" s="215"/>
      <c r="H479" s="74" t="str">
        <f t="shared" si="16"/>
        <v/>
      </c>
      <c r="I479" s="188" t="str">
        <f t="shared" si="17"/>
        <v/>
      </c>
      <c r="J479" s="221"/>
    </row>
    <row r="480" spans="1:10" s="90" customFormat="1" ht="14.25" hidden="1" x14ac:dyDescent="0.3">
      <c r="A480" s="141"/>
      <c r="B480" s="160">
        <v>464</v>
      </c>
      <c r="C480" s="224"/>
      <c r="D480" s="216"/>
      <c r="E480" s="215"/>
      <c r="F480" s="217"/>
      <c r="G480" s="218"/>
      <c r="H480" s="74" t="str">
        <f t="shared" si="16"/>
        <v/>
      </c>
      <c r="I480" s="188" t="str">
        <f t="shared" si="17"/>
        <v/>
      </c>
      <c r="J480" s="221"/>
    </row>
    <row r="481" spans="1:10" s="90" customFormat="1" ht="14.25" hidden="1" x14ac:dyDescent="0.3">
      <c r="A481" s="141"/>
      <c r="B481" s="160">
        <v>465</v>
      </c>
      <c r="C481" s="224"/>
      <c r="D481" s="216"/>
      <c r="E481" s="215"/>
      <c r="F481" s="217"/>
      <c r="G481" s="218"/>
      <c r="H481" s="74" t="str">
        <f t="shared" si="16"/>
        <v/>
      </c>
      <c r="I481" s="188" t="str">
        <f t="shared" si="17"/>
        <v/>
      </c>
      <c r="J481" s="221"/>
    </row>
    <row r="482" spans="1:10" s="90" customFormat="1" ht="14.25" hidden="1" x14ac:dyDescent="0.3">
      <c r="A482" s="141"/>
      <c r="B482" s="160">
        <v>466</v>
      </c>
      <c r="C482" s="224"/>
      <c r="D482" s="213"/>
      <c r="E482" s="215"/>
      <c r="F482" s="215"/>
      <c r="G482" s="215"/>
      <c r="H482" s="74" t="str">
        <f t="shared" si="16"/>
        <v/>
      </c>
      <c r="I482" s="188" t="str">
        <f t="shared" si="17"/>
        <v/>
      </c>
      <c r="J482" s="221"/>
    </row>
    <row r="483" spans="1:10" s="90" customFormat="1" ht="14.25" hidden="1" x14ac:dyDescent="0.3">
      <c r="A483" s="141"/>
      <c r="B483" s="160">
        <v>467</v>
      </c>
      <c r="C483" s="224"/>
      <c r="D483" s="216"/>
      <c r="E483" s="215"/>
      <c r="F483" s="217"/>
      <c r="G483" s="218"/>
      <c r="H483" s="74" t="str">
        <f t="shared" si="16"/>
        <v/>
      </c>
      <c r="I483" s="188" t="str">
        <f t="shared" si="17"/>
        <v/>
      </c>
      <c r="J483" s="221"/>
    </row>
    <row r="484" spans="1:10" s="90" customFormat="1" ht="14.25" hidden="1" x14ac:dyDescent="0.3">
      <c r="A484" s="141"/>
      <c r="B484" s="160">
        <v>468</v>
      </c>
      <c r="C484" s="224"/>
      <c r="D484" s="216"/>
      <c r="E484" s="215"/>
      <c r="F484" s="217"/>
      <c r="G484" s="218"/>
      <c r="H484" s="74" t="str">
        <f t="shared" si="16"/>
        <v/>
      </c>
      <c r="I484" s="188" t="str">
        <f t="shared" si="17"/>
        <v/>
      </c>
      <c r="J484" s="221"/>
    </row>
    <row r="485" spans="1:10" s="90" customFormat="1" ht="14.25" hidden="1" x14ac:dyDescent="0.3">
      <c r="A485" s="141"/>
      <c r="B485" s="160">
        <v>469</v>
      </c>
      <c r="C485" s="224"/>
      <c r="D485" s="213"/>
      <c r="E485" s="215"/>
      <c r="F485" s="215"/>
      <c r="G485" s="215"/>
      <c r="H485" s="74" t="str">
        <f t="shared" si="16"/>
        <v/>
      </c>
      <c r="I485" s="188" t="str">
        <f t="shared" si="17"/>
        <v/>
      </c>
      <c r="J485" s="221"/>
    </row>
    <row r="486" spans="1:10" s="90" customFormat="1" ht="14.25" hidden="1" x14ac:dyDescent="0.3">
      <c r="A486" s="141"/>
      <c r="B486" s="160">
        <v>470</v>
      </c>
      <c r="C486" s="224"/>
      <c r="D486" s="216"/>
      <c r="E486" s="215"/>
      <c r="F486" s="217"/>
      <c r="G486" s="218"/>
      <c r="H486" s="74" t="str">
        <f t="shared" si="16"/>
        <v/>
      </c>
      <c r="I486" s="188" t="str">
        <f t="shared" si="17"/>
        <v/>
      </c>
      <c r="J486" s="221"/>
    </row>
    <row r="487" spans="1:10" s="90" customFormat="1" ht="14.25" hidden="1" x14ac:dyDescent="0.3">
      <c r="A487" s="141"/>
      <c r="B487" s="160">
        <v>471</v>
      </c>
      <c r="C487" s="224"/>
      <c r="D487" s="216"/>
      <c r="E487" s="215"/>
      <c r="F487" s="217"/>
      <c r="G487" s="218"/>
      <c r="H487" s="74" t="str">
        <f t="shared" si="16"/>
        <v/>
      </c>
      <c r="I487" s="188" t="str">
        <f t="shared" si="17"/>
        <v/>
      </c>
      <c r="J487" s="221"/>
    </row>
    <row r="488" spans="1:10" s="90" customFormat="1" ht="14.25" hidden="1" x14ac:dyDescent="0.3">
      <c r="A488" s="141"/>
      <c r="B488" s="160">
        <v>472</v>
      </c>
      <c r="C488" s="224"/>
      <c r="D488" s="213"/>
      <c r="E488" s="215"/>
      <c r="F488" s="215"/>
      <c r="G488" s="215"/>
      <c r="H488" s="74" t="str">
        <f>ObterComplexidadeFuncao(E488,F488,G488)</f>
        <v/>
      </c>
      <c r="I488" s="188" t="str">
        <f t="shared" si="17"/>
        <v/>
      </c>
      <c r="J488" s="221"/>
    </row>
    <row r="489" spans="1:10" s="90" customFormat="1" ht="14.25" hidden="1" x14ac:dyDescent="0.3">
      <c r="A489" s="141"/>
      <c r="B489" s="160">
        <v>473</v>
      </c>
      <c r="C489" s="224"/>
      <c r="D489" s="213"/>
      <c r="E489" s="215"/>
      <c r="F489" s="214"/>
      <c r="G489" s="214"/>
      <c r="H489" s="74" t="str">
        <f t="shared" si="16"/>
        <v/>
      </c>
      <c r="I489" s="188" t="str">
        <f t="shared" si="17"/>
        <v/>
      </c>
      <c r="J489" s="221"/>
    </row>
    <row r="490" spans="1:10" s="90" customFormat="1" ht="14.25" hidden="1" x14ac:dyDescent="0.3">
      <c r="A490" s="141"/>
      <c r="B490" s="160">
        <v>474</v>
      </c>
      <c r="C490" s="224"/>
      <c r="D490" s="216"/>
      <c r="E490" s="215"/>
      <c r="F490" s="217"/>
      <c r="G490" s="218"/>
      <c r="H490" s="74" t="str">
        <f t="shared" si="16"/>
        <v/>
      </c>
      <c r="I490" s="188" t="str">
        <f t="shared" si="17"/>
        <v/>
      </c>
      <c r="J490" s="221"/>
    </row>
    <row r="491" spans="1:10" s="90" customFormat="1" ht="14.25" hidden="1" x14ac:dyDescent="0.3">
      <c r="A491" s="141"/>
      <c r="B491" s="160">
        <v>475</v>
      </c>
      <c r="C491" s="224"/>
      <c r="D491" s="213"/>
      <c r="E491" s="215"/>
      <c r="F491" s="215"/>
      <c r="G491" s="215"/>
      <c r="H491" s="74" t="str">
        <f t="shared" si="16"/>
        <v/>
      </c>
      <c r="I491" s="188" t="str">
        <f t="shared" si="17"/>
        <v/>
      </c>
      <c r="J491" s="221"/>
    </row>
    <row r="492" spans="1:10" s="90" customFormat="1" ht="14.25" hidden="1" x14ac:dyDescent="0.3">
      <c r="A492" s="141"/>
      <c r="B492" s="160">
        <v>476</v>
      </c>
      <c r="C492" s="224"/>
      <c r="D492" s="216"/>
      <c r="E492" s="215"/>
      <c r="F492" s="217"/>
      <c r="G492" s="218"/>
      <c r="H492" s="74" t="str">
        <f t="shared" si="16"/>
        <v/>
      </c>
      <c r="I492" s="188" t="str">
        <f t="shared" si="17"/>
        <v/>
      </c>
      <c r="J492" s="221"/>
    </row>
    <row r="493" spans="1:10" s="90" customFormat="1" ht="14.25" hidden="1" x14ac:dyDescent="0.3">
      <c r="A493" s="141"/>
      <c r="B493" s="160">
        <v>477</v>
      </c>
      <c r="C493" s="224"/>
      <c r="D493" s="213"/>
      <c r="E493" s="215"/>
      <c r="F493" s="214"/>
      <c r="G493" s="218"/>
      <c r="H493" s="74" t="str">
        <f t="shared" si="16"/>
        <v/>
      </c>
      <c r="I493" s="188" t="str">
        <f t="shared" si="17"/>
        <v/>
      </c>
      <c r="J493" s="221"/>
    </row>
    <row r="494" spans="1:10" s="90" customFormat="1" ht="14.25" hidden="1" x14ac:dyDescent="0.3">
      <c r="A494" s="141"/>
      <c r="B494" s="160">
        <v>478</v>
      </c>
      <c r="C494" s="224"/>
      <c r="D494" s="213"/>
      <c r="E494" s="215"/>
      <c r="F494" s="214"/>
      <c r="G494" s="218"/>
      <c r="H494" s="74" t="str">
        <f t="shared" si="16"/>
        <v/>
      </c>
      <c r="I494" s="188" t="str">
        <f t="shared" si="17"/>
        <v/>
      </c>
      <c r="J494" s="221"/>
    </row>
    <row r="495" spans="1:10" s="90" customFormat="1" ht="14.25" hidden="1" x14ac:dyDescent="0.3">
      <c r="A495" s="141"/>
      <c r="B495" s="160">
        <v>479</v>
      </c>
      <c r="C495" s="224"/>
      <c r="D495" s="216"/>
      <c r="E495" s="215"/>
      <c r="F495" s="217"/>
      <c r="G495" s="218"/>
      <c r="H495" s="74" t="str">
        <f t="shared" si="16"/>
        <v/>
      </c>
      <c r="I495" s="188" t="str">
        <f t="shared" si="17"/>
        <v/>
      </c>
      <c r="J495" s="221"/>
    </row>
    <row r="496" spans="1:10" s="90" customFormat="1" ht="14.25" hidden="1" x14ac:dyDescent="0.3">
      <c r="A496" s="141"/>
      <c r="B496" s="160">
        <v>480</v>
      </c>
      <c r="C496" s="224"/>
      <c r="D496" s="213"/>
      <c r="E496" s="215"/>
      <c r="F496" s="214"/>
      <c r="G496" s="218"/>
      <c r="H496" s="74" t="str">
        <f t="shared" si="16"/>
        <v/>
      </c>
      <c r="I496" s="188" t="str">
        <f t="shared" si="17"/>
        <v/>
      </c>
      <c r="J496" s="221"/>
    </row>
    <row r="497" spans="1:10" s="90" customFormat="1" ht="14.25" hidden="1" x14ac:dyDescent="0.3">
      <c r="A497" s="141"/>
      <c r="B497" s="160">
        <v>481</v>
      </c>
      <c r="C497" s="224"/>
      <c r="D497" s="213"/>
      <c r="E497" s="215"/>
      <c r="F497" s="214"/>
      <c r="G497" s="218"/>
      <c r="H497" s="74" t="str">
        <f t="shared" si="16"/>
        <v/>
      </c>
      <c r="I497" s="188" t="str">
        <f t="shared" si="17"/>
        <v/>
      </c>
      <c r="J497" s="221"/>
    </row>
    <row r="498" spans="1:10" s="90" customFormat="1" ht="14.25" hidden="1" x14ac:dyDescent="0.3">
      <c r="A498" s="141"/>
      <c r="B498" s="160">
        <v>482</v>
      </c>
      <c r="C498" s="224"/>
      <c r="D498" s="213"/>
      <c r="E498" s="215"/>
      <c r="F498" s="214"/>
      <c r="G498" s="218"/>
      <c r="H498" s="74" t="str">
        <f t="shared" si="16"/>
        <v/>
      </c>
      <c r="I498" s="188" t="str">
        <f t="shared" si="17"/>
        <v/>
      </c>
      <c r="J498" s="221"/>
    </row>
    <row r="499" spans="1:10" s="90" customFormat="1" ht="14.25" hidden="1" x14ac:dyDescent="0.3">
      <c r="A499" s="141"/>
      <c r="B499" s="160">
        <v>483</v>
      </c>
      <c r="C499" s="224"/>
      <c r="D499" s="213"/>
      <c r="E499" s="215"/>
      <c r="F499" s="214"/>
      <c r="G499" s="218"/>
      <c r="H499" s="74" t="str">
        <f t="shared" si="16"/>
        <v/>
      </c>
      <c r="I499" s="188" t="str">
        <f t="shared" si="17"/>
        <v/>
      </c>
      <c r="J499" s="221"/>
    </row>
    <row r="500" spans="1:10" s="90" customFormat="1" ht="14.25" hidden="1" x14ac:dyDescent="0.3">
      <c r="A500" s="141"/>
      <c r="B500" s="160">
        <v>484</v>
      </c>
      <c r="C500" s="224"/>
      <c r="D500" s="213"/>
      <c r="E500" s="215"/>
      <c r="F500" s="214"/>
      <c r="G500" s="218"/>
      <c r="H500" s="74" t="str">
        <f t="shared" si="16"/>
        <v/>
      </c>
      <c r="I500" s="188" t="str">
        <f t="shared" si="17"/>
        <v/>
      </c>
      <c r="J500" s="221"/>
    </row>
    <row r="501" spans="1:10" s="90" customFormat="1" ht="14.25" hidden="1" x14ac:dyDescent="0.3">
      <c r="A501" s="141"/>
      <c r="B501" s="160">
        <v>485</v>
      </c>
      <c r="C501" s="224"/>
      <c r="D501" s="213"/>
      <c r="E501" s="215"/>
      <c r="F501" s="217"/>
      <c r="G501" s="218"/>
      <c r="H501" s="74" t="str">
        <f t="shared" si="16"/>
        <v/>
      </c>
      <c r="I501" s="188" t="str">
        <f t="shared" si="17"/>
        <v/>
      </c>
      <c r="J501" s="221"/>
    </row>
    <row r="502" spans="1:10" s="90" customFormat="1" ht="14.25" hidden="1" x14ac:dyDescent="0.3">
      <c r="A502" s="141"/>
      <c r="B502" s="160">
        <v>486</v>
      </c>
      <c r="C502" s="224"/>
      <c r="D502" s="216"/>
      <c r="E502" s="215"/>
      <c r="F502" s="217"/>
      <c r="G502" s="218"/>
      <c r="H502" s="74" t="str">
        <f t="shared" si="16"/>
        <v/>
      </c>
      <c r="I502" s="188" t="str">
        <f t="shared" si="17"/>
        <v/>
      </c>
      <c r="J502" s="221"/>
    </row>
    <row r="503" spans="1:10" s="90" customFormat="1" ht="14.25" hidden="1" x14ac:dyDescent="0.3">
      <c r="A503" s="141"/>
      <c r="B503" s="160">
        <v>487</v>
      </c>
      <c r="C503" s="224"/>
      <c r="D503" s="242"/>
      <c r="E503" s="215"/>
      <c r="F503" s="215"/>
      <c r="G503" s="215"/>
      <c r="H503" s="74" t="str">
        <f t="shared" si="16"/>
        <v/>
      </c>
      <c r="I503" s="188" t="str">
        <f t="shared" si="17"/>
        <v/>
      </c>
      <c r="J503" s="221"/>
    </row>
    <row r="504" spans="1:10" s="90" customFormat="1" ht="14.25" hidden="1" x14ac:dyDescent="0.3">
      <c r="A504" s="141"/>
      <c r="B504" s="160">
        <v>488</v>
      </c>
      <c r="C504" s="224"/>
      <c r="D504" s="213"/>
      <c r="E504" s="215"/>
      <c r="F504" s="214"/>
      <c r="G504" s="214"/>
      <c r="H504" s="74" t="str">
        <f t="shared" si="16"/>
        <v/>
      </c>
      <c r="I504" s="188" t="str">
        <f t="shared" si="17"/>
        <v/>
      </c>
      <c r="J504" s="221"/>
    </row>
    <row r="505" spans="1:10" s="90" customFormat="1" ht="14.25" hidden="1" x14ac:dyDescent="0.3">
      <c r="A505" s="141"/>
      <c r="B505" s="160">
        <v>489</v>
      </c>
      <c r="C505" s="224"/>
      <c r="D505" s="216"/>
      <c r="E505" s="215"/>
      <c r="F505" s="217"/>
      <c r="G505" s="218"/>
      <c r="H505" s="74" t="str">
        <f t="shared" si="16"/>
        <v/>
      </c>
      <c r="I505" s="188" t="str">
        <f t="shared" si="17"/>
        <v/>
      </c>
      <c r="J505" s="221"/>
    </row>
    <row r="506" spans="1:10" s="90" customFormat="1" ht="14.25" hidden="1" x14ac:dyDescent="0.3">
      <c r="A506" s="141"/>
      <c r="B506" s="160">
        <v>490</v>
      </c>
      <c r="C506" s="224"/>
      <c r="D506" s="242"/>
      <c r="E506" s="215"/>
      <c r="F506" s="215"/>
      <c r="G506" s="215"/>
      <c r="H506" s="74" t="str">
        <f t="shared" si="16"/>
        <v/>
      </c>
      <c r="I506" s="188" t="str">
        <f t="shared" si="17"/>
        <v/>
      </c>
      <c r="J506" s="221"/>
    </row>
    <row r="507" spans="1:10" s="90" customFormat="1" ht="14.25" hidden="1" x14ac:dyDescent="0.3">
      <c r="A507" s="141"/>
      <c r="B507" s="160">
        <v>491</v>
      </c>
      <c r="C507" s="224"/>
      <c r="D507" s="216"/>
      <c r="E507" s="215"/>
      <c r="F507" s="217"/>
      <c r="G507" s="218"/>
      <c r="H507" s="74" t="str">
        <f t="shared" si="16"/>
        <v/>
      </c>
      <c r="I507" s="188" t="str">
        <f t="shared" si="17"/>
        <v/>
      </c>
      <c r="J507" s="221"/>
    </row>
    <row r="508" spans="1:10" s="90" customFormat="1" ht="14.25" hidden="1" x14ac:dyDescent="0.3">
      <c r="A508" s="141"/>
      <c r="B508" s="160">
        <v>492</v>
      </c>
      <c r="C508" s="224"/>
      <c r="D508" s="213"/>
      <c r="E508" s="215"/>
      <c r="F508" s="214"/>
      <c r="G508" s="218"/>
      <c r="H508" s="74" t="str">
        <f t="shared" si="16"/>
        <v/>
      </c>
      <c r="I508" s="188" t="str">
        <f t="shared" si="17"/>
        <v/>
      </c>
      <c r="J508" s="221"/>
    </row>
    <row r="509" spans="1:10" s="90" customFormat="1" ht="14.25" hidden="1" x14ac:dyDescent="0.3">
      <c r="A509" s="141"/>
      <c r="B509" s="160">
        <v>493</v>
      </c>
      <c r="C509" s="224"/>
      <c r="D509" s="213"/>
      <c r="E509" s="215"/>
      <c r="F509" s="214"/>
      <c r="G509" s="218"/>
      <c r="H509" s="74" t="str">
        <f t="shared" si="16"/>
        <v/>
      </c>
      <c r="I509" s="188" t="str">
        <f t="shared" si="17"/>
        <v/>
      </c>
      <c r="J509" s="221"/>
    </row>
    <row r="510" spans="1:10" s="90" customFormat="1" ht="14.25" hidden="1" x14ac:dyDescent="0.3">
      <c r="A510" s="141"/>
      <c r="B510" s="160">
        <v>494</v>
      </c>
      <c r="C510" s="224"/>
      <c r="D510" s="216"/>
      <c r="E510" s="215"/>
      <c r="F510" s="217"/>
      <c r="G510" s="218"/>
      <c r="H510" s="74" t="str">
        <f t="shared" si="16"/>
        <v/>
      </c>
      <c r="I510" s="188" t="str">
        <f t="shared" si="17"/>
        <v/>
      </c>
      <c r="J510" s="221"/>
    </row>
    <row r="511" spans="1:10" s="90" customFormat="1" ht="14.25" hidden="1" x14ac:dyDescent="0.3">
      <c r="A511" s="141"/>
      <c r="B511" s="160">
        <v>495</v>
      </c>
      <c r="C511" s="224"/>
      <c r="D511" s="213"/>
      <c r="E511" s="215"/>
      <c r="F511" s="214"/>
      <c r="G511" s="218"/>
      <c r="H511" s="74" t="str">
        <f t="shared" si="16"/>
        <v/>
      </c>
      <c r="I511" s="188" t="str">
        <f t="shared" si="17"/>
        <v/>
      </c>
      <c r="J511" s="221"/>
    </row>
    <row r="512" spans="1:10" s="90" customFormat="1" ht="14.25" hidden="1" x14ac:dyDescent="0.3">
      <c r="A512" s="141"/>
      <c r="B512" s="160">
        <v>496</v>
      </c>
      <c r="C512" s="224"/>
      <c r="D512" s="213"/>
      <c r="E512" s="215"/>
      <c r="F512" s="214"/>
      <c r="G512" s="218"/>
      <c r="H512" s="74" t="str">
        <f t="shared" si="16"/>
        <v/>
      </c>
      <c r="I512" s="188" t="str">
        <f t="shared" si="17"/>
        <v/>
      </c>
      <c r="J512" s="221"/>
    </row>
    <row r="513" spans="1:10" s="90" customFormat="1" ht="14.25" hidden="1" x14ac:dyDescent="0.3">
      <c r="A513" s="141"/>
      <c r="B513" s="160">
        <v>497</v>
      </c>
      <c r="C513" s="224"/>
      <c r="D513" s="213"/>
      <c r="E513" s="215"/>
      <c r="F513" s="214"/>
      <c r="G513" s="218"/>
      <c r="H513" s="74" t="str">
        <f t="shared" si="16"/>
        <v/>
      </c>
      <c r="I513" s="188" t="str">
        <f t="shared" si="17"/>
        <v/>
      </c>
      <c r="J513" s="221"/>
    </row>
    <row r="514" spans="1:10" s="90" customFormat="1" ht="14.25" hidden="1" x14ac:dyDescent="0.3">
      <c r="A514" s="141"/>
      <c r="B514" s="160">
        <v>498</v>
      </c>
      <c r="C514" s="224"/>
      <c r="D514" s="213"/>
      <c r="E514" s="215"/>
      <c r="F514" s="214"/>
      <c r="G514" s="218"/>
      <c r="H514" s="74" t="str">
        <f t="shared" si="16"/>
        <v/>
      </c>
      <c r="I514" s="188" t="str">
        <f t="shared" si="17"/>
        <v/>
      </c>
      <c r="J514" s="221"/>
    </row>
    <row r="515" spans="1:10" s="90" customFormat="1" ht="14.25" hidden="1" x14ac:dyDescent="0.3">
      <c r="A515" s="141"/>
      <c r="B515" s="160">
        <v>499</v>
      </c>
      <c r="C515" s="224"/>
      <c r="D515" s="213"/>
      <c r="E515" s="215"/>
      <c r="F515" s="217"/>
      <c r="G515" s="218"/>
      <c r="H515" s="74" t="str">
        <f t="shared" si="16"/>
        <v/>
      </c>
      <c r="I515" s="188" t="str">
        <f t="shared" si="17"/>
        <v/>
      </c>
      <c r="J515" s="221"/>
    </row>
    <row r="516" spans="1:10" s="90" customFormat="1" ht="14.25" hidden="1" x14ac:dyDescent="0.3">
      <c r="A516" s="141"/>
      <c r="B516" s="160">
        <v>500</v>
      </c>
      <c r="C516" s="224"/>
      <c r="D516" s="213"/>
      <c r="E516" s="215"/>
      <c r="F516" s="214"/>
      <c r="G516" s="214"/>
      <c r="H516" s="74" t="str">
        <f t="shared" si="16"/>
        <v/>
      </c>
      <c r="I516" s="188" t="str">
        <f t="shared" si="17"/>
        <v/>
      </c>
      <c r="J516" s="221"/>
    </row>
    <row r="517" spans="1:10" s="90" customFormat="1" ht="14.25" hidden="1" x14ac:dyDescent="0.3">
      <c r="A517" s="141"/>
      <c r="B517" s="160">
        <v>501</v>
      </c>
      <c r="C517" s="224"/>
      <c r="D517" s="213"/>
      <c r="E517" s="215"/>
      <c r="F517" s="215"/>
      <c r="G517" s="215"/>
      <c r="H517" s="74" t="str">
        <f t="shared" si="16"/>
        <v/>
      </c>
      <c r="I517" s="188" t="str">
        <f t="shared" si="17"/>
        <v/>
      </c>
      <c r="J517" s="221"/>
    </row>
    <row r="518" spans="1:10" s="90" customFormat="1" ht="14.25" hidden="1" x14ac:dyDescent="0.3">
      <c r="A518" s="141"/>
      <c r="B518" s="160">
        <v>502</v>
      </c>
      <c r="C518" s="224"/>
      <c r="D518" s="216"/>
      <c r="E518" s="215"/>
      <c r="F518" s="217"/>
      <c r="G518" s="218"/>
      <c r="H518" s="74" t="str">
        <f t="shared" si="16"/>
        <v/>
      </c>
      <c r="I518" s="188" t="str">
        <f t="shared" si="17"/>
        <v/>
      </c>
      <c r="J518" s="221"/>
    </row>
    <row r="519" spans="1:10" s="90" customFormat="1" ht="14.25" hidden="1" x14ac:dyDescent="0.3">
      <c r="A519" s="141"/>
      <c r="B519" s="160">
        <v>503</v>
      </c>
      <c r="C519" s="224"/>
      <c r="D519" s="213"/>
      <c r="E519" s="215"/>
      <c r="F519" s="214"/>
      <c r="G519" s="218"/>
      <c r="H519" s="74" t="str">
        <f t="shared" si="16"/>
        <v/>
      </c>
      <c r="I519" s="188" t="str">
        <f t="shared" si="17"/>
        <v/>
      </c>
      <c r="J519" s="221"/>
    </row>
    <row r="520" spans="1:10" s="90" customFormat="1" ht="14.25" hidden="1" x14ac:dyDescent="0.3">
      <c r="A520" s="141"/>
      <c r="B520" s="160">
        <v>504</v>
      </c>
      <c r="C520" s="224"/>
      <c r="D520" s="213"/>
      <c r="E520" s="215"/>
      <c r="F520" s="214"/>
      <c r="G520" s="218"/>
      <c r="H520" s="74" t="str">
        <f t="shared" si="16"/>
        <v/>
      </c>
      <c r="I520" s="188" t="str">
        <f t="shared" si="17"/>
        <v/>
      </c>
      <c r="J520" s="221"/>
    </row>
    <row r="521" spans="1:10" s="90" customFormat="1" ht="14.25" hidden="1" x14ac:dyDescent="0.3">
      <c r="A521" s="141"/>
      <c r="B521" s="160">
        <v>505</v>
      </c>
      <c r="C521" s="224"/>
      <c r="D521" s="216"/>
      <c r="E521" s="215"/>
      <c r="F521" s="217"/>
      <c r="G521" s="218"/>
      <c r="H521" s="74" t="str">
        <f t="shared" si="16"/>
        <v/>
      </c>
      <c r="I521" s="188" t="str">
        <f t="shared" si="17"/>
        <v/>
      </c>
      <c r="J521" s="221"/>
    </row>
    <row r="522" spans="1:10" s="90" customFormat="1" ht="14.25" hidden="1" x14ac:dyDescent="0.3">
      <c r="A522" s="141"/>
      <c r="B522" s="160">
        <v>506</v>
      </c>
      <c r="C522" s="224"/>
      <c r="D522" s="213"/>
      <c r="E522" s="215"/>
      <c r="F522" s="214"/>
      <c r="G522" s="218"/>
      <c r="H522" s="74" t="str">
        <f t="shared" si="16"/>
        <v/>
      </c>
      <c r="I522" s="188" t="str">
        <f t="shared" si="17"/>
        <v/>
      </c>
      <c r="J522" s="221"/>
    </row>
    <row r="523" spans="1:10" s="90" customFormat="1" ht="14.25" hidden="1" x14ac:dyDescent="0.3">
      <c r="A523" s="141"/>
      <c r="B523" s="160">
        <v>507</v>
      </c>
      <c r="C523" s="224"/>
      <c r="D523" s="213"/>
      <c r="E523" s="215"/>
      <c r="F523" s="214"/>
      <c r="G523" s="218"/>
      <c r="H523" s="74" t="str">
        <f t="shared" si="16"/>
        <v/>
      </c>
      <c r="I523" s="188" t="str">
        <f t="shared" si="17"/>
        <v/>
      </c>
      <c r="J523" s="221"/>
    </row>
    <row r="524" spans="1:10" s="90" customFormat="1" ht="14.25" hidden="1" x14ac:dyDescent="0.3">
      <c r="A524" s="141"/>
      <c r="B524" s="160">
        <v>508</v>
      </c>
      <c r="C524" s="224"/>
      <c r="D524" s="213"/>
      <c r="E524" s="215"/>
      <c r="F524" s="214"/>
      <c r="G524" s="218"/>
      <c r="H524" s="74" t="str">
        <f t="shared" si="16"/>
        <v/>
      </c>
      <c r="I524" s="188" t="str">
        <f t="shared" si="17"/>
        <v/>
      </c>
      <c r="J524" s="221"/>
    </row>
    <row r="525" spans="1:10" s="90" customFormat="1" ht="14.25" hidden="1" x14ac:dyDescent="0.3">
      <c r="A525" s="141"/>
      <c r="B525" s="160">
        <v>509</v>
      </c>
      <c r="C525" s="224"/>
      <c r="D525" s="213"/>
      <c r="E525" s="215"/>
      <c r="F525" s="214"/>
      <c r="G525" s="218"/>
      <c r="H525" s="74" t="str">
        <f t="shared" si="16"/>
        <v/>
      </c>
      <c r="I525" s="188" t="str">
        <f t="shared" si="17"/>
        <v/>
      </c>
      <c r="J525" s="221"/>
    </row>
    <row r="526" spans="1:10" s="90" customFormat="1" ht="14.25" hidden="1" x14ac:dyDescent="0.3">
      <c r="A526" s="141"/>
      <c r="B526" s="160">
        <v>510</v>
      </c>
      <c r="C526" s="224"/>
      <c r="D526" s="213"/>
      <c r="E526" s="215"/>
      <c r="F526" s="214"/>
      <c r="G526" s="218"/>
      <c r="H526" s="74" t="str">
        <f t="shared" si="16"/>
        <v/>
      </c>
      <c r="I526" s="188" t="str">
        <f t="shared" si="17"/>
        <v/>
      </c>
      <c r="J526" s="221"/>
    </row>
    <row r="527" spans="1:10" s="90" customFormat="1" ht="14.25" hidden="1" x14ac:dyDescent="0.3">
      <c r="A527" s="141"/>
      <c r="B527" s="160">
        <v>511</v>
      </c>
      <c r="C527" s="224"/>
      <c r="D527" s="213"/>
      <c r="E527" s="215"/>
      <c r="F527" s="217"/>
      <c r="G527" s="218"/>
      <c r="H527" s="74" t="str">
        <f t="shared" si="16"/>
        <v/>
      </c>
      <c r="I527" s="188" t="str">
        <f t="shared" si="17"/>
        <v/>
      </c>
      <c r="J527" s="221"/>
    </row>
    <row r="528" spans="1:10" s="90" customFormat="1" ht="14.25" hidden="1" x14ac:dyDescent="0.3">
      <c r="A528" s="141"/>
      <c r="B528" s="160">
        <v>512</v>
      </c>
      <c r="C528" s="224"/>
      <c r="D528" s="213"/>
      <c r="E528" s="215"/>
      <c r="F528" s="214"/>
      <c r="G528" s="214"/>
      <c r="H528" s="74" t="str">
        <f t="shared" si="16"/>
        <v/>
      </c>
      <c r="I528" s="188" t="str">
        <f t="shared" si="17"/>
        <v/>
      </c>
      <c r="J528" s="221"/>
    </row>
    <row r="529" spans="1:10" s="90" customFormat="1" ht="14.25" hidden="1" x14ac:dyDescent="0.3">
      <c r="A529" s="141"/>
      <c r="B529" s="160">
        <v>513</v>
      </c>
      <c r="C529" s="224"/>
      <c r="D529" s="213"/>
      <c r="E529" s="215"/>
      <c r="F529" s="215"/>
      <c r="G529" s="215"/>
      <c r="H529" s="74" t="str">
        <f t="shared" ref="H529:H592" si="18">ObterComplexidadeFuncao(E529,F529,G529)</f>
        <v/>
      </c>
      <c r="I529" s="188" t="str">
        <f t="shared" si="17"/>
        <v/>
      </c>
      <c r="J529" s="221"/>
    </row>
    <row r="530" spans="1:10" s="90" customFormat="1" ht="14.25" hidden="1" x14ac:dyDescent="0.3">
      <c r="A530" s="141"/>
      <c r="B530" s="160">
        <v>514</v>
      </c>
      <c r="C530" s="224"/>
      <c r="D530" s="213"/>
      <c r="E530" s="215"/>
      <c r="F530" s="214"/>
      <c r="G530" s="214"/>
      <c r="H530" s="74" t="str">
        <f t="shared" si="18"/>
        <v/>
      </c>
      <c r="I530" s="188" t="str">
        <f t="shared" ref="I530:I593" si="19">ObterContribuicaoFuncao(E530,H530)</f>
        <v/>
      </c>
      <c r="J530" s="221"/>
    </row>
    <row r="531" spans="1:10" s="90" customFormat="1" ht="14.25" hidden="1" x14ac:dyDescent="0.3">
      <c r="A531" s="141"/>
      <c r="B531" s="160">
        <v>515</v>
      </c>
      <c r="C531" s="224"/>
      <c r="D531" s="213"/>
      <c r="E531" s="215"/>
      <c r="F531" s="214"/>
      <c r="G531" s="214"/>
      <c r="H531" s="74" t="str">
        <f t="shared" si="18"/>
        <v/>
      </c>
      <c r="I531" s="188" t="str">
        <f t="shared" si="19"/>
        <v/>
      </c>
      <c r="J531" s="221"/>
    </row>
    <row r="532" spans="1:10" s="90" customFormat="1" ht="14.25" hidden="1" x14ac:dyDescent="0.3">
      <c r="A532" s="141"/>
      <c r="B532" s="160">
        <v>516</v>
      </c>
      <c r="C532" s="224"/>
      <c r="D532" s="213"/>
      <c r="E532" s="215"/>
      <c r="F532" s="217"/>
      <c r="G532" s="218"/>
      <c r="H532" s="74" t="str">
        <f t="shared" si="18"/>
        <v/>
      </c>
      <c r="I532" s="188" t="str">
        <f t="shared" si="19"/>
        <v/>
      </c>
      <c r="J532" s="221"/>
    </row>
    <row r="533" spans="1:10" s="90" customFormat="1" ht="14.25" hidden="1" x14ac:dyDescent="0.3">
      <c r="A533" s="141"/>
      <c r="B533" s="160">
        <v>517</v>
      </c>
      <c r="C533" s="224"/>
      <c r="D533" s="213"/>
      <c r="E533" s="215"/>
      <c r="F533" s="214"/>
      <c r="G533" s="214"/>
      <c r="H533" s="74" t="str">
        <f t="shared" si="18"/>
        <v/>
      </c>
      <c r="I533" s="188" t="str">
        <f t="shared" si="19"/>
        <v/>
      </c>
      <c r="J533" s="221"/>
    </row>
    <row r="534" spans="1:10" s="90" customFormat="1" ht="14.25" hidden="1" x14ac:dyDescent="0.3">
      <c r="A534" s="141"/>
      <c r="B534" s="160">
        <v>518</v>
      </c>
      <c r="C534" s="224"/>
      <c r="D534" s="213"/>
      <c r="E534" s="215"/>
      <c r="F534" s="215"/>
      <c r="G534" s="215"/>
      <c r="H534" s="74" t="str">
        <f t="shared" si="18"/>
        <v/>
      </c>
      <c r="I534" s="188" t="str">
        <f t="shared" si="19"/>
        <v/>
      </c>
      <c r="J534" s="221"/>
    </row>
    <row r="535" spans="1:10" s="90" customFormat="1" ht="14.25" hidden="1" x14ac:dyDescent="0.3">
      <c r="A535" s="141"/>
      <c r="B535" s="160">
        <v>519</v>
      </c>
      <c r="C535" s="224"/>
      <c r="D535" s="216"/>
      <c r="E535" s="215"/>
      <c r="F535" s="217"/>
      <c r="G535" s="218"/>
      <c r="H535" s="74" t="str">
        <f t="shared" si="18"/>
        <v/>
      </c>
      <c r="I535" s="188" t="str">
        <f t="shared" si="19"/>
        <v/>
      </c>
      <c r="J535" s="221"/>
    </row>
    <row r="536" spans="1:10" s="90" customFormat="1" ht="14.25" hidden="1" x14ac:dyDescent="0.3">
      <c r="A536" s="141"/>
      <c r="B536" s="160">
        <v>520</v>
      </c>
      <c r="C536" s="224"/>
      <c r="D536" s="213"/>
      <c r="E536" s="215"/>
      <c r="F536" s="214"/>
      <c r="G536" s="214"/>
      <c r="H536" s="74" t="str">
        <f t="shared" si="18"/>
        <v/>
      </c>
      <c r="I536" s="188" t="str">
        <f t="shared" si="19"/>
        <v/>
      </c>
      <c r="J536" s="221"/>
    </row>
    <row r="537" spans="1:10" s="90" customFormat="1" ht="14.25" hidden="1" x14ac:dyDescent="0.3">
      <c r="A537" s="141"/>
      <c r="B537" s="160">
        <v>521</v>
      </c>
      <c r="C537" s="224"/>
      <c r="D537" s="213"/>
      <c r="E537" s="215"/>
      <c r="F537" s="215"/>
      <c r="G537" s="215"/>
      <c r="H537" s="74" t="str">
        <f t="shared" si="18"/>
        <v/>
      </c>
      <c r="I537" s="188" t="str">
        <f t="shared" si="19"/>
        <v/>
      </c>
      <c r="J537" s="221"/>
    </row>
    <row r="538" spans="1:10" s="90" customFormat="1" ht="14.25" hidden="1" x14ac:dyDescent="0.3">
      <c r="A538" s="141"/>
      <c r="B538" s="160">
        <v>522</v>
      </c>
      <c r="C538" s="224"/>
      <c r="D538" s="213"/>
      <c r="E538" s="215"/>
      <c r="F538" s="217"/>
      <c r="G538" s="218"/>
      <c r="H538" s="74" t="str">
        <f t="shared" si="18"/>
        <v/>
      </c>
      <c r="I538" s="188" t="str">
        <f t="shared" si="19"/>
        <v/>
      </c>
      <c r="J538" s="221"/>
    </row>
    <row r="539" spans="1:10" s="90" customFormat="1" ht="14.25" hidden="1" x14ac:dyDescent="0.3">
      <c r="A539" s="141"/>
      <c r="B539" s="160">
        <v>523</v>
      </c>
      <c r="C539" s="224"/>
      <c r="D539" s="213"/>
      <c r="E539" s="215"/>
      <c r="F539" s="214"/>
      <c r="G539" s="214"/>
      <c r="H539" s="74" t="str">
        <f t="shared" si="18"/>
        <v/>
      </c>
      <c r="I539" s="188" t="str">
        <f t="shared" si="19"/>
        <v/>
      </c>
      <c r="J539" s="221"/>
    </row>
    <row r="540" spans="1:10" s="90" customFormat="1" ht="14.25" hidden="1" x14ac:dyDescent="0.3">
      <c r="A540" s="141"/>
      <c r="B540" s="160">
        <v>524</v>
      </c>
      <c r="C540" s="224"/>
      <c r="D540" s="213"/>
      <c r="E540" s="215"/>
      <c r="F540" s="215"/>
      <c r="G540" s="215"/>
      <c r="H540" s="74" t="str">
        <f t="shared" si="18"/>
        <v/>
      </c>
      <c r="I540" s="188" t="str">
        <f t="shared" si="19"/>
        <v/>
      </c>
      <c r="J540" s="221"/>
    </row>
    <row r="541" spans="1:10" s="90" customFormat="1" ht="14.25" hidden="1" x14ac:dyDescent="0.3">
      <c r="A541" s="141"/>
      <c r="B541" s="160">
        <v>525</v>
      </c>
      <c r="C541" s="224"/>
      <c r="D541" s="216"/>
      <c r="E541" s="215"/>
      <c r="F541" s="217"/>
      <c r="G541" s="218"/>
      <c r="H541" s="74" t="str">
        <f t="shared" si="18"/>
        <v/>
      </c>
      <c r="I541" s="188" t="str">
        <f t="shared" si="19"/>
        <v/>
      </c>
      <c r="J541" s="221"/>
    </row>
    <row r="542" spans="1:10" s="90" customFormat="1" ht="14.25" hidden="1" x14ac:dyDescent="0.3">
      <c r="A542" s="141"/>
      <c r="B542" s="160">
        <v>526</v>
      </c>
      <c r="C542" s="224"/>
      <c r="D542" s="216"/>
      <c r="E542" s="215"/>
      <c r="F542" s="214"/>
      <c r="G542" s="218"/>
      <c r="H542" s="74" t="str">
        <f t="shared" si="18"/>
        <v/>
      </c>
      <c r="I542" s="188" t="str">
        <f t="shared" si="19"/>
        <v/>
      </c>
      <c r="J542" s="221"/>
    </row>
    <row r="543" spans="1:10" s="90" customFormat="1" ht="14.25" hidden="1" x14ac:dyDescent="0.3">
      <c r="A543" s="141"/>
      <c r="B543" s="160">
        <v>527</v>
      </c>
      <c r="C543" s="224"/>
      <c r="D543" s="213"/>
      <c r="E543" s="215"/>
      <c r="F543" s="214"/>
      <c r="G543" s="218"/>
      <c r="H543" s="74" t="str">
        <f t="shared" si="18"/>
        <v/>
      </c>
      <c r="I543" s="188" t="str">
        <f t="shared" si="19"/>
        <v/>
      </c>
      <c r="J543" s="221"/>
    </row>
    <row r="544" spans="1:10" s="90" customFormat="1" ht="14.25" hidden="1" x14ac:dyDescent="0.3">
      <c r="A544" s="141"/>
      <c r="B544" s="160">
        <v>528</v>
      </c>
      <c r="C544" s="224"/>
      <c r="D544" s="216"/>
      <c r="E544" s="215"/>
      <c r="F544" s="217"/>
      <c r="G544" s="218"/>
      <c r="H544" s="74" t="str">
        <f t="shared" si="18"/>
        <v/>
      </c>
      <c r="I544" s="188" t="str">
        <f t="shared" si="19"/>
        <v/>
      </c>
      <c r="J544" s="221"/>
    </row>
    <row r="545" spans="1:10" s="90" customFormat="1" ht="14.25" hidden="1" x14ac:dyDescent="0.3">
      <c r="A545" s="141"/>
      <c r="B545" s="160">
        <v>529</v>
      </c>
      <c r="C545" s="224"/>
      <c r="D545" s="213"/>
      <c r="E545" s="215"/>
      <c r="F545" s="214"/>
      <c r="G545" s="218"/>
      <c r="H545" s="74" t="str">
        <f t="shared" si="18"/>
        <v/>
      </c>
      <c r="I545" s="188" t="str">
        <f t="shared" si="19"/>
        <v/>
      </c>
      <c r="J545" s="221"/>
    </row>
    <row r="546" spans="1:10" s="90" customFormat="1" ht="14.25" hidden="1" x14ac:dyDescent="0.3">
      <c r="A546" s="141"/>
      <c r="B546" s="160">
        <v>530</v>
      </c>
      <c r="C546" s="224"/>
      <c r="D546" s="213"/>
      <c r="E546" s="215"/>
      <c r="F546" s="214"/>
      <c r="G546" s="218"/>
      <c r="H546" s="74" t="str">
        <f t="shared" si="18"/>
        <v/>
      </c>
      <c r="I546" s="188" t="str">
        <f t="shared" si="19"/>
        <v/>
      </c>
      <c r="J546" s="221"/>
    </row>
    <row r="547" spans="1:10" s="90" customFormat="1" ht="14.25" hidden="1" x14ac:dyDescent="0.3">
      <c r="A547" s="141"/>
      <c r="B547" s="160">
        <v>531</v>
      </c>
      <c r="C547" s="224"/>
      <c r="D547" s="216"/>
      <c r="E547" s="215"/>
      <c r="F547" s="217"/>
      <c r="G547" s="218"/>
      <c r="H547" s="74" t="str">
        <f t="shared" si="18"/>
        <v/>
      </c>
      <c r="I547" s="188" t="str">
        <f t="shared" si="19"/>
        <v/>
      </c>
      <c r="J547" s="221"/>
    </row>
    <row r="548" spans="1:10" s="90" customFormat="1" ht="14.25" hidden="1" x14ac:dyDescent="0.3">
      <c r="A548" s="141"/>
      <c r="B548" s="160">
        <v>532</v>
      </c>
      <c r="C548" s="224"/>
      <c r="D548" s="213"/>
      <c r="E548" s="215"/>
      <c r="F548" s="214"/>
      <c r="G548" s="218"/>
      <c r="H548" s="74" t="str">
        <f t="shared" si="18"/>
        <v/>
      </c>
      <c r="I548" s="188" t="str">
        <f t="shared" si="19"/>
        <v/>
      </c>
      <c r="J548" s="221"/>
    </row>
    <row r="549" spans="1:10" s="90" customFormat="1" ht="14.25" hidden="1" x14ac:dyDescent="0.3">
      <c r="A549" s="141"/>
      <c r="B549" s="160">
        <v>533</v>
      </c>
      <c r="C549" s="224"/>
      <c r="D549" s="213"/>
      <c r="E549" s="215"/>
      <c r="F549" s="214"/>
      <c r="G549" s="214"/>
      <c r="H549" s="74" t="str">
        <f t="shared" si="18"/>
        <v/>
      </c>
      <c r="I549" s="188" t="str">
        <f t="shared" si="19"/>
        <v/>
      </c>
      <c r="J549" s="221"/>
    </row>
    <row r="550" spans="1:10" s="90" customFormat="1" ht="14.25" hidden="1" x14ac:dyDescent="0.3">
      <c r="A550" s="141"/>
      <c r="B550" s="160">
        <v>534</v>
      </c>
      <c r="C550" s="224"/>
      <c r="D550" s="216"/>
      <c r="E550" s="215"/>
      <c r="F550" s="217"/>
      <c r="G550" s="218"/>
      <c r="H550" s="74" t="str">
        <f t="shared" si="18"/>
        <v/>
      </c>
      <c r="I550" s="188" t="str">
        <f t="shared" si="19"/>
        <v/>
      </c>
      <c r="J550" s="221"/>
    </row>
    <row r="551" spans="1:10" s="90" customFormat="1" ht="14.25" hidden="1" x14ac:dyDescent="0.3">
      <c r="A551" s="141"/>
      <c r="B551" s="160">
        <v>535</v>
      </c>
      <c r="C551" s="224"/>
      <c r="D551" s="213"/>
      <c r="E551" s="215"/>
      <c r="F551" s="214"/>
      <c r="G551" s="214"/>
      <c r="H551" s="74" t="str">
        <f t="shared" si="18"/>
        <v/>
      </c>
      <c r="I551" s="188" t="str">
        <f t="shared" si="19"/>
        <v/>
      </c>
      <c r="J551" s="221"/>
    </row>
    <row r="552" spans="1:10" s="90" customFormat="1" ht="14.25" hidden="1" x14ac:dyDescent="0.3">
      <c r="A552" s="141"/>
      <c r="B552" s="160">
        <v>536</v>
      </c>
      <c r="C552" s="224"/>
      <c r="D552" s="213"/>
      <c r="E552" s="215"/>
      <c r="F552" s="215"/>
      <c r="G552" s="215"/>
      <c r="H552" s="74" t="str">
        <f t="shared" si="18"/>
        <v/>
      </c>
      <c r="I552" s="188" t="str">
        <f t="shared" si="19"/>
        <v/>
      </c>
      <c r="J552" s="221"/>
    </row>
    <row r="553" spans="1:10" s="90" customFormat="1" ht="14.25" hidden="1" x14ac:dyDescent="0.3">
      <c r="A553" s="141"/>
      <c r="B553" s="160">
        <v>537</v>
      </c>
      <c r="C553" s="224"/>
      <c r="D553" s="216"/>
      <c r="E553" s="215"/>
      <c r="F553" s="217"/>
      <c r="G553" s="218"/>
      <c r="H553" s="74" t="str">
        <f t="shared" si="18"/>
        <v/>
      </c>
      <c r="I553" s="188" t="str">
        <f t="shared" si="19"/>
        <v/>
      </c>
      <c r="J553" s="221"/>
    </row>
    <row r="554" spans="1:10" s="90" customFormat="1" ht="14.25" hidden="1" x14ac:dyDescent="0.3">
      <c r="A554" s="141"/>
      <c r="B554" s="160">
        <v>538</v>
      </c>
      <c r="C554" s="224"/>
      <c r="D554" s="213"/>
      <c r="E554" s="215"/>
      <c r="F554" s="214"/>
      <c r="G554" s="214"/>
      <c r="H554" s="74" t="str">
        <f t="shared" si="18"/>
        <v/>
      </c>
      <c r="I554" s="188" t="str">
        <f t="shared" si="19"/>
        <v/>
      </c>
      <c r="J554" s="221"/>
    </row>
    <row r="555" spans="1:10" s="90" customFormat="1" ht="14.25" hidden="1" x14ac:dyDescent="0.3">
      <c r="A555" s="141"/>
      <c r="B555" s="160">
        <v>539</v>
      </c>
      <c r="C555" s="224"/>
      <c r="D555" s="213"/>
      <c r="E555" s="215"/>
      <c r="F555" s="215"/>
      <c r="G555" s="215"/>
      <c r="H555" s="74" t="str">
        <f t="shared" si="18"/>
        <v/>
      </c>
      <c r="I555" s="188" t="str">
        <f t="shared" si="19"/>
        <v/>
      </c>
      <c r="J555" s="221"/>
    </row>
    <row r="556" spans="1:10" s="90" customFormat="1" ht="14.25" hidden="1" x14ac:dyDescent="0.3">
      <c r="A556" s="141"/>
      <c r="B556" s="160">
        <v>540</v>
      </c>
      <c r="C556" s="224"/>
      <c r="D556" s="216"/>
      <c r="E556" s="215"/>
      <c r="F556" s="217"/>
      <c r="G556" s="218"/>
      <c r="H556" s="74" t="str">
        <f t="shared" si="18"/>
        <v/>
      </c>
      <c r="I556" s="188" t="str">
        <f t="shared" si="19"/>
        <v/>
      </c>
      <c r="J556" s="221"/>
    </row>
    <row r="557" spans="1:10" s="90" customFormat="1" ht="14.25" hidden="1" x14ac:dyDescent="0.3">
      <c r="A557" s="141"/>
      <c r="B557" s="160">
        <v>541</v>
      </c>
      <c r="C557" s="224"/>
      <c r="D557" s="216"/>
      <c r="E557" s="215"/>
      <c r="F557" s="217"/>
      <c r="G557" s="218"/>
      <c r="H557" s="74" t="str">
        <f t="shared" si="18"/>
        <v/>
      </c>
      <c r="I557" s="188" t="str">
        <f t="shared" si="19"/>
        <v/>
      </c>
      <c r="J557" s="221"/>
    </row>
    <row r="558" spans="1:10" s="90" customFormat="1" ht="14.25" hidden="1" x14ac:dyDescent="0.3">
      <c r="A558" s="141"/>
      <c r="B558" s="160">
        <v>542</v>
      </c>
      <c r="C558" s="224"/>
      <c r="D558" s="213"/>
      <c r="E558" s="215"/>
      <c r="F558" s="217"/>
      <c r="G558" s="218"/>
      <c r="H558" s="74" t="str">
        <f t="shared" si="18"/>
        <v/>
      </c>
      <c r="I558" s="188" t="str">
        <f t="shared" si="19"/>
        <v/>
      </c>
      <c r="J558" s="221"/>
    </row>
    <row r="559" spans="1:10" s="90" customFormat="1" ht="14.25" hidden="1" x14ac:dyDescent="0.3">
      <c r="A559" s="141"/>
      <c r="B559" s="160">
        <v>543</v>
      </c>
      <c r="C559" s="224"/>
      <c r="D559" s="216"/>
      <c r="E559" s="215"/>
      <c r="F559" s="217"/>
      <c r="G559" s="218"/>
      <c r="H559" s="74" t="str">
        <f t="shared" si="18"/>
        <v/>
      </c>
      <c r="I559" s="188" t="str">
        <f t="shared" si="19"/>
        <v/>
      </c>
      <c r="J559" s="221"/>
    </row>
    <row r="560" spans="1:10" s="90" customFormat="1" ht="14.25" hidden="1" x14ac:dyDescent="0.3">
      <c r="A560" s="141"/>
      <c r="B560" s="160">
        <v>544</v>
      </c>
      <c r="C560" s="224"/>
      <c r="D560" s="213"/>
      <c r="E560" s="215"/>
      <c r="F560" s="215"/>
      <c r="G560" s="215"/>
      <c r="H560" s="74" t="str">
        <f t="shared" si="18"/>
        <v/>
      </c>
      <c r="I560" s="188" t="str">
        <f t="shared" si="19"/>
        <v/>
      </c>
      <c r="J560" s="221"/>
    </row>
    <row r="561" spans="1:10" s="90" customFormat="1" ht="14.25" hidden="1" x14ac:dyDescent="0.3">
      <c r="A561" s="141"/>
      <c r="B561" s="160">
        <v>545</v>
      </c>
      <c r="C561" s="224"/>
      <c r="D561" s="213"/>
      <c r="E561" s="215"/>
      <c r="F561" s="217"/>
      <c r="G561" s="218"/>
      <c r="H561" s="74" t="str">
        <f t="shared" si="18"/>
        <v/>
      </c>
      <c r="I561" s="188" t="str">
        <f t="shared" si="19"/>
        <v/>
      </c>
      <c r="J561" s="221"/>
    </row>
    <row r="562" spans="1:10" s="90" customFormat="1" ht="14.25" hidden="1" x14ac:dyDescent="0.3">
      <c r="A562" s="141"/>
      <c r="B562" s="160">
        <v>546</v>
      </c>
      <c r="C562" s="224"/>
      <c r="D562" s="216"/>
      <c r="E562" s="215"/>
      <c r="F562" s="217"/>
      <c r="G562" s="218"/>
      <c r="H562" s="74" t="str">
        <f t="shared" si="18"/>
        <v/>
      </c>
      <c r="I562" s="188" t="str">
        <f t="shared" si="19"/>
        <v/>
      </c>
      <c r="J562" s="221"/>
    </row>
    <row r="563" spans="1:10" s="90" customFormat="1" ht="14.25" hidden="1" x14ac:dyDescent="0.3">
      <c r="A563" s="141"/>
      <c r="B563" s="160">
        <v>547</v>
      </c>
      <c r="C563" s="224"/>
      <c r="D563" s="213"/>
      <c r="E563" s="215"/>
      <c r="F563" s="215"/>
      <c r="G563" s="215"/>
      <c r="H563" s="74" t="str">
        <f t="shared" si="18"/>
        <v/>
      </c>
      <c r="I563" s="188" t="str">
        <f t="shared" si="19"/>
        <v/>
      </c>
      <c r="J563" s="221"/>
    </row>
    <row r="564" spans="1:10" s="90" customFormat="1" ht="14.25" hidden="1" x14ac:dyDescent="0.3">
      <c r="A564" s="141"/>
      <c r="B564" s="160">
        <v>548</v>
      </c>
      <c r="C564" s="224"/>
      <c r="D564" s="213"/>
      <c r="E564" s="215"/>
      <c r="F564" s="214"/>
      <c r="G564" s="214"/>
      <c r="H564" s="74" t="str">
        <f t="shared" si="18"/>
        <v/>
      </c>
      <c r="I564" s="188" t="str">
        <f t="shared" si="19"/>
        <v/>
      </c>
      <c r="J564" s="221"/>
    </row>
    <row r="565" spans="1:10" s="90" customFormat="1" ht="14.25" hidden="1" x14ac:dyDescent="0.3">
      <c r="A565" s="141"/>
      <c r="B565" s="160">
        <v>549</v>
      </c>
      <c r="C565" s="224"/>
      <c r="D565" s="216"/>
      <c r="E565" s="215"/>
      <c r="F565" s="217"/>
      <c r="G565" s="218"/>
      <c r="H565" s="74" t="str">
        <f t="shared" si="18"/>
        <v/>
      </c>
      <c r="I565" s="188" t="str">
        <f t="shared" si="19"/>
        <v/>
      </c>
      <c r="J565" s="221"/>
    </row>
    <row r="566" spans="1:10" s="90" customFormat="1" ht="14.25" hidden="1" x14ac:dyDescent="0.3">
      <c r="A566" s="141"/>
      <c r="B566" s="160">
        <v>550</v>
      </c>
      <c r="C566" s="224"/>
      <c r="D566" s="213"/>
      <c r="E566" s="215"/>
      <c r="F566" s="215"/>
      <c r="G566" s="215"/>
      <c r="H566" s="74" t="str">
        <f t="shared" si="18"/>
        <v/>
      </c>
      <c r="I566" s="188" t="str">
        <f t="shared" si="19"/>
        <v/>
      </c>
      <c r="J566" s="221"/>
    </row>
    <row r="567" spans="1:10" s="90" customFormat="1" ht="14.25" hidden="1" x14ac:dyDescent="0.3">
      <c r="A567" s="141"/>
      <c r="B567" s="160">
        <v>551</v>
      </c>
      <c r="C567" s="224"/>
      <c r="D567" s="213"/>
      <c r="E567" s="215"/>
      <c r="F567" s="214"/>
      <c r="G567" s="214"/>
      <c r="H567" s="74" t="str">
        <f t="shared" si="18"/>
        <v/>
      </c>
      <c r="I567" s="188" t="str">
        <f t="shared" si="19"/>
        <v/>
      </c>
      <c r="J567" s="221"/>
    </row>
    <row r="568" spans="1:10" s="90" customFormat="1" ht="14.25" hidden="1" x14ac:dyDescent="0.3">
      <c r="A568" s="141"/>
      <c r="B568" s="160">
        <v>552</v>
      </c>
      <c r="C568" s="224"/>
      <c r="D568" s="216"/>
      <c r="E568" s="215"/>
      <c r="F568" s="217"/>
      <c r="G568" s="218"/>
      <c r="H568" s="74" t="str">
        <f t="shared" si="18"/>
        <v/>
      </c>
      <c r="I568" s="188" t="str">
        <f t="shared" si="19"/>
        <v/>
      </c>
      <c r="J568" s="221"/>
    </row>
    <row r="569" spans="1:10" s="90" customFormat="1" ht="14.25" hidden="1" x14ac:dyDescent="0.3">
      <c r="A569" s="141"/>
      <c r="B569" s="160">
        <v>553</v>
      </c>
      <c r="C569" s="224"/>
      <c r="D569" s="213"/>
      <c r="E569" s="215"/>
      <c r="F569" s="215"/>
      <c r="G569" s="215"/>
      <c r="H569" s="74" t="str">
        <f t="shared" si="18"/>
        <v/>
      </c>
      <c r="I569" s="188" t="str">
        <f t="shared" si="19"/>
        <v/>
      </c>
      <c r="J569" s="221"/>
    </row>
    <row r="570" spans="1:10" s="90" customFormat="1" ht="14.25" hidden="1" x14ac:dyDescent="0.3">
      <c r="A570" s="141"/>
      <c r="B570" s="160">
        <v>554</v>
      </c>
      <c r="C570" s="224"/>
      <c r="D570" s="213"/>
      <c r="E570" s="215"/>
      <c r="F570" s="214"/>
      <c r="G570" s="214"/>
      <c r="H570" s="74" t="str">
        <f t="shared" si="18"/>
        <v/>
      </c>
      <c r="I570" s="188" t="str">
        <f t="shared" si="19"/>
        <v/>
      </c>
      <c r="J570" s="221"/>
    </row>
    <row r="571" spans="1:10" s="90" customFormat="1" ht="14.25" hidden="1" x14ac:dyDescent="0.3">
      <c r="A571" s="141"/>
      <c r="B571" s="160">
        <v>555</v>
      </c>
      <c r="C571" s="224"/>
      <c r="D571" s="213"/>
      <c r="E571" s="215"/>
      <c r="F571" s="217"/>
      <c r="G571" s="218"/>
      <c r="H571" s="74" t="str">
        <f t="shared" si="18"/>
        <v/>
      </c>
      <c r="I571" s="188" t="str">
        <f t="shared" si="19"/>
        <v/>
      </c>
      <c r="J571" s="221"/>
    </row>
    <row r="572" spans="1:10" s="90" customFormat="1" ht="14.25" hidden="1" x14ac:dyDescent="0.3">
      <c r="A572" s="141"/>
      <c r="B572" s="160">
        <v>556</v>
      </c>
      <c r="C572" s="224"/>
      <c r="D572" s="213"/>
      <c r="E572" s="215"/>
      <c r="F572" s="214"/>
      <c r="G572" s="214"/>
      <c r="H572" s="74" t="str">
        <f t="shared" si="18"/>
        <v/>
      </c>
      <c r="I572" s="188" t="str">
        <f t="shared" si="19"/>
        <v/>
      </c>
      <c r="J572" s="221"/>
    </row>
    <row r="573" spans="1:10" s="90" customFormat="1" ht="14.25" hidden="1" x14ac:dyDescent="0.3">
      <c r="A573" s="141"/>
      <c r="B573" s="160">
        <v>557</v>
      </c>
      <c r="C573" s="224"/>
      <c r="D573" s="213"/>
      <c r="E573" s="215"/>
      <c r="F573" s="214"/>
      <c r="G573" s="214"/>
      <c r="H573" s="74" t="str">
        <f t="shared" si="18"/>
        <v/>
      </c>
      <c r="I573" s="188" t="str">
        <f t="shared" si="19"/>
        <v/>
      </c>
      <c r="J573" s="221"/>
    </row>
    <row r="574" spans="1:10" s="90" customFormat="1" ht="14.25" hidden="1" x14ac:dyDescent="0.3">
      <c r="A574" s="141"/>
      <c r="B574" s="160">
        <v>558</v>
      </c>
      <c r="C574" s="224"/>
      <c r="D574" s="213"/>
      <c r="E574" s="215"/>
      <c r="F574" s="215"/>
      <c r="G574" s="215"/>
      <c r="H574" s="74" t="str">
        <f t="shared" si="18"/>
        <v/>
      </c>
      <c r="I574" s="188" t="str">
        <f t="shared" si="19"/>
        <v/>
      </c>
      <c r="J574" s="221"/>
    </row>
    <row r="575" spans="1:10" s="90" customFormat="1" ht="14.25" hidden="1" x14ac:dyDescent="0.3">
      <c r="A575" s="141"/>
      <c r="B575" s="160">
        <v>559</v>
      </c>
      <c r="C575" s="224"/>
      <c r="D575" s="213"/>
      <c r="E575" s="215"/>
      <c r="F575" s="214"/>
      <c r="G575" s="214"/>
      <c r="H575" s="74" t="str">
        <f t="shared" si="18"/>
        <v/>
      </c>
      <c r="I575" s="188" t="str">
        <f t="shared" si="19"/>
        <v/>
      </c>
      <c r="J575" s="221"/>
    </row>
    <row r="576" spans="1:10" s="90" customFormat="1" ht="14.25" hidden="1" x14ac:dyDescent="0.3">
      <c r="A576" s="141"/>
      <c r="B576" s="160">
        <v>560</v>
      </c>
      <c r="C576" s="224"/>
      <c r="D576" s="213"/>
      <c r="E576" s="215"/>
      <c r="F576" s="214"/>
      <c r="G576" s="214"/>
      <c r="H576" s="74" t="str">
        <f t="shared" si="18"/>
        <v/>
      </c>
      <c r="I576" s="188" t="str">
        <f t="shared" si="19"/>
        <v/>
      </c>
      <c r="J576" s="221"/>
    </row>
    <row r="577" spans="1:10" s="90" customFormat="1" ht="14.25" hidden="1" x14ac:dyDescent="0.3">
      <c r="A577" s="141"/>
      <c r="B577" s="160">
        <v>561</v>
      </c>
      <c r="C577" s="224"/>
      <c r="D577" s="213"/>
      <c r="E577" s="215"/>
      <c r="F577" s="217"/>
      <c r="G577" s="214"/>
      <c r="H577" s="74" t="str">
        <f t="shared" si="18"/>
        <v/>
      </c>
      <c r="I577" s="188" t="str">
        <f t="shared" si="19"/>
        <v/>
      </c>
      <c r="J577" s="221"/>
    </row>
    <row r="578" spans="1:10" s="90" customFormat="1" ht="14.25" hidden="1" x14ac:dyDescent="0.3">
      <c r="A578" s="141"/>
      <c r="B578" s="160">
        <v>562</v>
      </c>
      <c r="C578" s="224"/>
      <c r="D578" s="216"/>
      <c r="E578" s="215"/>
      <c r="F578" s="214"/>
      <c r="G578" s="214"/>
      <c r="H578" s="74" t="str">
        <f t="shared" si="18"/>
        <v/>
      </c>
      <c r="I578" s="188" t="str">
        <f t="shared" si="19"/>
        <v/>
      </c>
      <c r="J578" s="221"/>
    </row>
    <row r="579" spans="1:10" s="90" customFormat="1" ht="14.25" hidden="1" x14ac:dyDescent="0.3">
      <c r="A579" s="141"/>
      <c r="B579" s="160">
        <v>563</v>
      </c>
      <c r="C579" s="224"/>
      <c r="D579" s="213"/>
      <c r="E579" s="215"/>
      <c r="F579" s="214"/>
      <c r="G579" s="214"/>
      <c r="H579" s="74" t="str">
        <f t="shared" si="18"/>
        <v/>
      </c>
      <c r="I579" s="188" t="str">
        <f t="shared" si="19"/>
        <v/>
      </c>
      <c r="J579" s="221"/>
    </row>
    <row r="580" spans="1:10" s="90" customFormat="1" ht="14.25" hidden="1" x14ac:dyDescent="0.3">
      <c r="A580" s="141"/>
      <c r="B580" s="160">
        <v>564</v>
      </c>
      <c r="C580" s="224"/>
      <c r="D580" s="213"/>
      <c r="E580" s="215"/>
      <c r="F580" s="214"/>
      <c r="G580" s="214"/>
      <c r="H580" s="74" t="str">
        <f t="shared" si="18"/>
        <v/>
      </c>
      <c r="I580" s="188" t="str">
        <f t="shared" si="19"/>
        <v/>
      </c>
      <c r="J580" s="221"/>
    </row>
    <row r="581" spans="1:10" s="90" customFormat="1" ht="14.25" hidden="1" x14ac:dyDescent="0.3">
      <c r="A581" s="141"/>
      <c r="B581" s="160">
        <v>565</v>
      </c>
      <c r="C581" s="224"/>
      <c r="D581" s="213"/>
      <c r="E581" s="215"/>
      <c r="F581" s="214"/>
      <c r="G581" s="214"/>
      <c r="H581" s="74" t="str">
        <f t="shared" si="18"/>
        <v/>
      </c>
      <c r="I581" s="188" t="str">
        <f t="shared" si="19"/>
        <v/>
      </c>
      <c r="J581" s="221"/>
    </row>
    <row r="582" spans="1:10" s="90" customFormat="1" ht="14.25" hidden="1" x14ac:dyDescent="0.3">
      <c r="A582" s="141"/>
      <c r="B582" s="160">
        <v>566</v>
      </c>
      <c r="C582" s="224"/>
      <c r="D582" s="213"/>
      <c r="E582" s="215"/>
      <c r="F582" s="214"/>
      <c r="G582" s="214"/>
      <c r="H582" s="74" t="str">
        <f t="shared" si="18"/>
        <v/>
      </c>
      <c r="I582" s="188" t="str">
        <f t="shared" si="19"/>
        <v/>
      </c>
      <c r="J582" s="221"/>
    </row>
    <row r="583" spans="1:10" s="90" customFormat="1" ht="14.25" hidden="1" x14ac:dyDescent="0.3">
      <c r="A583" s="141"/>
      <c r="B583" s="160">
        <v>567</v>
      </c>
      <c r="C583" s="224"/>
      <c r="D583" s="213"/>
      <c r="E583" s="215"/>
      <c r="F583" s="214"/>
      <c r="G583" s="214"/>
      <c r="H583" s="74" t="str">
        <f t="shared" si="18"/>
        <v/>
      </c>
      <c r="I583" s="188" t="str">
        <f t="shared" si="19"/>
        <v/>
      </c>
      <c r="J583" s="221"/>
    </row>
    <row r="584" spans="1:10" s="90" customFormat="1" ht="14.25" hidden="1" x14ac:dyDescent="0.3">
      <c r="A584" s="141"/>
      <c r="B584" s="160">
        <v>568</v>
      </c>
      <c r="C584" s="224"/>
      <c r="D584" s="213"/>
      <c r="E584" s="215"/>
      <c r="F584" s="214"/>
      <c r="G584" s="214"/>
      <c r="H584" s="74" t="str">
        <f t="shared" si="18"/>
        <v/>
      </c>
      <c r="I584" s="188" t="str">
        <f t="shared" si="19"/>
        <v/>
      </c>
      <c r="J584" s="221"/>
    </row>
    <row r="585" spans="1:10" s="90" customFormat="1" ht="14.25" hidden="1" x14ac:dyDescent="0.3">
      <c r="A585" s="141"/>
      <c r="B585" s="160">
        <v>569</v>
      </c>
      <c r="C585" s="224"/>
      <c r="D585" s="213"/>
      <c r="E585" s="215"/>
      <c r="F585" s="214"/>
      <c r="G585" s="214"/>
      <c r="H585" s="74" t="str">
        <f t="shared" si="18"/>
        <v/>
      </c>
      <c r="I585" s="188" t="str">
        <f t="shared" si="19"/>
        <v/>
      </c>
      <c r="J585" s="221"/>
    </row>
    <row r="586" spans="1:10" s="90" customFormat="1" ht="14.25" hidden="1" x14ac:dyDescent="0.3">
      <c r="A586" s="141"/>
      <c r="B586" s="160">
        <v>570</v>
      </c>
      <c r="C586" s="224"/>
      <c r="D586" s="213"/>
      <c r="E586" s="215"/>
      <c r="F586" s="215"/>
      <c r="G586" s="215"/>
      <c r="H586" s="74" t="str">
        <f t="shared" si="18"/>
        <v/>
      </c>
      <c r="I586" s="188" t="str">
        <f t="shared" si="19"/>
        <v/>
      </c>
      <c r="J586" s="221"/>
    </row>
    <row r="587" spans="1:10" s="90" customFormat="1" ht="14.25" hidden="1" x14ac:dyDescent="0.3">
      <c r="A587" s="141"/>
      <c r="B587" s="160">
        <v>571</v>
      </c>
      <c r="C587" s="224"/>
      <c r="D587" s="213"/>
      <c r="E587" s="215"/>
      <c r="F587" s="214"/>
      <c r="G587" s="214"/>
      <c r="H587" s="74" t="str">
        <f t="shared" si="18"/>
        <v/>
      </c>
      <c r="I587" s="188" t="str">
        <f t="shared" si="19"/>
        <v/>
      </c>
      <c r="J587" s="221"/>
    </row>
    <row r="588" spans="1:10" s="90" customFormat="1" ht="14.25" hidden="1" x14ac:dyDescent="0.3">
      <c r="A588" s="141"/>
      <c r="B588" s="160">
        <v>572</v>
      </c>
      <c r="C588" s="224"/>
      <c r="D588" s="213"/>
      <c r="E588" s="215"/>
      <c r="F588" s="214"/>
      <c r="G588" s="214"/>
      <c r="H588" s="74" t="str">
        <f t="shared" si="18"/>
        <v/>
      </c>
      <c r="I588" s="188" t="str">
        <f t="shared" si="19"/>
        <v/>
      </c>
      <c r="J588" s="221"/>
    </row>
    <row r="589" spans="1:10" s="90" customFormat="1" ht="14.25" hidden="1" x14ac:dyDescent="0.3">
      <c r="A589" s="141"/>
      <c r="B589" s="160">
        <v>573</v>
      </c>
      <c r="C589" s="224"/>
      <c r="D589" s="213"/>
      <c r="E589" s="215"/>
      <c r="F589" s="215"/>
      <c r="G589" s="215"/>
      <c r="H589" s="74" t="str">
        <f t="shared" si="18"/>
        <v/>
      </c>
      <c r="I589" s="188" t="str">
        <f t="shared" si="19"/>
        <v/>
      </c>
      <c r="J589" s="221"/>
    </row>
    <row r="590" spans="1:10" s="90" customFormat="1" ht="14.25" hidden="1" x14ac:dyDescent="0.3">
      <c r="A590" s="141"/>
      <c r="B590" s="160">
        <v>574</v>
      </c>
      <c r="C590" s="224"/>
      <c r="D590" s="213"/>
      <c r="E590" s="215"/>
      <c r="F590" s="214"/>
      <c r="G590" s="214"/>
      <c r="H590" s="74" t="str">
        <f t="shared" si="18"/>
        <v/>
      </c>
      <c r="I590" s="188" t="str">
        <f t="shared" si="19"/>
        <v/>
      </c>
      <c r="J590" s="221"/>
    </row>
    <row r="591" spans="1:10" s="90" customFormat="1" ht="14.25" hidden="1" x14ac:dyDescent="0.3">
      <c r="A591" s="141"/>
      <c r="B591" s="160">
        <v>575</v>
      </c>
      <c r="C591" s="224"/>
      <c r="D591" s="213"/>
      <c r="E591" s="215"/>
      <c r="F591" s="214"/>
      <c r="G591" s="214"/>
      <c r="H591" s="74" t="str">
        <f t="shared" si="18"/>
        <v/>
      </c>
      <c r="I591" s="188" t="str">
        <f t="shared" si="19"/>
        <v/>
      </c>
      <c r="J591" s="221"/>
    </row>
    <row r="592" spans="1:10" s="90" customFormat="1" ht="14.25" hidden="1" x14ac:dyDescent="0.3">
      <c r="A592" s="141"/>
      <c r="B592" s="160">
        <v>576</v>
      </c>
      <c r="C592" s="224"/>
      <c r="D592" s="213"/>
      <c r="E592" s="215"/>
      <c r="F592" s="217"/>
      <c r="G592" s="218"/>
      <c r="H592" s="74" t="str">
        <f t="shared" si="18"/>
        <v/>
      </c>
      <c r="I592" s="188" t="str">
        <f t="shared" si="19"/>
        <v/>
      </c>
      <c r="J592" s="221"/>
    </row>
    <row r="593" spans="1:10" s="90" customFormat="1" ht="14.25" hidden="1" x14ac:dyDescent="0.3">
      <c r="A593" s="141"/>
      <c r="B593" s="160">
        <v>577</v>
      </c>
      <c r="C593" s="224"/>
      <c r="D593" s="213"/>
      <c r="E593" s="215"/>
      <c r="F593" s="214"/>
      <c r="G593" s="214"/>
      <c r="H593" s="74" t="str">
        <f t="shared" ref="H593:H656" si="20">ObterComplexidadeFuncao(E593,F593,G593)</f>
        <v/>
      </c>
      <c r="I593" s="188" t="str">
        <f t="shared" si="19"/>
        <v/>
      </c>
      <c r="J593" s="221"/>
    </row>
    <row r="594" spans="1:10" s="90" customFormat="1" ht="14.25" hidden="1" x14ac:dyDescent="0.3">
      <c r="A594" s="141"/>
      <c r="B594" s="160">
        <v>578</v>
      </c>
      <c r="C594" s="224"/>
      <c r="D594" s="242"/>
      <c r="E594" s="215"/>
      <c r="F594" s="215"/>
      <c r="G594" s="215"/>
      <c r="H594" s="74" t="str">
        <f t="shared" si="20"/>
        <v/>
      </c>
      <c r="I594" s="188" t="str">
        <f t="shared" ref="I594:I657" si="21">ObterContribuicaoFuncao(E594,H594)</f>
        <v/>
      </c>
      <c r="J594" s="221"/>
    </row>
    <row r="595" spans="1:10" s="90" customFormat="1" ht="14.25" hidden="1" x14ac:dyDescent="0.3">
      <c r="A595" s="141"/>
      <c r="B595" s="160">
        <v>579</v>
      </c>
      <c r="C595" s="224"/>
      <c r="D595" s="216"/>
      <c r="E595" s="215"/>
      <c r="F595" s="214"/>
      <c r="G595" s="214"/>
      <c r="H595" s="74" t="str">
        <f t="shared" si="20"/>
        <v/>
      </c>
      <c r="I595" s="188" t="str">
        <f t="shared" si="21"/>
        <v/>
      </c>
      <c r="J595" s="221"/>
    </row>
    <row r="596" spans="1:10" s="90" customFormat="1" ht="14.25" hidden="1" x14ac:dyDescent="0.3">
      <c r="A596" s="141"/>
      <c r="B596" s="160">
        <v>580</v>
      </c>
      <c r="C596" s="224"/>
      <c r="D596" s="213"/>
      <c r="E596" s="215"/>
      <c r="F596" s="214"/>
      <c r="G596" s="214"/>
      <c r="H596" s="74" t="str">
        <f t="shared" si="20"/>
        <v/>
      </c>
      <c r="I596" s="188" t="str">
        <f t="shared" si="21"/>
        <v/>
      </c>
      <c r="J596" s="221"/>
    </row>
    <row r="597" spans="1:10" s="90" customFormat="1" ht="14.25" hidden="1" x14ac:dyDescent="0.3">
      <c r="A597" s="141"/>
      <c r="B597" s="160">
        <v>581</v>
      </c>
      <c r="C597" s="224"/>
      <c r="D597" s="213"/>
      <c r="E597" s="215"/>
      <c r="F597" s="214"/>
      <c r="G597" s="214"/>
      <c r="H597" s="74" t="str">
        <f t="shared" si="20"/>
        <v/>
      </c>
      <c r="I597" s="188" t="str">
        <f t="shared" si="21"/>
        <v/>
      </c>
      <c r="J597" s="221"/>
    </row>
    <row r="598" spans="1:10" s="90" customFormat="1" ht="14.25" hidden="1" x14ac:dyDescent="0.3">
      <c r="A598" s="141"/>
      <c r="B598" s="160">
        <v>582</v>
      </c>
      <c r="C598" s="224"/>
      <c r="D598" s="216"/>
      <c r="E598" s="215"/>
      <c r="F598" s="214"/>
      <c r="G598" s="214"/>
      <c r="H598" s="74" t="str">
        <f t="shared" si="20"/>
        <v/>
      </c>
      <c r="I598" s="188" t="str">
        <f t="shared" si="21"/>
        <v/>
      </c>
      <c r="J598" s="221"/>
    </row>
    <row r="599" spans="1:10" s="90" customFormat="1" ht="14.25" hidden="1" x14ac:dyDescent="0.3">
      <c r="A599" s="141"/>
      <c r="B599" s="160">
        <v>583</v>
      </c>
      <c r="C599" s="224"/>
      <c r="D599" s="216"/>
      <c r="E599" s="215"/>
      <c r="F599" s="217"/>
      <c r="G599" s="218"/>
      <c r="H599" s="74" t="str">
        <f t="shared" si="20"/>
        <v/>
      </c>
      <c r="I599" s="188" t="str">
        <f t="shared" si="21"/>
        <v/>
      </c>
      <c r="J599" s="221"/>
    </row>
    <row r="600" spans="1:10" s="90" customFormat="1" ht="14.25" hidden="1" x14ac:dyDescent="0.3">
      <c r="A600" s="141"/>
      <c r="B600" s="160">
        <v>584</v>
      </c>
      <c r="C600" s="224"/>
      <c r="D600" s="242"/>
      <c r="E600" s="215"/>
      <c r="F600" s="215"/>
      <c r="G600" s="215"/>
      <c r="H600" s="74" t="str">
        <f t="shared" si="20"/>
        <v/>
      </c>
      <c r="I600" s="188" t="str">
        <f t="shared" si="21"/>
        <v/>
      </c>
      <c r="J600" s="221"/>
    </row>
    <row r="601" spans="1:10" s="90" customFormat="1" ht="14.25" hidden="1" x14ac:dyDescent="0.3">
      <c r="A601" s="141"/>
      <c r="B601" s="160">
        <v>585</v>
      </c>
      <c r="C601" s="224"/>
      <c r="D601" s="216"/>
      <c r="E601" s="215"/>
      <c r="F601" s="214"/>
      <c r="G601" s="214"/>
      <c r="H601" s="74" t="str">
        <f t="shared" si="20"/>
        <v/>
      </c>
      <c r="I601" s="188" t="str">
        <f t="shared" si="21"/>
        <v/>
      </c>
      <c r="J601" s="221"/>
    </row>
    <row r="602" spans="1:10" s="90" customFormat="1" ht="14.25" hidden="1" x14ac:dyDescent="0.3">
      <c r="A602" s="141"/>
      <c r="B602" s="160">
        <v>586</v>
      </c>
      <c r="C602" s="224"/>
      <c r="D602" s="213"/>
      <c r="E602" s="215"/>
      <c r="F602" s="214"/>
      <c r="G602" s="214"/>
      <c r="H602" s="74" t="str">
        <f t="shared" si="20"/>
        <v/>
      </c>
      <c r="I602" s="188" t="str">
        <f t="shared" si="21"/>
        <v/>
      </c>
      <c r="J602" s="221"/>
    </row>
    <row r="603" spans="1:10" s="90" customFormat="1" ht="14.25" hidden="1" x14ac:dyDescent="0.3">
      <c r="A603" s="141"/>
      <c r="B603" s="160">
        <v>587</v>
      </c>
      <c r="C603" s="224"/>
      <c r="D603" s="213"/>
      <c r="E603" s="215"/>
      <c r="F603" s="214"/>
      <c r="G603" s="214"/>
      <c r="H603" s="74" t="str">
        <f t="shared" si="20"/>
        <v/>
      </c>
      <c r="I603" s="188" t="str">
        <f t="shared" si="21"/>
        <v/>
      </c>
      <c r="J603" s="221"/>
    </row>
    <row r="604" spans="1:10" s="90" customFormat="1" ht="14.25" hidden="1" x14ac:dyDescent="0.3">
      <c r="A604" s="141"/>
      <c r="B604" s="160">
        <v>588</v>
      </c>
      <c r="C604" s="224"/>
      <c r="D604" s="216"/>
      <c r="E604" s="215"/>
      <c r="F604" s="214"/>
      <c r="G604" s="214"/>
      <c r="H604" s="74" t="str">
        <f t="shared" si="20"/>
        <v/>
      </c>
      <c r="I604" s="188" t="str">
        <f t="shared" si="21"/>
        <v/>
      </c>
      <c r="J604" s="221"/>
    </row>
    <row r="605" spans="1:10" s="90" customFormat="1" ht="14.25" hidden="1" x14ac:dyDescent="0.3">
      <c r="A605" s="141"/>
      <c r="B605" s="160">
        <v>589</v>
      </c>
      <c r="C605" s="224"/>
      <c r="D605" s="213"/>
      <c r="E605" s="215"/>
      <c r="F605" s="214"/>
      <c r="G605" s="214"/>
      <c r="H605" s="74" t="str">
        <f t="shared" si="20"/>
        <v/>
      </c>
      <c r="I605" s="188" t="str">
        <f t="shared" si="21"/>
        <v/>
      </c>
      <c r="J605" s="221"/>
    </row>
    <row r="606" spans="1:10" s="90" customFormat="1" ht="14.25" hidden="1" x14ac:dyDescent="0.3">
      <c r="A606" s="141"/>
      <c r="B606" s="160">
        <v>590</v>
      </c>
      <c r="C606" s="224"/>
      <c r="D606" s="242"/>
      <c r="E606" s="215"/>
      <c r="F606" s="215"/>
      <c r="G606" s="215"/>
      <c r="H606" s="74" t="str">
        <f t="shared" si="20"/>
        <v/>
      </c>
      <c r="I606" s="188" t="str">
        <f t="shared" si="21"/>
        <v/>
      </c>
      <c r="J606" s="221"/>
    </row>
    <row r="607" spans="1:10" s="90" customFormat="1" ht="14.25" hidden="1" x14ac:dyDescent="0.3">
      <c r="A607" s="141"/>
      <c r="B607" s="160">
        <v>591</v>
      </c>
      <c r="C607" s="224"/>
      <c r="D607" s="216"/>
      <c r="E607" s="215"/>
      <c r="F607" s="214"/>
      <c r="G607" s="214"/>
      <c r="H607" s="74" t="str">
        <f t="shared" si="20"/>
        <v/>
      </c>
      <c r="I607" s="188" t="str">
        <f t="shared" si="21"/>
        <v/>
      </c>
      <c r="J607" s="221"/>
    </row>
    <row r="608" spans="1:10" s="90" customFormat="1" ht="14.25" hidden="1" x14ac:dyDescent="0.3">
      <c r="A608" s="141"/>
      <c r="B608" s="160">
        <v>592</v>
      </c>
      <c r="C608" s="224"/>
      <c r="D608" s="213"/>
      <c r="E608" s="215"/>
      <c r="F608" s="214"/>
      <c r="G608" s="214"/>
      <c r="H608" s="74" t="str">
        <f t="shared" si="20"/>
        <v/>
      </c>
      <c r="I608" s="188" t="str">
        <f t="shared" si="21"/>
        <v/>
      </c>
      <c r="J608" s="221"/>
    </row>
    <row r="609" spans="1:10" s="90" customFormat="1" ht="14.25" hidden="1" x14ac:dyDescent="0.3">
      <c r="A609" s="141"/>
      <c r="B609" s="160">
        <v>593</v>
      </c>
      <c r="C609" s="224"/>
      <c r="D609" s="213"/>
      <c r="E609" s="215"/>
      <c r="F609" s="214"/>
      <c r="G609" s="214"/>
      <c r="H609" s="74" t="str">
        <f t="shared" si="20"/>
        <v/>
      </c>
      <c r="I609" s="188" t="str">
        <f t="shared" si="21"/>
        <v/>
      </c>
      <c r="J609" s="221"/>
    </row>
    <row r="610" spans="1:10" s="90" customFormat="1" ht="14.25" hidden="1" x14ac:dyDescent="0.3">
      <c r="A610" s="141"/>
      <c r="B610" s="160">
        <v>594</v>
      </c>
      <c r="C610" s="224"/>
      <c r="D610" s="216"/>
      <c r="E610" s="215"/>
      <c r="F610" s="214"/>
      <c r="G610" s="214"/>
      <c r="H610" s="74" t="str">
        <f t="shared" si="20"/>
        <v/>
      </c>
      <c r="I610" s="188" t="str">
        <f t="shared" si="21"/>
        <v/>
      </c>
      <c r="J610" s="221"/>
    </row>
    <row r="611" spans="1:10" s="90" customFormat="1" ht="14.25" hidden="1" x14ac:dyDescent="0.3">
      <c r="A611" s="141"/>
      <c r="B611" s="160">
        <v>595</v>
      </c>
      <c r="C611" s="224"/>
      <c r="D611" s="213"/>
      <c r="E611" s="215"/>
      <c r="F611" s="214"/>
      <c r="G611" s="214"/>
      <c r="H611" s="74" t="str">
        <f t="shared" si="20"/>
        <v/>
      </c>
      <c r="I611" s="188" t="str">
        <f t="shared" si="21"/>
        <v/>
      </c>
      <c r="J611" s="221"/>
    </row>
    <row r="612" spans="1:10" s="90" customFormat="1" ht="14.25" hidden="1" x14ac:dyDescent="0.3">
      <c r="A612" s="141"/>
      <c r="B612" s="160">
        <v>596</v>
      </c>
      <c r="C612" s="224"/>
      <c r="D612" s="242"/>
      <c r="E612" s="215"/>
      <c r="F612" s="215"/>
      <c r="G612" s="215"/>
      <c r="H612" s="74" t="str">
        <f t="shared" si="20"/>
        <v/>
      </c>
      <c r="I612" s="188" t="str">
        <f t="shared" si="21"/>
        <v/>
      </c>
      <c r="J612" s="221"/>
    </row>
    <row r="613" spans="1:10" s="90" customFormat="1" ht="14.25" hidden="1" x14ac:dyDescent="0.3">
      <c r="A613" s="141"/>
      <c r="B613" s="160">
        <v>597</v>
      </c>
      <c r="C613" s="224"/>
      <c r="D613" s="216"/>
      <c r="E613" s="215"/>
      <c r="F613" s="217"/>
      <c r="G613" s="218"/>
      <c r="H613" s="74" t="str">
        <f t="shared" si="20"/>
        <v/>
      </c>
      <c r="I613" s="188" t="str">
        <f t="shared" si="21"/>
        <v/>
      </c>
      <c r="J613" s="221"/>
    </row>
    <row r="614" spans="1:10" s="90" customFormat="1" ht="14.25" hidden="1" x14ac:dyDescent="0.3">
      <c r="A614" s="141"/>
      <c r="B614" s="160">
        <v>598</v>
      </c>
      <c r="C614" s="224"/>
      <c r="D614" s="216"/>
      <c r="E614" s="215"/>
      <c r="F614" s="214"/>
      <c r="G614" s="218"/>
      <c r="H614" s="74" t="str">
        <f t="shared" si="20"/>
        <v/>
      </c>
      <c r="I614" s="188" t="str">
        <f t="shared" si="21"/>
        <v/>
      </c>
      <c r="J614" s="221"/>
    </row>
    <row r="615" spans="1:10" s="90" customFormat="1" ht="14.25" hidden="1" x14ac:dyDescent="0.3">
      <c r="A615" s="141"/>
      <c r="B615" s="160">
        <v>599</v>
      </c>
      <c r="C615" s="224"/>
      <c r="D615" s="213"/>
      <c r="E615" s="215"/>
      <c r="F615" s="214"/>
      <c r="G615" s="218"/>
      <c r="H615" s="74" t="str">
        <f t="shared" si="20"/>
        <v/>
      </c>
      <c r="I615" s="188" t="str">
        <f t="shared" si="21"/>
        <v/>
      </c>
      <c r="J615" s="221"/>
    </row>
    <row r="616" spans="1:10" s="90" customFormat="1" ht="14.25" hidden="1" x14ac:dyDescent="0.3">
      <c r="A616" s="141"/>
      <c r="B616" s="160">
        <v>600</v>
      </c>
      <c r="C616" s="224"/>
      <c r="D616" s="216"/>
      <c r="E616" s="215"/>
      <c r="F616" s="217"/>
      <c r="G616" s="218"/>
      <c r="H616" s="74" t="str">
        <f t="shared" si="20"/>
        <v/>
      </c>
      <c r="I616" s="188" t="str">
        <f t="shared" si="21"/>
        <v/>
      </c>
      <c r="J616" s="221"/>
    </row>
    <row r="617" spans="1:10" s="90" customFormat="1" ht="14.25" hidden="1" x14ac:dyDescent="0.3">
      <c r="A617" s="141"/>
      <c r="B617" s="160">
        <v>601</v>
      </c>
      <c r="C617" s="224"/>
      <c r="D617" s="213"/>
      <c r="E617" s="215"/>
      <c r="F617" s="214"/>
      <c r="G617" s="218"/>
      <c r="H617" s="74" t="str">
        <f t="shared" si="20"/>
        <v/>
      </c>
      <c r="I617" s="188" t="str">
        <f t="shared" si="21"/>
        <v/>
      </c>
      <c r="J617" s="221"/>
    </row>
    <row r="618" spans="1:10" s="90" customFormat="1" ht="14.25" hidden="1" x14ac:dyDescent="0.3">
      <c r="A618" s="141"/>
      <c r="B618" s="160">
        <v>602</v>
      </c>
      <c r="C618" s="224"/>
      <c r="D618" s="213"/>
      <c r="E618" s="215"/>
      <c r="F618" s="214"/>
      <c r="G618" s="218"/>
      <c r="H618" s="74" t="str">
        <f t="shared" si="20"/>
        <v/>
      </c>
      <c r="I618" s="188" t="str">
        <f t="shared" si="21"/>
        <v/>
      </c>
      <c r="J618" s="221"/>
    </row>
    <row r="619" spans="1:10" s="90" customFormat="1" ht="14.25" hidden="1" x14ac:dyDescent="0.3">
      <c r="A619" s="141"/>
      <c r="B619" s="160">
        <v>603</v>
      </c>
      <c r="C619" s="224"/>
      <c r="D619" s="216"/>
      <c r="E619" s="215"/>
      <c r="F619" s="217"/>
      <c r="G619" s="218"/>
      <c r="H619" s="74" t="str">
        <f t="shared" si="20"/>
        <v/>
      </c>
      <c r="I619" s="188" t="str">
        <f t="shared" si="21"/>
        <v/>
      </c>
      <c r="J619" s="221"/>
    </row>
    <row r="620" spans="1:10" s="90" customFormat="1" ht="14.25" hidden="1" x14ac:dyDescent="0.3">
      <c r="A620" s="141"/>
      <c r="B620" s="160">
        <v>604</v>
      </c>
      <c r="C620" s="224"/>
      <c r="D620" s="213"/>
      <c r="E620" s="215"/>
      <c r="F620" s="214"/>
      <c r="G620" s="218"/>
      <c r="H620" s="74" t="str">
        <f t="shared" si="20"/>
        <v/>
      </c>
      <c r="I620" s="188" t="str">
        <f t="shared" si="21"/>
        <v/>
      </c>
      <c r="J620" s="221"/>
    </row>
    <row r="621" spans="1:10" s="90" customFormat="1" ht="14.25" hidden="1" x14ac:dyDescent="0.3">
      <c r="A621" s="141"/>
      <c r="B621" s="160">
        <v>605</v>
      </c>
      <c r="C621" s="224"/>
      <c r="D621" s="213"/>
      <c r="E621" s="215"/>
      <c r="F621" s="214"/>
      <c r="G621" s="214"/>
      <c r="H621" s="74" t="str">
        <f t="shared" si="20"/>
        <v/>
      </c>
      <c r="I621" s="188" t="str">
        <f t="shared" si="21"/>
        <v/>
      </c>
      <c r="J621" s="221"/>
    </row>
    <row r="622" spans="1:10" s="90" customFormat="1" ht="14.25" hidden="1" x14ac:dyDescent="0.3">
      <c r="A622" s="141"/>
      <c r="B622" s="160">
        <v>606</v>
      </c>
      <c r="C622" s="224"/>
      <c r="D622" s="216"/>
      <c r="E622" s="215"/>
      <c r="F622" s="217"/>
      <c r="G622" s="218"/>
      <c r="H622" s="74" t="str">
        <f t="shared" si="20"/>
        <v/>
      </c>
      <c r="I622" s="188" t="str">
        <f t="shared" si="21"/>
        <v/>
      </c>
      <c r="J622" s="221"/>
    </row>
    <row r="623" spans="1:10" s="90" customFormat="1" ht="14.25" hidden="1" x14ac:dyDescent="0.3">
      <c r="A623" s="141"/>
      <c r="B623" s="160">
        <v>607</v>
      </c>
      <c r="C623" s="224"/>
      <c r="D623" s="213"/>
      <c r="E623" s="215"/>
      <c r="F623" s="214"/>
      <c r="G623" s="214"/>
      <c r="H623" s="74" t="str">
        <f t="shared" si="20"/>
        <v/>
      </c>
      <c r="I623" s="188" t="str">
        <f t="shared" si="21"/>
        <v/>
      </c>
      <c r="J623" s="221"/>
    </row>
    <row r="624" spans="1:10" s="90" customFormat="1" ht="14.25" hidden="1" x14ac:dyDescent="0.3">
      <c r="A624" s="141"/>
      <c r="B624" s="160">
        <v>608</v>
      </c>
      <c r="C624" s="224"/>
      <c r="D624" s="242"/>
      <c r="E624" s="215"/>
      <c r="F624" s="215"/>
      <c r="G624" s="215"/>
      <c r="H624" s="74" t="str">
        <f t="shared" si="20"/>
        <v/>
      </c>
      <c r="I624" s="188" t="str">
        <f t="shared" si="21"/>
        <v/>
      </c>
      <c r="J624" s="221"/>
    </row>
    <row r="625" spans="1:10" s="90" customFormat="1" ht="14.25" hidden="1" x14ac:dyDescent="0.3">
      <c r="A625" s="141"/>
      <c r="B625" s="160">
        <v>609</v>
      </c>
      <c r="C625" s="224"/>
      <c r="D625" s="216"/>
      <c r="E625" s="215"/>
      <c r="F625" s="214"/>
      <c r="G625" s="218"/>
      <c r="H625" s="74" t="str">
        <f t="shared" si="20"/>
        <v/>
      </c>
      <c r="I625" s="188" t="str">
        <f t="shared" si="21"/>
        <v/>
      </c>
      <c r="J625" s="221"/>
    </row>
    <row r="626" spans="1:10" s="90" customFormat="1" ht="14.25" hidden="1" x14ac:dyDescent="0.3">
      <c r="A626" s="141"/>
      <c r="B626" s="160">
        <v>610</v>
      </c>
      <c r="C626" s="224"/>
      <c r="D626" s="213"/>
      <c r="E626" s="215"/>
      <c r="F626" s="214"/>
      <c r="G626" s="218"/>
      <c r="H626" s="74" t="str">
        <f t="shared" si="20"/>
        <v/>
      </c>
      <c r="I626" s="188" t="str">
        <f t="shared" si="21"/>
        <v/>
      </c>
      <c r="J626" s="221"/>
    </row>
    <row r="627" spans="1:10" s="90" customFormat="1" ht="14.25" hidden="1" x14ac:dyDescent="0.3">
      <c r="A627" s="141"/>
      <c r="B627" s="160">
        <v>611</v>
      </c>
      <c r="C627" s="224"/>
      <c r="D627" s="213"/>
      <c r="E627" s="215"/>
      <c r="F627" s="214"/>
      <c r="G627" s="218"/>
      <c r="H627" s="74" t="str">
        <f t="shared" si="20"/>
        <v/>
      </c>
      <c r="I627" s="188" t="str">
        <f t="shared" si="21"/>
        <v/>
      </c>
      <c r="J627" s="221"/>
    </row>
    <row r="628" spans="1:10" s="90" customFormat="1" ht="14.25" hidden="1" x14ac:dyDescent="0.3">
      <c r="A628" s="141"/>
      <c r="B628" s="160">
        <v>612</v>
      </c>
      <c r="C628" s="224"/>
      <c r="D628" s="216"/>
      <c r="E628" s="215"/>
      <c r="F628" s="214"/>
      <c r="G628" s="218"/>
      <c r="H628" s="74" t="str">
        <f t="shared" si="20"/>
        <v/>
      </c>
      <c r="I628" s="188" t="str">
        <f t="shared" si="21"/>
        <v/>
      </c>
      <c r="J628" s="221"/>
    </row>
    <row r="629" spans="1:10" s="90" customFormat="1" ht="14.25" hidden="1" x14ac:dyDescent="0.3">
      <c r="A629" s="141"/>
      <c r="B629" s="160">
        <v>613</v>
      </c>
      <c r="C629" s="224"/>
      <c r="D629" s="242"/>
      <c r="E629" s="215"/>
      <c r="F629" s="215"/>
      <c r="G629" s="215"/>
      <c r="H629" s="74" t="str">
        <f t="shared" si="20"/>
        <v/>
      </c>
      <c r="I629" s="188" t="str">
        <f t="shared" si="21"/>
        <v/>
      </c>
      <c r="J629" s="221"/>
    </row>
    <row r="630" spans="1:10" s="90" customFormat="1" ht="14.25" hidden="1" x14ac:dyDescent="0.3">
      <c r="A630" s="141"/>
      <c r="B630" s="160">
        <v>614</v>
      </c>
      <c r="C630" s="224"/>
      <c r="D630" s="213"/>
      <c r="E630" s="215"/>
      <c r="F630" s="214"/>
      <c r="G630" s="214"/>
      <c r="H630" s="74" t="str">
        <f t="shared" si="20"/>
        <v/>
      </c>
      <c r="I630" s="188" t="str">
        <f t="shared" si="21"/>
        <v/>
      </c>
      <c r="J630" s="221"/>
    </row>
    <row r="631" spans="1:10" s="90" customFormat="1" ht="14.25" hidden="1" x14ac:dyDescent="0.3">
      <c r="A631" s="141"/>
      <c r="B631" s="160">
        <v>615</v>
      </c>
      <c r="C631" s="224"/>
      <c r="D631" s="216"/>
      <c r="E631" s="215"/>
      <c r="F631" s="217"/>
      <c r="G631" s="218"/>
      <c r="H631" s="74" t="str">
        <f t="shared" si="20"/>
        <v/>
      </c>
      <c r="I631" s="188" t="str">
        <f t="shared" si="21"/>
        <v/>
      </c>
      <c r="J631" s="221"/>
    </row>
    <row r="632" spans="1:10" s="90" customFormat="1" ht="14.25" hidden="1" x14ac:dyDescent="0.3">
      <c r="A632" s="141"/>
      <c r="B632" s="160">
        <v>616</v>
      </c>
      <c r="C632" s="224"/>
      <c r="D632" s="242"/>
      <c r="E632" s="215"/>
      <c r="F632" s="215"/>
      <c r="G632" s="215"/>
      <c r="H632" s="74" t="str">
        <f t="shared" si="20"/>
        <v/>
      </c>
      <c r="I632" s="188" t="str">
        <f t="shared" si="21"/>
        <v/>
      </c>
      <c r="J632" s="221"/>
    </row>
    <row r="633" spans="1:10" s="90" customFormat="1" ht="14.25" hidden="1" x14ac:dyDescent="0.3">
      <c r="A633" s="141"/>
      <c r="B633" s="160">
        <v>617</v>
      </c>
      <c r="C633" s="224"/>
      <c r="D633" s="213"/>
      <c r="E633" s="215"/>
      <c r="F633" s="214"/>
      <c r="G633" s="214"/>
      <c r="H633" s="74" t="str">
        <f t="shared" si="20"/>
        <v/>
      </c>
      <c r="I633" s="188" t="str">
        <f t="shared" si="21"/>
        <v/>
      </c>
      <c r="J633" s="221"/>
    </row>
    <row r="634" spans="1:10" s="90" customFormat="1" ht="14.25" hidden="1" x14ac:dyDescent="0.3">
      <c r="A634" s="141"/>
      <c r="B634" s="160">
        <v>618</v>
      </c>
      <c r="C634" s="224"/>
      <c r="D634" s="216"/>
      <c r="E634" s="215"/>
      <c r="F634" s="217"/>
      <c r="G634" s="218"/>
      <c r="H634" s="74" t="str">
        <f t="shared" si="20"/>
        <v/>
      </c>
      <c r="I634" s="188" t="str">
        <f t="shared" si="21"/>
        <v/>
      </c>
      <c r="J634" s="221"/>
    </row>
    <row r="635" spans="1:10" s="90" customFormat="1" ht="14.25" hidden="1" x14ac:dyDescent="0.3">
      <c r="A635" s="141"/>
      <c r="B635" s="160">
        <v>619</v>
      </c>
      <c r="C635" s="224"/>
      <c r="D635" s="242"/>
      <c r="E635" s="215"/>
      <c r="F635" s="215"/>
      <c r="G635" s="215"/>
      <c r="H635" s="74" t="str">
        <f t="shared" si="20"/>
        <v/>
      </c>
      <c r="I635" s="188" t="str">
        <f t="shared" si="21"/>
        <v/>
      </c>
      <c r="J635" s="221"/>
    </row>
    <row r="636" spans="1:10" s="90" customFormat="1" ht="14.25" hidden="1" x14ac:dyDescent="0.3">
      <c r="A636" s="141"/>
      <c r="B636" s="160">
        <v>620</v>
      </c>
      <c r="C636" s="224"/>
      <c r="D636" s="213"/>
      <c r="E636" s="215"/>
      <c r="F636" s="214"/>
      <c r="G636" s="214"/>
      <c r="H636" s="74" t="str">
        <f t="shared" si="20"/>
        <v/>
      </c>
      <c r="I636" s="188" t="str">
        <f t="shared" si="21"/>
        <v/>
      </c>
      <c r="J636" s="221"/>
    </row>
    <row r="637" spans="1:10" s="90" customFormat="1" ht="14.25" hidden="1" x14ac:dyDescent="0.3">
      <c r="A637" s="141"/>
      <c r="B637" s="160">
        <v>621</v>
      </c>
      <c r="C637" s="224"/>
      <c r="D637" s="216"/>
      <c r="E637" s="215"/>
      <c r="F637" s="217"/>
      <c r="G637" s="218"/>
      <c r="H637" s="74" t="str">
        <f t="shared" si="20"/>
        <v/>
      </c>
      <c r="I637" s="188" t="str">
        <f t="shared" si="21"/>
        <v/>
      </c>
      <c r="J637" s="221"/>
    </row>
    <row r="638" spans="1:10" s="90" customFormat="1" ht="14.25" hidden="1" x14ac:dyDescent="0.3">
      <c r="A638" s="141"/>
      <c r="B638" s="160">
        <v>622</v>
      </c>
      <c r="C638" s="224"/>
      <c r="D638" s="242"/>
      <c r="E638" s="215"/>
      <c r="F638" s="215"/>
      <c r="G638" s="215"/>
      <c r="H638" s="74" t="str">
        <f t="shared" si="20"/>
        <v/>
      </c>
      <c r="I638" s="188" t="str">
        <f t="shared" si="21"/>
        <v/>
      </c>
      <c r="J638" s="221"/>
    </row>
    <row r="639" spans="1:10" s="90" customFormat="1" ht="14.25" hidden="1" x14ac:dyDescent="0.3">
      <c r="A639" s="141"/>
      <c r="B639" s="160">
        <v>623</v>
      </c>
      <c r="C639" s="224"/>
      <c r="D639" s="213"/>
      <c r="E639" s="215"/>
      <c r="F639" s="214"/>
      <c r="G639" s="218"/>
      <c r="H639" s="74" t="str">
        <f t="shared" si="20"/>
        <v/>
      </c>
      <c r="I639" s="188" t="str">
        <f t="shared" si="21"/>
        <v/>
      </c>
      <c r="J639" s="221"/>
    </row>
    <row r="640" spans="1:10" s="90" customFormat="1" ht="14.25" hidden="1" x14ac:dyDescent="0.3">
      <c r="A640" s="141"/>
      <c r="B640" s="160">
        <v>624</v>
      </c>
      <c r="C640" s="224"/>
      <c r="D640" s="213"/>
      <c r="E640" s="215"/>
      <c r="F640" s="214"/>
      <c r="G640" s="218"/>
      <c r="H640" s="74" t="str">
        <f t="shared" si="20"/>
        <v/>
      </c>
      <c r="I640" s="188" t="str">
        <f t="shared" si="21"/>
        <v/>
      </c>
      <c r="J640" s="221"/>
    </row>
    <row r="641" spans="1:10" s="90" customFormat="1" ht="14.25" hidden="1" x14ac:dyDescent="0.3">
      <c r="A641" s="141"/>
      <c r="B641" s="160">
        <v>625</v>
      </c>
      <c r="C641" s="224"/>
      <c r="D641" s="213"/>
      <c r="E641" s="215"/>
      <c r="F641" s="214"/>
      <c r="G641" s="218"/>
      <c r="H641" s="74" t="str">
        <f t="shared" si="20"/>
        <v/>
      </c>
      <c r="I641" s="188" t="str">
        <f t="shared" si="21"/>
        <v/>
      </c>
      <c r="J641" s="221"/>
    </row>
    <row r="642" spans="1:10" s="90" customFormat="1" ht="14.25" hidden="1" x14ac:dyDescent="0.3">
      <c r="A642" s="141"/>
      <c r="B642" s="160">
        <v>626</v>
      </c>
      <c r="C642" s="224"/>
      <c r="D642" s="213"/>
      <c r="E642" s="215"/>
      <c r="F642" s="214"/>
      <c r="G642" s="218"/>
      <c r="H642" s="74" t="str">
        <f t="shared" si="20"/>
        <v/>
      </c>
      <c r="I642" s="188" t="str">
        <f t="shared" si="21"/>
        <v/>
      </c>
      <c r="J642" s="221"/>
    </row>
    <row r="643" spans="1:10" s="90" customFormat="1" ht="14.25" hidden="1" x14ac:dyDescent="0.3">
      <c r="A643" s="141"/>
      <c r="B643" s="160">
        <v>627</v>
      </c>
      <c r="C643" s="224"/>
      <c r="D643" s="213"/>
      <c r="E643" s="215"/>
      <c r="F643" s="214"/>
      <c r="G643" s="218"/>
      <c r="H643" s="74" t="str">
        <f t="shared" si="20"/>
        <v/>
      </c>
      <c r="I643" s="188" t="str">
        <f t="shared" si="21"/>
        <v/>
      </c>
      <c r="J643" s="221"/>
    </row>
    <row r="644" spans="1:10" s="90" customFormat="1" ht="14.25" hidden="1" x14ac:dyDescent="0.3">
      <c r="A644" s="141"/>
      <c r="B644" s="160">
        <v>628</v>
      </c>
      <c r="C644" s="224"/>
      <c r="D644" s="213"/>
      <c r="E644" s="215"/>
      <c r="F644" s="214"/>
      <c r="G644" s="218"/>
      <c r="H644" s="74" t="str">
        <f t="shared" si="20"/>
        <v/>
      </c>
      <c r="I644" s="188" t="str">
        <f t="shared" si="21"/>
        <v/>
      </c>
      <c r="J644" s="221"/>
    </row>
    <row r="645" spans="1:10" s="90" customFormat="1" ht="14.25" hidden="1" x14ac:dyDescent="0.3">
      <c r="A645" s="141"/>
      <c r="B645" s="160">
        <v>629</v>
      </c>
      <c r="C645" s="224"/>
      <c r="D645" s="213"/>
      <c r="E645" s="215"/>
      <c r="F645" s="214"/>
      <c r="G645" s="218"/>
      <c r="H645" s="74" t="str">
        <f t="shared" si="20"/>
        <v/>
      </c>
      <c r="I645" s="188" t="str">
        <f t="shared" si="21"/>
        <v/>
      </c>
      <c r="J645" s="221"/>
    </row>
    <row r="646" spans="1:10" s="90" customFormat="1" ht="14.25" hidden="1" x14ac:dyDescent="0.3">
      <c r="A646" s="141"/>
      <c r="B646" s="160">
        <v>630</v>
      </c>
      <c r="C646" s="224"/>
      <c r="D646" s="216"/>
      <c r="E646" s="215"/>
      <c r="F646" s="217"/>
      <c r="G646" s="218"/>
      <c r="H646" s="74" t="str">
        <f t="shared" si="20"/>
        <v/>
      </c>
      <c r="I646" s="188" t="str">
        <f t="shared" si="21"/>
        <v/>
      </c>
      <c r="J646" s="221"/>
    </row>
    <row r="647" spans="1:10" s="90" customFormat="1" ht="14.25" hidden="1" x14ac:dyDescent="0.3">
      <c r="A647" s="141"/>
      <c r="B647" s="160">
        <v>631</v>
      </c>
      <c r="C647" s="224"/>
      <c r="D647" s="242"/>
      <c r="E647" s="215"/>
      <c r="F647" s="215"/>
      <c r="G647" s="215"/>
      <c r="H647" s="74" t="str">
        <f t="shared" si="20"/>
        <v/>
      </c>
      <c r="I647" s="188" t="str">
        <f t="shared" si="21"/>
        <v/>
      </c>
      <c r="J647" s="221"/>
    </row>
    <row r="648" spans="1:10" s="90" customFormat="1" ht="14.25" hidden="1" x14ac:dyDescent="0.3">
      <c r="A648" s="141"/>
      <c r="B648" s="160">
        <v>632</v>
      </c>
      <c r="C648" s="224"/>
      <c r="D648" s="216"/>
      <c r="E648" s="215"/>
      <c r="F648" s="217"/>
      <c r="G648" s="218"/>
      <c r="H648" s="74" t="str">
        <f t="shared" si="20"/>
        <v/>
      </c>
      <c r="I648" s="188" t="str">
        <f t="shared" si="21"/>
        <v/>
      </c>
      <c r="J648" s="221"/>
    </row>
    <row r="649" spans="1:10" s="90" customFormat="1" ht="14.25" hidden="1" x14ac:dyDescent="0.3">
      <c r="A649" s="141"/>
      <c r="B649" s="160">
        <v>633</v>
      </c>
      <c r="C649" s="224"/>
      <c r="D649" s="213"/>
      <c r="E649" s="215"/>
      <c r="F649" s="214"/>
      <c r="G649" s="218"/>
      <c r="H649" s="74" t="str">
        <f t="shared" si="20"/>
        <v/>
      </c>
      <c r="I649" s="188" t="str">
        <f t="shared" si="21"/>
        <v/>
      </c>
      <c r="J649" s="221"/>
    </row>
    <row r="650" spans="1:10" s="90" customFormat="1" ht="14.25" hidden="1" x14ac:dyDescent="0.3">
      <c r="A650" s="141"/>
      <c r="B650" s="160">
        <v>634</v>
      </c>
      <c r="C650" s="224"/>
      <c r="D650" s="213"/>
      <c r="E650" s="215"/>
      <c r="F650" s="214"/>
      <c r="G650" s="218"/>
      <c r="H650" s="74" t="str">
        <f t="shared" si="20"/>
        <v/>
      </c>
      <c r="I650" s="188" t="str">
        <f t="shared" si="21"/>
        <v/>
      </c>
      <c r="J650" s="221"/>
    </row>
    <row r="651" spans="1:10" s="90" customFormat="1" ht="14.25" hidden="1" x14ac:dyDescent="0.3">
      <c r="A651" s="141"/>
      <c r="B651" s="160">
        <v>635</v>
      </c>
      <c r="C651" s="224"/>
      <c r="D651" s="216"/>
      <c r="E651" s="215"/>
      <c r="F651" s="217"/>
      <c r="G651" s="218"/>
      <c r="H651" s="74" t="str">
        <f t="shared" si="20"/>
        <v/>
      </c>
      <c r="I651" s="188" t="str">
        <f t="shared" si="21"/>
        <v/>
      </c>
      <c r="J651" s="221"/>
    </row>
    <row r="652" spans="1:10" s="90" customFormat="1" ht="14.25" hidden="1" x14ac:dyDescent="0.3">
      <c r="A652" s="141"/>
      <c r="B652" s="160">
        <v>636</v>
      </c>
      <c r="C652" s="224"/>
      <c r="D652" s="213"/>
      <c r="E652" s="215"/>
      <c r="F652" s="214"/>
      <c r="G652" s="218"/>
      <c r="H652" s="74" t="str">
        <f t="shared" si="20"/>
        <v/>
      </c>
      <c r="I652" s="188" t="str">
        <f t="shared" si="21"/>
        <v/>
      </c>
      <c r="J652" s="221"/>
    </row>
    <row r="653" spans="1:10" s="90" customFormat="1" ht="14.25" hidden="1" x14ac:dyDescent="0.3">
      <c r="A653" s="141"/>
      <c r="B653" s="160">
        <v>637</v>
      </c>
      <c r="C653" s="224"/>
      <c r="D653" s="213"/>
      <c r="E653" s="215"/>
      <c r="F653" s="214"/>
      <c r="G653" s="218"/>
      <c r="H653" s="74" t="str">
        <f t="shared" si="20"/>
        <v/>
      </c>
      <c r="I653" s="188" t="str">
        <f t="shared" si="21"/>
        <v/>
      </c>
      <c r="J653" s="221"/>
    </row>
    <row r="654" spans="1:10" s="90" customFormat="1" ht="14.25" hidden="1" x14ac:dyDescent="0.3">
      <c r="A654" s="141"/>
      <c r="B654" s="160">
        <v>638</v>
      </c>
      <c r="C654" s="224"/>
      <c r="D654" s="213"/>
      <c r="E654" s="215"/>
      <c r="F654" s="214"/>
      <c r="G654" s="214"/>
      <c r="H654" s="74" t="str">
        <f t="shared" si="20"/>
        <v/>
      </c>
      <c r="I654" s="188" t="str">
        <f t="shared" si="21"/>
        <v/>
      </c>
      <c r="J654" s="221"/>
    </row>
    <row r="655" spans="1:10" s="90" customFormat="1" ht="14.25" hidden="1" x14ac:dyDescent="0.3">
      <c r="A655" s="141"/>
      <c r="B655" s="160">
        <v>639</v>
      </c>
      <c r="C655" s="224"/>
      <c r="D655" s="242"/>
      <c r="E655" s="215"/>
      <c r="F655" s="215"/>
      <c r="G655" s="215"/>
      <c r="H655" s="74" t="str">
        <f t="shared" si="20"/>
        <v/>
      </c>
      <c r="I655" s="188" t="str">
        <f t="shared" si="21"/>
        <v/>
      </c>
      <c r="J655" s="221"/>
    </row>
    <row r="656" spans="1:10" s="90" customFormat="1" ht="14.25" hidden="1" x14ac:dyDescent="0.3">
      <c r="A656" s="141"/>
      <c r="B656" s="160">
        <v>640</v>
      </c>
      <c r="C656" s="224"/>
      <c r="D656" s="213"/>
      <c r="E656" s="215"/>
      <c r="F656" s="214"/>
      <c r="G656" s="214"/>
      <c r="H656" s="74" t="str">
        <f t="shared" si="20"/>
        <v/>
      </c>
      <c r="I656" s="188" t="str">
        <f t="shared" si="21"/>
        <v/>
      </c>
      <c r="J656" s="221"/>
    </row>
    <row r="657" spans="1:10" s="90" customFormat="1" ht="14.25" hidden="1" x14ac:dyDescent="0.3">
      <c r="A657" s="141"/>
      <c r="B657" s="160">
        <v>641</v>
      </c>
      <c r="C657" s="224"/>
      <c r="D657" s="213"/>
      <c r="E657" s="215"/>
      <c r="F657" s="214"/>
      <c r="G657" s="214"/>
      <c r="H657" s="74" t="str">
        <f t="shared" ref="H657:H720" si="22">ObterComplexidadeFuncao(E657,F657,G657)</f>
        <v/>
      </c>
      <c r="I657" s="188" t="str">
        <f t="shared" si="21"/>
        <v/>
      </c>
      <c r="J657" s="221"/>
    </row>
    <row r="658" spans="1:10" s="90" customFormat="1" ht="14.25" hidden="1" x14ac:dyDescent="0.3">
      <c r="A658" s="141"/>
      <c r="B658" s="160">
        <v>642</v>
      </c>
      <c r="C658" s="224"/>
      <c r="D658" s="242"/>
      <c r="E658" s="215"/>
      <c r="F658" s="215"/>
      <c r="G658" s="215"/>
      <c r="H658" s="74" t="str">
        <f t="shared" si="22"/>
        <v/>
      </c>
      <c r="I658" s="188" t="str">
        <f t="shared" ref="I658:I721" si="23">ObterContribuicaoFuncao(E658,H658)</f>
        <v/>
      </c>
      <c r="J658" s="221"/>
    </row>
    <row r="659" spans="1:10" s="90" customFormat="1" ht="14.25" hidden="1" x14ac:dyDescent="0.3">
      <c r="A659" s="141"/>
      <c r="B659" s="160">
        <v>643</v>
      </c>
      <c r="C659" s="224"/>
      <c r="D659" s="213"/>
      <c r="E659" s="215"/>
      <c r="F659" s="214"/>
      <c r="G659" s="214"/>
      <c r="H659" s="74" t="str">
        <f t="shared" si="22"/>
        <v/>
      </c>
      <c r="I659" s="188" t="str">
        <f t="shared" si="23"/>
        <v/>
      </c>
      <c r="J659" s="221"/>
    </row>
    <row r="660" spans="1:10" s="90" customFormat="1" ht="14.25" hidden="1" x14ac:dyDescent="0.3">
      <c r="A660" s="141"/>
      <c r="B660" s="160">
        <v>644</v>
      </c>
      <c r="C660" s="224"/>
      <c r="D660" s="213"/>
      <c r="E660" s="215"/>
      <c r="F660" s="214"/>
      <c r="G660" s="214"/>
      <c r="H660" s="74" t="str">
        <f t="shared" si="22"/>
        <v/>
      </c>
      <c r="I660" s="188" t="str">
        <f t="shared" si="23"/>
        <v/>
      </c>
      <c r="J660" s="221"/>
    </row>
    <row r="661" spans="1:10" s="90" customFormat="1" ht="14.25" hidden="1" x14ac:dyDescent="0.3">
      <c r="A661" s="141"/>
      <c r="B661" s="160">
        <v>645</v>
      </c>
      <c r="C661" s="224"/>
      <c r="D661" s="242"/>
      <c r="E661" s="215"/>
      <c r="F661" s="215"/>
      <c r="G661" s="215"/>
      <c r="H661" s="74" t="str">
        <f t="shared" si="22"/>
        <v/>
      </c>
      <c r="I661" s="188" t="str">
        <f t="shared" si="23"/>
        <v/>
      </c>
      <c r="J661" s="221"/>
    </row>
    <row r="662" spans="1:10" s="90" customFormat="1" ht="14.25" hidden="1" x14ac:dyDescent="0.3">
      <c r="A662" s="141"/>
      <c r="B662" s="160">
        <v>646</v>
      </c>
      <c r="C662" s="224"/>
      <c r="D662" s="213"/>
      <c r="E662" s="215"/>
      <c r="F662" s="214"/>
      <c r="G662" s="214"/>
      <c r="H662" s="74" t="str">
        <f t="shared" si="22"/>
        <v/>
      </c>
      <c r="I662" s="188" t="str">
        <f t="shared" si="23"/>
        <v/>
      </c>
      <c r="J662" s="221"/>
    </row>
    <row r="663" spans="1:10" s="90" customFormat="1" ht="14.25" hidden="1" x14ac:dyDescent="0.3">
      <c r="A663" s="141"/>
      <c r="B663" s="160">
        <v>647</v>
      </c>
      <c r="C663" s="224"/>
      <c r="D663" s="213"/>
      <c r="E663" s="215"/>
      <c r="F663" s="214"/>
      <c r="G663" s="214"/>
      <c r="H663" s="74" t="str">
        <f t="shared" si="22"/>
        <v/>
      </c>
      <c r="I663" s="188" t="str">
        <f t="shared" si="23"/>
        <v/>
      </c>
      <c r="J663" s="221"/>
    </row>
    <row r="664" spans="1:10" s="90" customFormat="1" ht="14.25" hidden="1" x14ac:dyDescent="0.3">
      <c r="A664" s="141"/>
      <c r="B664" s="160">
        <v>648</v>
      </c>
      <c r="C664" s="224"/>
      <c r="D664" s="213"/>
      <c r="E664" s="215"/>
      <c r="F664" s="214"/>
      <c r="G664" s="214"/>
      <c r="H664" s="74" t="str">
        <f t="shared" si="22"/>
        <v/>
      </c>
      <c r="I664" s="188" t="str">
        <f t="shared" si="23"/>
        <v/>
      </c>
      <c r="J664" s="221"/>
    </row>
    <row r="665" spans="1:10" s="90" customFormat="1" ht="14.25" hidden="1" x14ac:dyDescent="0.3">
      <c r="A665" s="141"/>
      <c r="B665" s="160">
        <v>649</v>
      </c>
      <c r="C665" s="224"/>
      <c r="D665" s="213"/>
      <c r="E665" s="215"/>
      <c r="F665" s="214"/>
      <c r="G665" s="214"/>
      <c r="H665" s="74" t="str">
        <f t="shared" si="22"/>
        <v/>
      </c>
      <c r="I665" s="188" t="str">
        <f t="shared" si="23"/>
        <v/>
      </c>
      <c r="J665" s="221"/>
    </row>
    <row r="666" spans="1:10" s="90" customFormat="1" ht="14.25" hidden="1" x14ac:dyDescent="0.3">
      <c r="A666" s="141"/>
      <c r="B666" s="160">
        <v>650</v>
      </c>
      <c r="C666" s="224"/>
      <c r="D666" s="242"/>
      <c r="E666" s="215"/>
      <c r="F666" s="215"/>
      <c r="G666" s="215"/>
      <c r="H666" s="74" t="str">
        <f t="shared" si="22"/>
        <v/>
      </c>
      <c r="I666" s="188" t="str">
        <f t="shared" si="23"/>
        <v/>
      </c>
      <c r="J666" s="221"/>
    </row>
    <row r="667" spans="1:10" s="90" customFormat="1" ht="14.25" hidden="1" x14ac:dyDescent="0.3">
      <c r="A667" s="141"/>
      <c r="B667" s="160">
        <v>651</v>
      </c>
      <c r="C667" s="224"/>
      <c r="D667" s="216"/>
      <c r="E667" s="215"/>
      <c r="F667" s="214"/>
      <c r="G667" s="214"/>
      <c r="H667" s="74" t="str">
        <f t="shared" si="22"/>
        <v/>
      </c>
      <c r="I667" s="188" t="str">
        <f t="shared" si="23"/>
        <v/>
      </c>
      <c r="J667" s="221"/>
    </row>
    <row r="668" spans="1:10" s="90" customFormat="1" ht="14.25" hidden="1" x14ac:dyDescent="0.3">
      <c r="A668" s="141"/>
      <c r="B668" s="160">
        <v>652</v>
      </c>
      <c r="C668" s="224"/>
      <c r="D668" s="216"/>
      <c r="E668" s="215"/>
      <c r="F668" s="214"/>
      <c r="G668" s="214"/>
      <c r="H668" s="74" t="str">
        <f t="shared" si="22"/>
        <v/>
      </c>
      <c r="I668" s="188" t="str">
        <f t="shared" si="23"/>
        <v/>
      </c>
      <c r="J668" s="221"/>
    </row>
    <row r="669" spans="1:10" s="90" customFormat="1" ht="14.25" hidden="1" x14ac:dyDescent="0.3">
      <c r="A669" s="141"/>
      <c r="B669" s="160">
        <v>653</v>
      </c>
      <c r="C669" s="224"/>
      <c r="D669" s="213"/>
      <c r="E669" s="215"/>
      <c r="F669" s="214"/>
      <c r="G669" s="214"/>
      <c r="H669" s="74" t="str">
        <f t="shared" si="22"/>
        <v/>
      </c>
      <c r="I669" s="188" t="str">
        <f t="shared" si="23"/>
        <v/>
      </c>
      <c r="J669" s="221"/>
    </row>
    <row r="670" spans="1:10" s="90" customFormat="1" ht="14.25" hidden="1" x14ac:dyDescent="0.3">
      <c r="A670" s="141"/>
      <c r="B670" s="160">
        <v>654</v>
      </c>
      <c r="C670" s="224"/>
      <c r="D670" s="242"/>
      <c r="E670" s="215"/>
      <c r="F670" s="215"/>
      <c r="G670" s="215"/>
      <c r="H670" s="74" t="str">
        <f t="shared" si="22"/>
        <v/>
      </c>
      <c r="I670" s="188" t="str">
        <f t="shared" si="23"/>
        <v/>
      </c>
      <c r="J670" s="221"/>
    </row>
    <row r="671" spans="1:10" s="90" customFormat="1" ht="14.25" hidden="1" x14ac:dyDescent="0.3">
      <c r="A671" s="141"/>
      <c r="B671" s="160">
        <v>655</v>
      </c>
      <c r="C671" s="224"/>
      <c r="D671" s="213"/>
      <c r="E671" s="215"/>
      <c r="F671" s="214"/>
      <c r="G671" s="214"/>
      <c r="H671" s="74" t="str">
        <f t="shared" si="22"/>
        <v/>
      </c>
      <c r="I671" s="188" t="str">
        <f t="shared" si="23"/>
        <v/>
      </c>
      <c r="J671" s="221"/>
    </row>
    <row r="672" spans="1:10" s="90" customFormat="1" ht="14.25" hidden="1" x14ac:dyDescent="0.3">
      <c r="A672" s="141"/>
      <c r="B672" s="160">
        <v>656</v>
      </c>
      <c r="C672" s="224"/>
      <c r="D672" s="213"/>
      <c r="E672" s="215"/>
      <c r="F672" s="214"/>
      <c r="G672" s="214"/>
      <c r="H672" s="74" t="str">
        <f t="shared" si="22"/>
        <v/>
      </c>
      <c r="I672" s="188" t="str">
        <f t="shared" si="23"/>
        <v/>
      </c>
      <c r="J672" s="221"/>
    </row>
    <row r="673" spans="1:10" s="90" customFormat="1" ht="14.25" hidden="1" x14ac:dyDescent="0.3">
      <c r="A673" s="141"/>
      <c r="B673" s="160">
        <v>657</v>
      </c>
      <c r="C673" s="224"/>
      <c r="D673" s="213"/>
      <c r="E673" s="215"/>
      <c r="F673" s="214"/>
      <c r="G673" s="214"/>
      <c r="H673" s="74" t="str">
        <f t="shared" si="22"/>
        <v/>
      </c>
      <c r="I673" s="188" t="str">
        <f t="shared" si="23"/>
        <v/>
      </c>
      <c r="J673" s="221"/>
    </row>
    <row r="674" spans="1:10" s="90" customFormat="1" ht="14.25" hidden="1" x14ac:dyDescent="0.3">
      <c r="A674" s="141"/>
      <c r="B674" s="160">
        <v>658</v>
      </c>
      <c r="C674" s="224"/>
      <c r="D674" s="213"/>
      <c r="E674" s="215"/>
      <c r="F674" s="214"/>
      <c r="G674" s="214"/>
      <c r="H674" s="74" t="str">
        <f t="shared" si="22"/>
        <v/>
      </c>
      <c r="I674" s="188" t="str">
        <f t="shared" si="23"/>
        <v/>
      </c>
      <c r="J674" s="221"/>
    </row>
    <row r="675" spans="1:10" s="90" customFormat="1" ht="14.25" hidden="1" x14ac:dyDescent="0.3">
      <c r="A675" s="141"/>
      <c r="B675" s="160">
        <v>659</v>
      </c>
      <c r="C675" s="224"/>
      <c r="D675" s="213"/>
      <c r="E675" s="215"/>
      <c r="F675" s="217"/>
      <c r="G675" s="218"/>
      <c r="H675" s="74" t="str">
        <f t="shared" si="22"/>
        <v/>
      </c>
      <c r="I675" s="188" t="str">
        <f t="shared" si="23"/>
        <v/>
      </c>
      <c r="J675" s="221"/>
    </row>
    <row r="676" spans="1:10" s="90" customFormat="1" ht="14.25" hidden="1" x14ac:dyDescent="0.3">
      <c r="A676" s="141"/>
      <c r="B676" s="160">
        <v>660</v>
      </c>
      <c r="C676" s="224"/>
      <c r="D676" s="216"/>
      <c r="E676" s="215"/>
      <c r="F676" s="217"/>
      <c r="G676" s="218"/>
      <c r="H676" s="74" t="str">
        <f t="shared" si="22"/>
        <v/>
      </c>
      <c r="I676" s="188" t="str">
        <f t="shared" si="23"/>
        <v/>
      </c>
      <c r="J676" s="221"/>
    </row>
    <row r="677" spans="1:10" s="90" customFormat="1" ht="14.25" hidden="1" x14ac:dyDescent="0.3">
      <c r="A677" s="141"/>
      <c r="B677" s="160">
        <v>661</v>
      </c>
      <c r="C677" s="224"/>
      <c r="D677" s="242"/>
      <c r="E677" s="215"/>
      <c r="F677" s="215"/>
      <c r="G677" s="215"/>
      <c r="H677" s="74" t="str">
        <f t="shared" si="22"/>
        <v/>
      </c>
      <c r="I677" s="188" t="str">
        <f t="shared" si="23"/>
        <v/>
      </c>
      <c r="J677" s="221"/>
    </row>
    <row r="678" spans="1:10" s="90" customFormat="1" ht="14.25" hidden="1" x14ac:dyDescent="0.3">
      <c r="A678" s="141"/>
      <c r="B678" s="160">
        <v>662</v>
      </c>
      <c r="C678" s="224"/>
      <c r="D678" s="213"/>
      <c r="E678" s="215"/>
      <c r="F678" s="214"/>
      <c r="G678" s="214"/>
      <c r="H678" s="74" t="str">
        <f t="shared" si="22"/>
        <v/>
      </c>
      <c r="I678" s="188" t="str">
        <f t="shared" si="23"/>
        <v/>
      </c>
      <c r="J678" s="221"/>
    </row>
    <row r="679" spans="1:10" s="90" customFormat="1" ht="14.25" hidden="1" x14ac:dyDescent="0.3">
      <c r="A679" s="141"/>
      <c r="B679" s="160">
        <v>663</v>
      </c>
      <c r="C679" s="224"/>
      <c r="D679" s="213"/>
      <c r="E679" s="215"/>
      <c r="F679" s="214"/>
      <c r="G679" s="214"/>
      <c r="H679" s="74" t="str">
        <f t="shared" si="22"/>
        <v/>
      </c>
      <c r="I679" s="188" t="str">
        <f t="shared" si="23"/>
        <v/>
      </c>
      <c r="J679" s="221"/>
    </row>
    <row r="680" spans="1:10" s="90" customFormat="1" ht="14.25" hidden="1" x14ac:dyDescent="0.3">
      <c r="A680" s="141"/>
      <c r="B680" s="160">
        <v>664</v>
      </c>
      <c r="C680" s="224"/>
      <c r="D680" s="213"/>
      <c r="E680" s="215"/>
      <c r="F680" s="214"/>
      <c r="G680" s="214"/>
      <c r="H680" s="74" t="str">
        <f t="shared" si="22"/>
        <v/>
      </c>
      <c r="I680" s="188" t="str">
        <f t="shared" si="23"/>
        <v/>
      </c>
      <c r="J680" s="221"/>
    </row>
    <row r="681" spans="1:10" s="90" customFormat="1" ht="14.25" hidden="1" x14ac:dyDescent="0.3">
      <c r="A681" s="141"/>
      <c r="B681" s="160">
        <v>665</v>
      </c>
      <c r="C681" s="224"/>
      <c r="D681" s="213"/>
      <c r="E681" s="215"/>
      <c r="F681" s="214"/>
      <c r="G681" s="214"/>
      <c r="H681" s="74" t="str">
        <f t="shared" si="22"/>
        <v/>
      </c>
      <c r="I681" s="188" t="str">
        <f t="shared" si="23"/>
        <v/>
      </c>
      <c r="J681" s="221"/>
    </row>
    <row r="682" spans="1:10" s="90" customFormat="1" ht="14.25" hidden="1" x14ac:dyDescent="0.3">
      <c r="A682" s="141"/>
      <c r="B682" s="160">
        <v>666</v>
      </c>
      <c r="C682" s="224"/>
      <c r="D682" s="213"/>
      <c r="E682" s="215"/>
      <c r="F682" s="217"/>
      <c r="G682" s="218"/>
      <c r="H682" s="74" t="str">
        <f t="shared" si="22"/>
        <v/>
      </c>
      <c r="I682" s="188" t="str">
        <f t="shared" si="23"/>
        <v/>
      </c>
      <c r="J682" s="221"/>
    </row>
    <row r="683" spans="1:10" s="90" customFormat="1" ht="14.25" hidden="1" x14ac:dyDescent="0.3">
      <c r="A683" s="141"/>
      <c r="B683" s="160">
        <v>667</v>
      </c>
      <c r="C683" s="224"/>
      <c r="D683" s="213"/>
      <c r="E683" s="215"/>
      <c r="F683" s="214"/>
      <c r="G683" s="214"/>
      <c r="H683" s="74" t="str">
        <f t="shared" si="22"/>
        <v/>
      </c>
      <c r="I683" s="188" t="str">
        <f t="shared" si="23"/>
        <v/>
      </c>
      <c r="J683" s="221"/>
    </row>
    <row r="684" spans="1:10" s="90" customFormat="1" ht="14.25" hidden="1" x14ac:dyDescent="0.3">
      <c r="A684" s="141"/>
      <c r="B684" s="160">
        <v>668</v>
      </c>
      <c r="C684" s="224"/>
      <c r="D684" s="242"/>
      <c r="E684" s="215"/>
      <c r="F684" s="215"/>
      <c r="G684" s="215"/>
      <c r="H684" s="74" t="str">
        <f t="shared" si="22"/>
        <v/>
      </c>
      <c r="I684" s="188" t="str">
        <f t="shared" si="23"/>
        <v/>
      </c>
      <c r="J684" s="221"/>
    </row>
    <row r="685" spans="1:10" s="90" customFormat="1" ht="14.25" hidden="1" x14ac:dyDescent="0.3">
      <c r="A685" s="141"/>
      <c r="B685" s="160">
        <v>669</v>
      </c>
      <c r="C685" s="224"/>
      <c r="D685" s="213"/>
      <c r="E685" s="215"/>
      <c r="F685" s="214"/>
      <c r="G685" s="214"/>
      <c r="H685" s="74" t="str">
        <f t="shared" si="22"/>
        <v/>
      </c>
      <c r="I685" s="188" t="str">
        <f t="shared" si="23"/>
        <v/>
      </c>
      <c r="J685" s="221"/>
    </row>
    <row r="686" spans="1:10" s="90" customFormat="1" ht="14.25" hidden="1" x14ac:dyDescent="0.3">
      <c r="A686" s="141"/>
      <c r="B686" s="160">
        <v>670</v>
      </c>
      <c r="C686" s="224"/>
      <c r="D686" s="213"/>
      <c r="E686" s="215"/>
      <c r="F686" s="214"/>
      <c r="G686" s="214"/>
      <c r="H686" s="74" t="str">
        <f t="shared" si="22"/>
        <v/>
      </c>
      <c r="I686" s="188" t="str">
        <f t="shared" si="23"/>
        <v/>
      </c>
      <c r="J686" s="221"/>
    </row>
    <row r="687" spans="1:10" s="90" customFormat="1" ht="14.25" hidden="1" x14ac:dyDescent="0.3">
      <c r="A687" s="141"/>
      <c r="B687" s="160">
        <v>671</v>
      </c>
      <c r="C687" s="224"/>
      <c r="D687" s="242"/>
      <c r="E687" s="215"/>
      <c r="F687" s="215"/>
      <c r="G687" s="215"/>
      <c r="H687" s="74" t="str">
        <f t="shared" si="22"/>
        <v/>
      </c>
      <c r="I687" s="188" t="str">
        <f t="shared" si="23"/>
        <v/>
      </c>
      <c r="J687" s="221"/>
    </row>
    <row r="688" spans="1:10" s="90" customFormat="1" ht="14.25" hidden="1" x14ac:dyDescent="0.3">
      <c r="A688" s="141"/>
      <c r="B688" s="160">
        <v>672</v>
      </c>
      <c r="C688" s="224"/>
      <c r="D688" s="213"/>
      <c r="E688" s="215"/>
      <c r="F688" s="214"/>
      <c r="G688" s="214"/>
      <c r="H688" s="74" t="str">
        <f t="shared" si="22"/>
        <v/>
      </c>
      <c r="I688" s="188" t="str">
        <f t="shared" si="23"/>
        <v/>
      </c>
      <c r="J688" s="221"/>
    </row>
    <row r="689" spans="1:10" s="90" customFormat="1" ht="14.25" hidden="1" x14ac:dyDescent="0.3">
      <c r="A689" s="141"/>
      <c r="B689" s="160">
        <v>673</v>
      </c>
      <c r="C689" s="224"/>
      <c r="D689" s="213"/>
      <c r="E689" s="215"/>
      <c r="F689" s="214"/>
      <c r="G689" s="214"/>
      <c r="H689" s="74" t="str">
        <f t="shared" si="22"/>
        <v/>
      </c>
      <c r="I689" s="188" t="str">
        <f t="shared" si="23"/>
        <v/>
      </c>
      <c r="J689" s="221"/>
    </row>
    <row r="690" spans="1:10" s="90" customFormat="1" ht="14.25" hidden="1" x14ac:dyDescent="0.3">
      <c r="A690" s="141"/>
      <c r="B690" s="160">
        <v>674</v>
      </c>
      <c r="C690" s="224"/>
      <c r="D690" s="213"/>
      <c r="E690" s="215"/>
      <c r="F690" s="214"/>
      <c r="G690" s="214"/>
      <c r="H690" s="74" t="str">
        <f t="shared" si="22"/>
        <v/>
      </c>
      <c r="I690" s="188" t="str">
        <f t="shared" si="23"/>
        <v/>
      </c>
      <c r="J690" s="221"/>
    </row>
    <row r="691" spans="1:10" s="90" customFormat="1" ht="14.25" hidden="1" x14ac:dyDescent="0.3">
      <c r="A691" s="141"/>
      <c r="B691" s="160">
        <v>675</v>
      </c>
      <c r="C691" s="224"/>
      <c r="D691" s="213"/>
      <c r="E691" s="215"/>
      <c r="F691" s="214"/>
      <c r="G691" s="214"/>
      <c r="H691" s="74" t="str">
        <f t="shared" si="22"/>
        <v/>
      </c>
      <c r="I691" s="188" t="str">
        <f t="shared" si="23"/>
        <v/>
      </c>
      <c r="J691" s="221"/>
    </row>
    <row r="692" spans="1:10" s="90" customFormat="1" ht="14.25" hidden="1" x14ac:dyDescent="0.3">
      <c r="A692" s="141"/>
      <c r="B692" s="160">
        <v>676</v>
      </c>
      <c r="C692" s="224"/>
      <c r="D692" s="213"/>
      <c r="E692" s="215"/>
      <c r="F692" s="217"/>
      <c r="G692" s="218"/>
      <c r="H692" s="74" t="str">
        <f t="shared" si="22"/>
        <v/>
      </c>
      <c r="I692" s="188" t="str">
        <f t="shared" si="23"/>
        <v/>
      </c>
      <c r="J692" s="221"/>
    </row>
    <row r="693" spans="1:10" s="90" customFormat="1" ht="14.25" hidden="1" x14ac:dyDescent="0.3">
      <c r="A693" s="141"/>
      <c r="B693" s="160">
        <v>677</v>
      </c>
      <c r="C693" s="224"/>
      <c r="D693" s="213"/>
      <c r="E693" s="215"/>
      <c r="F693" s="214"/>
      <c r="G693" s="214"/>
      <c r="H693" s="74" t="str">
        <f t="shared" si="22"/>
        <v/>
      </c>
      <c r="I693" s="188" t="str">
        <f t="shared" si="23"/>
        <v/>
      </c>
      <c r="J693" s="221"/>
    </row>
    <row r="694" spans="1:10" s="90" customFormat="1" ht="14.25" hidden="1" x14ac:dyDescent="0.3">
      <c r="A694" s="141"/>
      <c r="B694" s="160">
        <v>678</v>
      </c>
      <c r="C694" s="224"/>
      <c r="D694" s="242"/>
      <c r="E694" s="215"/>
      <c r="F694" s="215"/>
      <c r="G694" s="215"/>
      <c r="H694" s="74" t="str">
        <f t="shared" si="22"/>
        <v/>
      </c>
      <c r="I694" s="188" t="str">
        <f t="shared" si="23"/>
        <v/>
      </c>
      <c r="J694" s="221"/>
    </row>
    <row r="695" spans="1:10" s="90" customFormat="1" ht="14.25" hidden="1" x14ac:dyDescent="0.3">
      <c r="A695" s="141"/>
      <c r="B695" s="160">
        <v>679</v>
      </c>
      <c r="C695" s="224"/>
      <c r="D695" s="213"/>
      <c r="E695" s="215"/>
      <c r="F695" s="214"/>
      <c r="G695" s="214"/>
      <c r="H695" s="74" t="str">
        <f t="shared" si="22"/>
        <v/>
      </c>
      <c r="I695" s="188" t="str">
        <f t="shared" si="23"/>
        <v/>
      </c>
      <c r="J695" s="221"/>
    </row>
    <row r="696" spans="1:10" s="90" customFormat="1" ht="14.25" hidden="1" x14ac:dyDescent="0.3">
      <c r="A696" s="141"/>
      <c r="B696" s="160">
        <v>680</v>
      </c>
      <c r="C696" s="224"/>
      <c r="D696" s="213"/>
      <c r="E696" s="215"/>
      <c r="F696" s="214"/>
      <c r="G696" s="214"/>
      <c r="H696" s="74" t="str">
        <f t="shared" si="22"/>
        <v/>
      </c>
      <c r="I696" s="188" t="str">
        <f t="shared" si="23"/>
        <v/>
      </c>
      <c r="J696" s="221"/>
    </row>
    <row r="697" spans="1:10" s="90" customFormat="1" ht="14.25" hidden="1" x14ac:dyDescent="0.3">
      <c r="A697" s="141"/>
      <c r="B697" s="160">
        <v>681</v>
      </c>
      <c r="C697" s="224"/>
      <c r="D697" s="213"/>
      <c r="E697" s="215"/>
      <c r="F697" s="214"/>
      <c r="G697" s="214"/>
      <c r="H697" s="74" t="str">
        <f t="shared" si="22"/>
        <v/>
      </c>
      <c r="I697" s="188" t="str">
        <f t="shared" si="23"/>
        <v/>
      </c>
      <c r="J697" s="221"/>
    </row>
    <row r="698" spans="1:10" s="90" customFormat="1" ht="14.25" hidden="1" x14ac:dyDescent="0.3">
      <c r="A698" s="141"/>
      <c r="B698" s="160">
        <v>682</v>
      </c>
      <c r="C698" s="224"/>
      <c r="D698" s="213"/>
      <c r="E698" s="215"/>
      <c r="F698" s="214"/>
      <c r="G698" s="214"/>
      <c r="H698" s="74" t="str">
        <f t="shared" si="22"/>
        <v/>
      </c>
      <c r="I698" s="188" t="str">
        <f t="shared" si="23"/>
        <v/>
      </c>
      <c r="J698" s="221"/>
    </row>
    <row r="699" spans="1:10" s="90" customFormat="1" ht="14.25" hidden="1" x14ac:dyDescent="0.3">
      <c r="A699" s="141"/>
      <c r="B699" s="160">
        <v>683</v>
      </c>
      <c r="C699" s="224"/>
      <c r="D699" s="213"/>
      <c r="E699" s="215"/>
      <c r="F699" s="217"/>
      <c r="G699" s="218"/>
      <c r="H699" s="74" t="str">
        <f t="shared" si="22"/>
        <v/>
      </c>
      <c r="I699" s="188" t="str">
        <f t="shared" si="23"/>
        <v/>
      </c>
      <c r="J699" s="221"/>
    </row>
    <row r="700" spans="1:10" s="90" customFormat="1" ht="14.25" hidden="1" x14ac:dyDescent="0.3">
      <c r="A700" s="141"/>
      <c r="B700" s="160">
        <v>684</v>
      </c>
      <c r="C700" s="224"/>
      <c r="D700" s="216"/>
      <c r="E700" s="215"/>
      <c r="F700" s="217"/>
      <c r="G700" s="218"/>
      <c r="H700" s="74" t="str">
        <f t="shared" si="22"/>
        <v/>
      </c>
      <c r="I700" s="188" t="str">
        <f t="shared" si="23"/>
        <v/>
      </c>
      <c r="J700" s="221"/>
    </row>
    <row r="701" spans="1:10" s="90" customFormat="1" ht="14.25" hidden="1" x14ac:dyDescent="0.3">
      <c r="A701" s="141"/>
      <c r="B701" s="160">
        <v>685</v>
      </c>
      <c r="C701" s="224"/>
      <c r="D701" s="242"/>
      <c r="E701" s="215"/>
      <c r="F701" s="215"/>
      <c r="G701" s="215"/>
      <c r="H701" s="74" t="str">
        <f t="shared" si="22"/>
        <v/>
      </c>
      <c r="I701" s="188" t="str">
        <f t="shared" si="23"/>
        <v/>
      </c>
      <c r="J701" s="221"/>
    </row>
    <row r="702" spans="1:10" s="90" customFormat="1" ht="14.25" hidden="1" x14ac:dyDescent="0.3">
      <c r="A702" s="141"/>
      <c r="B702" s="160">
        <v>686</v>
      </c>
      <c r="C702" s="224"/>
      <c r="D702" s="213"/>
      <c r="E702" s="215"/>
      <c r="F702" s="214"/>
      <c r="G702" s="214"/>
      <c r="H702" s="74" t="str">
        <f t="shared" si="22"/>
        <v/>
      </c>
      <c r="I702" s="188" t="str">
        <f t="shared" si="23"/>
        <v/>
      </c>
      <c r="J702" s="221"/>
    </row>
    <row r="703" spans="1:10" s="90" customFormat="1" ht="14.25" hidden="1" x14ac:dyDescent="0.3">
      <c r="A703" s="141"/>
      <c r="B703" s="160">
        <v>687</v>
      </c>
      <c r="C703" s="224"/>
      <c r="D703" s="216"/>
      <c r="E703" s="215"/>
      <c r="F703" s="217"/>
      <c r="G703" s="218"/>
      <c r="H703" s="74" t="str">
        <f t="shared" si="22"/>
        <v/>
      </c>
      <c r="I703" s="188" t="str">
        <f t="shared" si="23"/>
        <v/>
      </c>
      <c r="J703" s="221"/>
    </row>
    <row r="704" spans="1:10" s="90" customFormat="1" ht="14.25" hidden="1" x14ac:dyDescent="0.3">
      <c r="A704" s="141"/>
      <c r="B704" s="160">
        <v>688</v>
      </c>
      <c r="C704" s="224"/>
      <c r="D704" s="242"/>
      <c r="E704" s="215"/>
      <c r="F704" s="215"/>
      <c r="G704" s="215"/>
      <c r="H704" s="74" t="str">
        <f t="shared" si="22"/>
        <v/>
      </c>
      <c r="I704" s="188" t="str">
        <f t="shared" si="23"/>
        <v/>
      </c>
      <c r="J704" s="221"/>
    </row>
    <row r="705" spans="1:10" s="90" customFormat="1" ht="14.25" hidden="1" x14ac:dyDescent="0.3">
      <c r="A705" s="141"/>
      <c r="B705" s="160">
        <v>689</v>
      </c>
      <c r="C705" s="224"/>
      <c r="D705" s="216"/>
      <c r="E705" s="215"/>
      <c r="F705" s="217"/>
      <c r="G705" s="218"/>
      <c r="H705" s="74" t="str">
        <f t="shared" si="22"/>
        <v/>
      </c>
      <c r="I705" s="188" t="str">
        <f t="shared" si="23"/>
        <v/>
      </c>
      <c r="J705" s="221"/>
    </row>
    <row r="706" spans="1:10" s="90" customFormat="1" ht="14.25" hidden="1" x14ac:dyDescent="0.3">
      <c r="A706" s="141"/>
      <c r="B706" s="160">
        <v>690</v>
      </c>
      <c r="C706" s="224"/>
      <c r="D706" s="216"/>
      <c r="E706" s="215"/>
      <c r="F706" s="217"/>
      <c r="G706" s="218"/>
      <c r="H706" s="74" t="str">
        <f t="shared" si="22"/>
        <v/>
      </c>
      <c r="I706" s="188" t="str">
        <f t="shared" si="23"/>
        <v/>
      </c>
      <c r="J706" s="221"/>
    </row>
    <row r="707" spans="1:10" s="90" customFormat="1" ht="14.25" hidden="1" x14ac:dyDescent="0.3">
      <c r="A707" s="141"/>
      <c r="B707" s="160">
        <v>691</v>
      </c>
      <c r="C707" s="224"/>
      <c r="D707" s="216"/>
      <c r="E707" s="215"/>
      <c r="F707" s="217"/>
      <c r="G707" s="218"/>
      <c r="H707" s="74" t="str">
        <f t="shared" si="22"/>
        <v/>
      </c>
      <c r="I707" s="188" t="str">
        <f t="shared" si="23"/>
        <v/>
      </c>
      <c r="J707" s="221"/>
    </row>
    <row r="708" spans="1:10" s="90" customFormat="1" ht="14.25" hidden="1" x14ac:dyDescent="0.3">
      <c r="A708" s="141"/>
      <c r="B708" s="160">
        <v>692</v>
      </c>
      <c r="C708" s="224"/>
      <c r="D708" s="216"/>
      <c r="E708" s="215"/>
      <c r="F708" s="217"/>
      <c r="G708" s="218"/>
      <c r="H708" s="74" t="str">
        <f t="shared" si="22"/>
        <v/>
      </c>
      <c r="I708" s="188" t="str">
        <f t="shared" si="23"/>
        <v/>
      </c>
      <c r="J708" s="221"/>
    </row>
    <row r="709" spans="1:10" s="90" customFormat="1" ht="14.25" hidden="1" x14ac:dyDescent="0.3">
      <c r="A709" s="141"/>
      <c r="B709" s="160">
        <v>693</v>
      </c>
      <c r="C709" s="224"/>
      <c r="D709" s="213"/>
      <c r="E709" s="215"/>
      <c r="F709" s="214"/>
      <c r="G709" s="214"/>
      <c r="H709" s="74" t="str">
        <f t="shared" si="22"/>
        <v/>
      </c>
      <c r="I709" s="188" t="str">
        <f t="shared" si="23"/>
        <v/>
      </c>
      <c r="J709" s="221"/>
    </row>
    <row r="710" spans="1:10" s="90" customFormat="1" ht="14.25" hidden="1" x14ac:dyDescent="0.3">
      <c r="A710" s="141"/>
      <c r="B710" s="160">
        <v>694</v>
      </c>
      <c r="C710" s="224"/>
      <c r="D710" s="242"/>
      <c r="E710" s="215"/>
      <c r="F710" s="215"/>
      <c r="G710" s="215"/>
      <c r="H710" s="74" t="str">
        <f t="shared" si="22"/>
        <v/>
      </c>
      <c r="I710" s="188" t="str">
        <f t="shared" si="23"/>
        <v/>
      </c>
      <c r="J710" s="221"/>
    </row>
    <row r="711" spans="1:10" s="90" customFormat="1" ht="14.25" hidden="1" x14ac:dyDescent="0.3">
      <c r="A711" s="141"/>
      <c r="B711" s="160">
        <v>695</v>
      </c>
      <c r="C711" s="224"/>
      <c r="D711" s="216"/>
      <c r="E711" s="215"/>
      <c r="F711" s="217"/>
      <c r="G711" s="218"/>
      <c r="H711" s="74" t="str">
        <f t="shared" si="22"/>
        <v/>
      </c>
      <c r="I711" s="188" t="str">
        <f t="shared" si="23"/>
        <v/>
      </c>
      <c r="J711" s="221"/>
    </row>
    <row r="712" spans="1:10" s="90" customFormat="1" ht="14.25" hidden="1" x14ac:dyDescent="0.3">
      <c r="A712" s="141"/>
      <c r="B712" s="160">
        <v>696</v>
      </c>
      <c r="C712" s="224"/>
      <c r="D712" s="216"/>
      <c r="E712" s="215"/>
      <c r="F712" s="217"/>
      <c r="G712" s="218"/>
      <c r="H712" s="74" t="str">
        <f t="shared" si="22"/>
        <v/>
      </c>
      <c r="I712" s="188" t="str">
        <f t="shared" si="23"/>
        <v/>
      </c>
      <c r="J712" s="221"/>
    </row>
    <row r="713" spans="1:10" s="90" customFormat="1" ht="14.25" hidden="1" x14ac:dyDescent="0.3">
      <c r="A713" s="141"/>
      <c r="B713" s="160">
        <v>697</v>
      </c>
      <c r="C713" s="224"/>
      <c r="D713" s="216"/>
      <c r="E713" s="215"/>
      <c r="F713" s="217"/>
      <c r="G713" s="218"/>
      <c r="H713" s="74" t="str">
        <f t="shared" si="22"/>
        <v/>
      </c>
      <c r="I713" s="188" t="str">
        <f t="shared" si="23"/>
        <v/>
      </c>
      <c r="J713" s="221"/>
    </row>
    <row r="714" spans="1:10" s="90" customFormat="1" ht="14.25" hidden="1" x14ac:dyDescent="0.3">
      <c r="A714" s="141"/>
      <c r="B714" s="160">
        <v>698</v>
      </c>
      <c r="C714" s="224"/>
      <c r="D714" s="216"/>
      <c r="E714" s="215"/>
      <c r="F714" s="217"/>
      <c r="G714" s="218"/>
      <c r="H714" s="74" t="str">
        <f t="shared" si="22"/>
        <v/>
      </c>
      <c r="I714" s="188" t="str">
        <f t="shared" si="23"/>
        <v/>
      </c>
      <c r="J714" s="221"/>
    </row>
    <row r="715" spans="1:10" s="90" customFormat="1" ht="14.25" hidden="1" x14ac:dyDescent="0.3">
      <c r="A715" s="141"/>
      <c r="B715" s="160">
        <v>699</v>
      </c>
      <c r="C715" s="224"/>
      <c r="D715" s="213"/>
      <c r="E715" s="215"/>
      <c r="F715" s="214"/>
      <c r="G715" s="214"/>
      <c r="H715" s="74" t="str">
        <f t="shared" si="22"/>
        <v/>
      </c>
      <c r="I715" s="188" t="str">
        <f t="shared" si="23"/>
        <v/>
      </c>
      <c r="J715" s="221"/>
    </row>
    <row r="716" spans="1:10" s="90" customFormat="1" ht="14.25" hidden="1" x14ac:dyDescent="0.3">
      <c r="A716" s="141"/>
      <c r="B716" s="160">
        <v>700</v>
      </c>
      <c r="C716" s="224"/>
      <c r="D716" s="242"/>
      <c r="E716" s="215"/>
      <c r="F716" s="215"/>
      <c r="G716" s="215"/>
      <c r="H716" s="74" t="str">
        <f t="shared" si="22"/>
        <v/>
      </c>
      <c r="I716" s="188" t="str">
        <f t="shared" si="23"/>
        <v/>
      </c>
      <c r="J716" s="221"/>
    </row>
    <row r="717" spans="1:10" s="90" customFormat="1" ht="14.25" hidden="1" x14ac:dyDescent="0.3">
      <c r="A717" s="141"/>
      <c r="B717" s="160">
        <v>701</v>
      </c>
      <c r="C717" s="224"/>
      <c r="D717" s="216"/>
      <c r="E717" s="215"/>
      <c r="F717" s="217"/>
      <c r="G717" s="218"/>
      <c r="H717" s="74" t="str">
        <f t="shared" si="22"/>
        <v/>
      </c>
      <c r="I717" s="188" t="str">
        <f t="shared" si="23"/>
        <v/>
      </c>
      <c r="J717" s="221"/>
    </row>
    <row r="718" spans="1:10" s="90" customFormat="1" ht="14.25" hidden="1" x14ac:dyDescent="0.3">
      <c r="A718" s="141"/>
      <c r="B718" s="160">
        <v>702</v>
      </c>
      <c r="C718" s="224"/>
      <c r="D718" s="216"/>
      <c r="E718" s="215"/>
      <c r="F718" s="217"/>
      <c r="G718" s="218"/>
      <c r="H718" s="74" t="str">
        <f t="shared" si="22"/>
        <v/>
      </c>
      <c r="I718" s="188" t="str">
        <f t="shared" si="23"/>
        <v/>
      </c>
      <c r="J718" s="221"/>
    </row>
    <row r="719" spans="1:10" s="90" customFormat="1" ht="14.25" hidden="1" x14ac:dyDescent="0.3">
      <c r="A719" s="141"/>
      <c r="B719" s="160">
        <v>703</v>
      </c>
      <c r="C719" s="224"/>
      <c r="D719" s="216"/>
      <c r="E719" s="215"/>
      <c r="F719" s="217"/>
      <c r="G719" s="218"/>
      <c r="H719" s="74" t="str">
        <f t="shared" si="22"/>
        <v/>
      </c>
      <c r="I719" s="188" t="str">
        <f t="shared" si="23"/>
        <v/>
      </c>
      <c r="J719" s="221"/>
    </row>
    <row r="720" spans="1:10" s="90" customFormat="1" ht="14.25" hidden="1" x14ac:dyDescent="0.3">
      <c r="A720" s="141"/>
      <c r="B720" s="160">
        <v>704</v>
      </c>
      <c r="C720" s="224"/>
      <c r="D720" s="216"/>
      <c r="E720" s="215"/>
      <c r="F720" s="217"/>
      <c r="G720" s="218"/>
      <c r="H720" s="74" t="str">
        <f t="shared" si="22"/>
        <v/>
      </c>
      <c r="I720" s="188" t="str">
        <f t="shared" si="23"/>
        <v/>
      </c>
      <c r="J720" s="221"/>
    </row>
    <row r="721" spans="1:10" s="90" customFormat="1" ht="14.25" hidden="1" x14ac:dyDescent="0.3">
      <c r="A721" s="141"/>
      <c r="B721" s="160">
        <v>705</v>
      </c>
      <c r="C721" s="224"/>
      <c r="D721" s="213"/>
      <c r="E721" s="215"/>
      <c r="F721" s="214"/>
      <c r="G721" s="214"/>
      <c r="H721" s="74" t="str">
        <f t="shared" ref="H721:H784" si="24">ObterComplexidadeFuncao(E721,F721,G721)</f>
        <v/>
      </c>
      <c r="I721" s="188" t="str">
        <f t="shared" si="23"/>
        <v/>
      </c>
      <c r="J721" s="221"/>
    </row>
    <row r="722" spans="1:10" s="90" customFormat="1" ht="14.25" hidden="1" x14ac:dyDescent="0.3">
      <c r="A722" s="141"/>
      <c r="B722" s="160">
        <v>706</v>
      </c>
      <c r="C722" s="224"/>
      <c r="D722" s="242"/>
      <c r="E722" s="215"/>
      <c r="F722" s="215"/>
      <c r="G722" s="215"/>
      <c r="H722" s="74" t="str">
        <f t="shared" si="24"/>
        <v/>
      </c>
      <c r="I722" s="188" t="str">
        <f t="shared" ref="I722:I785" si="25">ObterContribuicaoFuncao(E722,H722)</f>
        <v/>
      </c>
      <c r="J722" s="221"/>
    </row>
    <row r="723" spans="1:10" s="90" customFormat="1" ht="14.25" hidden="1" x14ac:dyDescent="0.3">
      <c r="A723" s="141"/>
      <c r="B723" s="160">
        <v>707</v>
      </c>
      <c r="C723" s="224"/>
      <c r="D723" s="216"/>
      <c r="E723" s="215"/>
      <c r="F723" s="217"/>
      <c r="G723" s="218"/>
      <c r="H723" s="74" t="str">
        <f t="shared" si="24"/>
        <v/>
      </c>
      <c r="I723" s="188" t="str">
        <f t="shared" si="25"/>
        <v/>
      </c>
      <c r="J723" s="221"/>
    </row>
    <row r="724" spans="1:10" s="90" customFormat="1" ht="14.25" hidden="1" x14ac:dyDescent="0.3">
      <c r="A724" s="141"/>
      <c r="B724" s="160">
        <v>708</v>
      </c>
      <c r="C724" s="224"/>
      <c r="D724" s="213"/>
      <c r="E724" s="215"/>
      <c r="F724" s="214"/>
      <c r="G724" s="214"/>
      <c r="H724" s="74" t="str">
        <f t="shared" si="24"/>
        <v/>
      </c>
      <c r="I724" s="188" t="str">
        <f t="shared" si="25"/>
        <v/>
      </c>
      <c r="J724" s="221"/>
    </row>
    <row r="725" spans="1:10" s="90" customFormat="1" ht="14.25" hidden="1" x14ac:dyDescent="0.3">
      <c r="A725" s="141"/>
      <c r="B725" s="160">
        <v>709</v>
      </c>
      <c r="C725" s="224"/>
      <c r="D725" s="242"/>
      <c r="E725" s="215"/>
      <c r="F725" s="215"/>
      <c r="G725" s="215"/>
      <c r="H725" s="74" t="str">
        <f t="shared" si="24"/>
        <v/>
      </c>
      <c r="I725" s="188" t="str">
        <f t="shared" si="25"/>
        <v/>
      </c>
      <c r="J725" s="221"/>
    </row>
    <row r="726" spans="1:10" s="90" customFormat="1" ht="14.25" hidden="1" x14ac:dyDescent="0.3">
      <c r="A726" s="141"/>
      <c r="B726" s="160">
        <v>710</v>
      </c>
      <c r="C726" s="224"/>
      <c r="D726" s="216"/>
      <c r="E726" s="215"/>
      <c r="F726" s="217"/>
      <c r="G726" s="218"/>
      <c r="H726" s="74" t="str">
        <f t="shared" si="24"/>
        <v/>
      </c>
      <c r="I726" s="188" t="str">
        <f t="shared" si="25"/>
        <v/>
      </c>
      <c r="J726" s="221"/>
    </row>
    <row r="727" spans="1:10" s="90" customFormat="1" ht="14.25" hidden="1" x14ac:dyDescent="0.3">
      <c r="A727" s="141"/>
      <c r="B727" s="160">
        <v>711</v>
      </c>
      <c r="C727" s="224"/>
      <c r="D727" s="216"/>
      <c r="E727" s="215"/>
      <c r="F727" s="217"/>
      <c r="G727" s="218"/>
      <c r="H727" s="74" t="str">
        <f t="shared" si="24"/>
        <v/>
      </c>
      <c r="I727" s="188" t="str">
        <f t="shared" si="25"/>
        <v/>
      </c>
      <c r="J727" s="221"/>
    </row>
    <row r="728" spans="1:10" s="90" customFormat="1" ht="14.25" hidden="1" x14ac:dyDescent="0.3">
      <c r="A728" s="141"/>
      <c r="B728" s="160">
        <v>712</v>
      </c>
      <c r="C728" s="224"/>
      <c r="D728" s="216"/>
      <c r="E728" s="215"/>
      <c r="F728" s="217"/>
      <c r="G728" s="218"/>
      <c r="H728" s="74" t="str">
        <f t="shared" si="24"/>
        <v/>
      </c>
      <c r="I728" s="188" t="str">
        <f t="shared" si="25"/>
        <v/>
      </c>
      <c r="J728" s="221"/>
    </row>
    <row r="729" spans="1:10" s="90" customFormat="1" ht="14.25" hidden="1" x14ac:dyDescent="0.3">
      <c r="A729" s="141"/>
      <c r="B729" s="160">
        <v>713</v>
      </c>
      <c r="C729" s="224"/>
      <c r="D729" s="213"/>
      <c r="E729" s="215"/>
      <c r="F729" s="214"/>
      <c r="G729" s="214"/>
      <c r="H729" s="74" t="str">
        <f t="shared" si="24"/>
        <v/>
      </c>
      <c r="I729" s="188" t="str">
        <f t="shared" si="25"/>
        <v/>
      </c>
      <c r="J729" s="221"/>
    </row>
    <row r="730" spans="1:10" s="90" customFormat="1" ht="14.25" hidden="1" x14ac:dyDescent="0.3">
      <c r="A730" s="141"/>
      <c r="B730" s="160">
        <v>714</v>
      </c>
      <c r="C730" s="224"/>
      <c r="D730" s="242"/>
      <c r="E730" s="215"/>
      <c r="F730" s="215"/>
      <c r="G730" s="215"/>
      <c r="H730" s="74" t="str">
        <f t="shared" si="24"/>
        <v/>
      </c>
      <c r="I730" s="188" t="str">
        <f t="shared" si="25"/>
        <v/>
      </c>
      <c r="J730" s="221"/>
    </row>
    <row r="731" spans="1:10" s="90" customFormat="1" ht="14.25" hidden="1" x14ac:dyDescent="0.3">
      <c r="A731" s="141"/>
      <c r="B731" s="160">
        <v>715</v>
      </c>
      <c r="C731" s="224"/>
      <c r="D731" s="213"/>
      <c r="E731" s="215"/>
      <c r="F731" s="214"/>
      <c r="G731" s="214"/>
      <c r="H731" s="74" t="str">
        <f t="shared" si="24"/>
        <v/>
      </c>
      <c r="I731" s="188" t="str">
        <f t="shared" si="25"/>
        <v/>
      </c>
      <c r="J731" s="221"/>
    </row>
    <row r="732" spans="1:10" s="90" customFormat="1" ht="14.25" hidden="1" x14ac:dyDescent="0.3">
      <c r="A732" s="141"/>
      <c r="B732" s="160">
        <v>716</v>
      </c>
      <c r="C732" s="224"/>
      <c r="D732" s="213"/>
      <c r="E732" s="215"/>
      <c r="F732" s="214"/>
      <c r="G732" s="214"/>
      <c r="H732" s="74" t="str">
        <f t="shared" si="24"/>
        <v/>
      </c>
      <c r="I732" s="188" t="str">
        <f t="shared" si="25"/>
        <v/>
      </c>
      <c r="J732" s="221"/>
    </row>
    <row r="733" spans="1:10" s="90" customFormat="1" ht="14.25" hidden="1" x14ac:dyDescent="0.3">
      <c r="A733" s="141"/>
      <c r="B733" s="160">
        <v>717</v>
      </c>
      <c r="C733" s="224"/>
      <c r="D733" s="242"/>
      <c r="E733" s="215"/>
      <c r="F733" s="215"/>
      <c r="G733" s="215"/>
      <c r="H733" s="74" t="str">
        <f t="shared" si="24"/>
        <v/>
      </c>
      <c r="I733" s="188" t="str">
        <f t="shared" si="25"/>
        <v/>
      </c>
      <c r="J733" s="221"/>
    </row>
    <row r="734" spans="1:10" s="90" customFormat="1" ht="14.25" hidden="1" x14ac:dyDescent="0.3">
      <c r="A734" s="141"/>
      <c r="B734" s="160">
        <v>718</v>
      </c>
      <c r="C734" s="224"/>
      <c r="D734" s="216"/>
      <c r="E734" s="215"/>
      <c r="F734" s="214"/>
      <c r="G734" s="214"/>
      <c r="H734" s="74" t="str">
        <f t="shared" si="24"/>
        <v/>
      </c>
      <c r="I734" s="188" t="str">
        <f t="shared" si="25"/>
        <v/>
      </c>
      <c r="J734" s="221"/>
    </row>
    <row r="735" spans="1:10" s="90" customFormat="1" ht="14.25" hidden="1" x14ac:dyDescent="0.3">
      <c r="A735" s="141"/>
      <c r="B735" s="160">
        <v>719</v>
      </c>
      <c r="C735" s="224"/>
      <c r="D735" s="216"/>
      <c r="E735" s="215"/>
      <c r="F735" s="214"/>
      <c r="G735" s="214"/>
      <c r="H735" s="74" t="str">
        <f t="shared" si="24"/>
        <v/>
      </c>
      <c r="I735" s="188" t="str">
        <f t="shared" si="25"/>
        <v/>
      </c>
      <c r="J735" s="221"/>
    </row>
    <row r="736" spans="1:10" s="90" customFormat="1" ht="14.25" hidden="1" x14ac:dyDescent="0.3">
      <c r="A736" s="141"/>
      <c r="B736" s="160">
        <v>720</v>
      </c>
      <c r="C736" s="224"/>
      <c r="D736" s="216"/>
      <c r="E736" s="215"/>
      <c r="F736" s="214"/>
      <c r="G736" s="214"/>
      <c r="H736" s="74" t="str">
        <f t="shared" si="24"/>
        <v/>
      </c>
      <c r="I736" s="188" t="str">
        <f t="shared" si="25"/>
        <v/>
      </c>
      <c r="J736" s="221"/>
    </row>
    <row r="737" spans="1:10" s="90" customFormat="1" ht="14.25" hidden="1" x14ac:dyDescent="0.3">
      <c r="A737" s="141"/>
      <c r="B737" s="160">
        <v>721</v>
      </c>
      <c r="C737" s="224"/>
      <c r="D737" s="216"/>
      <c r="E737" s="215"/>
      <c r="F737" s="214"/>
      <c r="G737" s="214"/>
      <c r="H737" s="74" t="str">
        <f t="shared" si="24"/>
        <v/>
      </c>
      <c r="I737" s="188" t="str">
        <f t="shared" si="25"/>
        <v/>
      </c>
      <c r="J737" s="221"/>
    </row>
    <row r="738" spans="1:10" s="90" customFormat="1" ht="14.25" hidden="1" x14ac:dyDescent="0.3">
      <c r="A738" s="141"/>
      <c r="B738" s="160">
        <v>722</v>
      </c>
      <c r="C738" s="224"/>
      <c r="D738" s="213"/>
      <c r="E738" s="215"/>
      <c r="F738" s="214"/>
      <c r="G738" s="214"/>
      <c r="H738" s="74" t="str">
        <f t="shared" si="24"/>
        <v/>
      </c>
      <c r="I738" s="188" t="str">
        <f t="shared" si="25"/>
        <v/>
      </c>
      <c r="J738" s="221"/>
    </row>
    <row r="739" spans="1:10" s="90" customFormat="1" ht="14.25" hidden="1" x14ac:dyDescent="0.3">
      <c r="A739" s="141"/>
      <c r="B739" s="160">
        <v>723</v>
      </c>
      <c r="C739" s="224"/>
      <c r="D739" s="213"/>
      <c r="E739" s="215"/>
      <c r="F739" s="214"/>
      <c r="G739" s="214"/>
      <c r="H739" s="74" t="str">
        <f t="shared" si="24"/>
        <v/>
      </c>
      <c r="I739" s="188" t="str">
        <f t="shared" si="25"/>
        <v/>
      </c>
      <c r="J739" s="221"/>
    </row>
    <row r="740" spans="1:10" s="90" customFormat="1" ht="14.25" hidden="1" x14ac:dyDescent="0.3">
      <c r="A740" s="141"/>
      <c r="B740" s="160">
        <v>724</v>
      </c>
      <c r="C740" s="224"/>
      <c r="D740" s="242"/>
      <c r="E740" s="215"/>
      <c r="F740" s="215"/>
      <c r="G740" s="215"/>
      <c r="H740" s="74" t="str">
        <f t="shared" si="24"/>
        <v/>
      </c>
      <c r="I740" s="188" t="str">
        <f t="shared" si="25"/>
        <v/>
      </c>
      <c r="J740" s="221"/>
    </row>
    <row r="741" spans="1:10" s="90" customFormat="1" ht="14.25" hidden="1" x14ac:dyDescent="0.3">
      <c r="A741" s="141"/>
      <c r="B741" s="160">
        <v>725</v>
      </c>
      <c r="C741" s="224"/>
      <c r="D741" s="216"/>
      <c r="E741" s="215"/>
      <c r="F741" s="217"/>
      <c r="G741" s="218"/>
      <c r="H741" s="74" t="str">
        <f t="shared" si="24"/>
        <v/>
      </c>
      <c r="I741" s="188" t="str">
        <f t="shared" si="25"/>
        <v/>
      </c>
      <c r="J741" s="221"/>
    </row>
    <row r="742" spans="1:10" s="90" customFormat="1" ht="14.25" hidden="1" x14ac:dyDescent="0.3">
      <c r="A742" s="141"/>
      <c r="B742" s="160">
        <v>726</v>
      </c>
      <c r="C742" s="224"/>
      <c r="D742" s="213"/>
      <c r="E742" s="215"/>
      <c r="F742" s="214"/>
      <c r="G742" s="214"/>
      <c r="H742" s="74" t="str">
        <f t="shared" si="24"/>
        <v/>
      </c>
      <c r="I742" s="188" t="str">
        <f t="shared" si="25"/>
        <v/>
      </c>
      <c r="J742" s="221"/>
    </row>
    <row r="743" spans="1:10" s="90" customFormat="1" ht="14.25" hidden="1" x14ac:dyDescent="0.3">
      <c r="A743" s="141"/>
      <c r="B743" s="160">
        <v>727</v>
      </c>
      <c r="C743" s="224"/>
      <c r="D743" s="242"/>
      <c r="E743" s="215"/>
      <c r="F743" s="215"/>
      <c r="G743" s="215"/>
      <c r="H743" s="74" t="str">
        <f t="shared" si="24"/>
        <v/>
      </c>
      <c r="I743" s="188" t="str">
        <f t="shared" si="25"/>
        <v/>
      </c>
      <c r="J743" s="221"/>
    </row>
    <row r="744" spans="1:10" s="90" customFormat="1" ht="14.25" hidden="1" x14ac:dyDescent="0.3">
      <c r="A744" s="141"/>
      <c r="B744" s="160">
        <v>728</v>
      </c>
      <c r="C744" s="224"/>
      <c r="D744" s="216"/>
      <c r="E744" s="215"/>
      <c r="F744" s="217"/>
      <c r="G744" s="218"/>
      <c r="H744" s="74" t="str">
        <f t="shared" si="24"/>
        <v/>
      </c>
      <c r="I744" s="188" t="str">
        <f t="shared" si="25"/>
        <v/>
      </c>
      <c r="J744" s="221"/>
    </row>
    <row r="745" spans="1:10" s="90" customFormat="1" ht="14.25" hidden="1" x14ac:dyDescent="0.3">
      <c r="A745" s="141"/>
      <c r="B745" s="160">
        <v>729</v>
      </c>
      <c r="C745" s="224"/>
      <c r="D745" s="213"/>
      <c r="E745" s="215"/>
      <c r="F745" s="214"/>
      <c r="G745" s="214"/>
      <c r="H745" s="74" t="str">
        <f t="shared" si="24"/>
        <v/>
      </c>
      <c r="I745" s="188" t="str">
        <f t="shared" si="25"/>
        <v/>
      </c>
      <c r="J745" s="221"/>
    </row>
    <row r="746" spans="1:10" s="90" customFormat="1" ht="14.25" hidden="1" x14ac:dyDescent="0.3">
      <c r="A746" s="141"/>
      <c r="B746" s="160">
        <v>730</v>
      </c>
      <c r="C746" s="224"/>
      <c r="D746" s="242"/>
      <c r="E746" s="215"/>
      <c r="F746" s="215"/>
      <c r="G746" s="215"/>
      <c r="H746" s="74" t="str">
        <f t="shared" si="24"/>
        <v/>
      </c>
      <c r="I746" s="188" t="str">
        <f t="shared" si="25"/>
        <v/>
      </c>
      <c r="J746" s="221"/>
    </row>
    <row r="747" spans="1:10" s="90" customFormat="1" ht="14.25" hidden="1" x14ac:dyDescent="0.3">
      <c r="A747" s="141"/>
      <c r="B747" s="160">
        <v>731</v>
      </c>
      <c r="C747" s="224"/>
      <c r="D747" s="216"/>
      <c r="E747" s="215"/>
      <c r="F747" s="217"/>
      <c r="G747" s="218"/>
      <c r="H747" s="74" t="str">
        <f t="shared" si="24"/>
        <v/>
      </c>
      <c r="I747" s="188" t="str">
        <f t="shared" si="25"/>
        <v/>
      </c>
      <c r="J747" s="221"/>
    </row>
    <row r="748" spans="1:10" s="90" customFormat="1" ht="14.25" hidden="1" x14ac:dyDescent="0.3">
      <c r="A748" s="141"/>
      <c r="B748" s="160">
        <v>732</v>
      </c>
      <c r="C748" s="224"/>
      <c r="D748" s="216"/>
      <c r="E748" s="215"/>
      <c r="F748" s="217"/>
      <c r="G748" s="218"/>
      <c r="H748" s="74" t="str">
        <f t="shared" si="24"/>
        <v/>
      </c>
      <c r="I748" s="188" t="str">
        <f t="shared" si="25"/>
        <v/>
      </c>
      <c r="J748" s="221"/>
    </row>
    <row r="749" spans="1:10" s="90" customFormat="1" ht="14.25" hidden="1" x14ac:dyDescent="0.3">
      <c r="A749" s="141"/>
      <c r="B749" s="160">
        <v>733</v>
      </c>
      <c r="C749" s="224"/>
      <c r="D749" s="216"/>
      <c r="E749" s="215"/>
      <c r="F749" s="217"/>
      <c r="G749" s="218"/>
      <c r="H749" s="74" t="str">
        <f t="shared" si="24"/>
        <v/>
      </c>
      <c r="I749" s="188" t="str">
        <f t="shared" si="25"/>
        <v/>
      </c>
      <c r="J749" s="221"/>
    </row>
    <row r="750" spans="1:10" s="90" customFormat="1" ht="14.25" hidden="1" x14ac:dyDescent="0.3">
      <c r="A750" s="141"/>
      <c r="B750" s="160">
        <v>734</v>
      </c>
      <c r="C750" s="224"/>
      <c r="D750" s="213"/>
      <c r="E750" s="215"/>
      <c r="F750" s="217"/>
      <c r="G750" s="218"/>
      <c r="H750" s="74" t="str">
        <f t="shared" si="24"/>
        <v/>
      </c>
      <c r="I750" s="188" t="str">
        <f t="shared" si="25"/>
        <v/>
      </c>
      <c r="J750" s="221"/>
    </row>
    <row r="751" spans="1:10" s="90" customFormat="1" ht="14.25" hidden="1" x14ac:dyDescent="0.3">
      <c r="A751" s="141"/>
      <c r="B751" s="160">
        <v>735</v>
      </c>
      <c r="C751" s="224"/>
      <c r="D751" s="213"/>
      <c r="E751" s="215"/>
      <c r="F751" s="214"/>
      <c r="G751" s="214"/>
      <c r="H751" s="74" t="str">
        <f t="shared" si="24"/>
        <v/>
      </c>
      <c r="I751" s="188" t="str">
        <f t="shared" si="25"/>
        <v/>
      </c>
      <c r="J751" s="221"/>
    </row>
    <row r="752" spans="1:10" s="90" customFormat="1" ht="14.25" hidden="1" x14ac:dyDescent="0.3">
      <c r="A752" s="141"/>
      <c r="B752" s="160">
        <v>736</v>
      </c>
      <c r="C752" s="224"/>
      <c r="D752" s="242"/>
      <c r="E752" s="215"/>
      <c r="F752" s="215"/>
      <c r="G752" s="215"/>
      <c r="H752" s="74" t="str">
        <f t="shared" si="24"/>
        <v/>
      </c>
      <c r="I752" s="188" t="str">
        <f t="shared" si="25"/>
        <v/>
      </c>
      <c r="J752" s="221"/>
    </row>
    <row r="753" spans="1:10" s="90" customFormat="1" ht="14.25" hidden="1" x14ac:dyDescent="0.3">
      <c r="A753" s="141"/>
      <c r="B753" s="160">
        <v>737</v>
      </c>
      <c r="C753" s="224"/>
      <c r="D753" s="213"/>
      <c r="E753" s="215"/>
      <c r="F753" s="217"/>
      <c r="G753" s="218"/>
      <c r="H753" s="74" t="str">
        <f t="shared" si="24"/>
        <v/>
      </c>
      <c r="I753" s="188" t="str">
        <f t="shared" si="25"/>
        <v/>
      </c>
      <c r="J753" s="221"/>
    </row>
    <row r="754" spans="1:10" s="90" customFormat="1" ht="14.25" hidden="1" x14ac:dyDescent="0.3">
      <c r="A754" s="141"/>
      <c r="B754" s="160">
        <v>738</v>
      </c>
      <c r="C754" s="224"/>
      <c r="D754" s="213"/>
      <c r="E754" s="215"/>
      <c r="F754" s="217"/>
      <c r="G754" s="218"/>
      <c r="H754" s="74" t="str">
        <f t="shared" si="24"/>
        <v/>
      </c>
      <c r="I754" s="188" t="str">
        <f t="shared" si="25"/>
        <v/>
      </c>
      <c r="J754" s="221"/>
    </row>
    <row r="755" spans="1:10" s="90" customFormat="1" ht="14.25" hidden="1" x14ac:dyDescent="0.3">
      <c r="A755" s="141"/>
      <c r="B755" s="160">
        <v>739</v>
      </c>
      <c r="C755" s="224"/>
      <c r="D755" s="213"/>
      <c r="E755" s="215"/>
      <c r="F755" s="217"/>
      <c r="G755" s="218"/>
      <c r="H755" s="74" t="str">
        <f t="shared" si="24"/>
        <v/>
      </c>
      <c r="I755" s="188" t="str">
        <f t="shared" si="25"/>
        <v/>
      </c>
      <c r="J755" s="221"/>
    </row>
    <row r="756" spans="1:10" s="90" customFormat="1" ht="14.25" hidden="1" x14ac:dyDescent="0.3">
      <c r="A756" s="141"/>
      <c r="B756" s="160">
        <v>740</v>
      </c>
      <c r="C756" s="224"/>
      <c r="D756" s="213"/>
      <c r="E756" s="215"/>
      <c r="F756" s="214"/>
      <c r="G756" s="214"/>
      <c r="H756" s="74" t="str">
        <f t="shared" si="24"/>
        <v/>
      </c>
      <c r="I756" s="188" t="str">
        <f t="shared" si="25"/>
        <v/>
      </c>
      <c r="J756" s="221"/>
    </row>
    <row r="757" spans="1:10" s="90" customFormat="1" ht="14.25" hidden="1" x14ac:dyDescent="0.3">
      <c r="A757" s="141"/>
      <c r="B757" s="160">
        <v>741</v>
      </c>
      <c r="C757" s="224"/>
      <c r="D757" s="213"/>
      <c r="E757" s="215"/>
      <c r="F757" s="214"/>
      <c r="G757" s="214"/>
      <c r="H757" s="74" t="str">
        <f t="shared" si="24"/>
        <v/>
      </c>
      <c r="I757" s="188" t="str">
        <f t="shared" si="25"/>
        <v/>
      </c>
      <c r="J757" s="221"/>
    </row>
    <row r="758" spans="1:10" s="90" customFormat="1" ht="14.25" hidden="1" x14ac:dyDescent="0.3">
      <c r="A758" s="141"/>
      <c r="B758" s="160">
        <v>742</v>
      </c>
      <c r="C758" s="224"/>
      <c r="D758" s="213"/>
      <c r="E758" s="215"/>
      <c r="F758" s="214"/>
      <c r="G758" s="214"/>
      <c r="H758" s="74" t="str">
        <f t="shared" si="24"/>
        <v/>
      </c>
      <c r="I758" s="188" t="str">
        <f t="shared" si="25"/>
        <v/>
      </c>
      <c r="J758" s="221"/>
    </row>
    <row r="759" spans="1:10" s="90" customFormat="1" ht="14.25" hidden="1" x14ac:dyDescent="0.3">
      <c r="A759" s="141"/>
      <c r="B759" s="160">
        <v>743</v>
      </c>
      <c r="C759" s="224"/>
      <c r="D759" s="242"/>
      <c r="E759" s="215"/>
      <c r="F759" s="215"/>
      <c r="G759" s="215"/>
      <c r="H759" s="74" t="str">
        <f t="shared" si="24"/>
        <v/>
      </c>
      <c r="I759" s="188" t="str">
        <f t="shared" si="25"/>
        <v/>
      </c>
      <c r="J759" s="221"/>
    </row>
    <row r="760" spans="1:10" s="90" customFormat="1" ht="14.25" hidden="1" x14ac:dyDescent="0.3">
      <c r="A760" s="141"/>
      <c r="B760" s="160">
        <v>744</v>
      </c>
      <c r="C760" s="224"/>
      <c r="D760" s="213"/>
      <c r="E760" s="215"/>
      <c r="F760" s="214"/>
      <c r="G760" s="214"/>
      <c r="H760" s="74" t="str">
        <f t="shared" si="24"/>
        <v/>
      </c>
      <c r="I760" s="188" t="str">
        <f t="shared" si="25"/>
        <v/>
      </c>
      <c r="J760" s="221"/>
    </row>
    <row r="761" spans="1:10" s="90" customFormat="1" ht="14.25" hidden="1" x14ac:dyDescent="0.3">
      <c r="A761" s="141"/>
      <c r="B761" s="160">
        <v>745</v>
      </c>
      <c r="C761" s="224"/>
      <c r="D761" s="213"/>
      <c r="E761" s="215"/>
      <c r="F761" s="214"/>
      <c r="G761" s="214"/>
      <c r="H761" s="74" t="str">
        <f t="shared" si="24"/>
        <v/>
      </c>
      <c r="I761" s="188" t="str">
        <f t="shared" si="25"/>
        <v/>
      </c>
      <c r="J761" s="221"/>
    </row>
    <row r="762" spans="1:10" s="90" customFormat="1" ht="14.25" hidden="1" x14ac:dyDescent="0.3">
      <c r="A762" s="141"/>
      <c r="B762" s="160">
        <v>746</v>
      </c>
      <c r="C762" s="224"/>
      <c r="D762" s="216"/>
      <c r="E762" s="215"/>
      <c r="F762" s="217"/>
      <c r="G762" s="218"/>
      <c r="H762" s="74" t="str">
        <f t="shared" si="24"/>
        <v/>
      </c>
      <c r="I762" s="188" t="str">
        <f t="shared" si="25"/>
        <v/>
      </c>
      <c r="J762" s="221"/>
    </row>
    <row r="763" spans="1:10" s="90" customFormat="1" ht="14.25" hidden="1" x14ac:dyDescent="0.3">
      <c r="A763" s="141"/>
      <c r="B763" s="160">
        <v>747</v>
      </c>
      <c r="C763" s="224"/>
      <c r="D763" s="242"/>
      <c r="E763" s="215"/>
      <c r="F763" s="215"/>
      <c r="G763" s="215"/>
      <c r="H763" s="74" t="str">
        <f t="shared" si="24"/>
        <v/>
      </c>
      <c r="I763" s="188" t="str">
        <f t="shared" si="25"/>
        <v/>
      </c>
      <c r="J763" s="221"/>
    </row>
    <row r="764" spans="1:10" s="90" customFormat="1" ht="14.25" hidden="1" x14ac:dyDescent="0.3">
      <c r="A764" s="141"/>
      <c r="B764" s="160">
        <v>748</v>
      </c>
      <c r="C764" s="224"/>
      <c r="D764" s="213"/>
      <c r="E764" s="215"/>
      <c r="F764" s="214"/>
      <c r="G764" s="214"/>
      <c r="H764" s="74" t="str">
        <f t="shared" si="24"/>
        <v/>
      </c>
      <c r="I764" s="188" t="str">
        <f t="shared" si="25"/>
        <v/>
      </c>
      <c r="J764" s="221"/>
    </row>
    <row r="765" spans="1:10" s="90" customFormat="1" ht="14.25" hidden="1" x14ac:dyDescent="0.3">
      <c r="A765" s="141"/>
      <c r="B765" s="160">
        <v>749</v>
      </c>
      <c r="C765" s="224"/>
      <c r="D765" s="213"/>
      <c r="E765" s="215"/>
      <c r="F765" s="214"/>
      <c r="G765" s="214"/>
      <c r="H765" s="74" t="str">
        <f t="shared" si="24"/>
        <v/>
      </c>
      <c r="I765" s="188" t="str">
        <f t="shared" si="25"/>
        <v/>
      </c>
      <c r="J765" s="221"/>
    </row>
    <row r="766" spans="1:10" s="90" customFormat="1" ht="14.25" hidden="1" x14ac:dyDescent="0.3">
      <c r="A766" s="141"/>
      <c r="B766" s="160">
        <v>750</v>
      </c>
      <c r="C766" s="224"/>
      <c r="D766" s="242"/>
      <c r="E766" s="215"/>
      <c r="F766" s="215"/>
      <c r="G766" s="215"/>
      <c r="H766" s="74" t="str">
        <f t="shared" si="24"/>
        <v/>
      </c>
      <c r="I766" s="188" t="str">
        <f t="shared" si="25"/>
        <v/>
      </c>
      <c r="J766" s="221"/>
    </row>
    <row r="767" spans="1:10" s="90" customFormat="1" ht="14.25" hidden="1" x14ac:dyDescent="0.3">
      <c r="A767" s="141"/>
      <c r="B767" s="160">
        <v>751</v>
      </c>
      <c r="C767" s="224"/>
      <c r="D767" s="213"/>
      <c r="E767" s="215"/>
      <c r="F767" s="217"/>
      <c r="G767" s="218"/>
      <c r="H767" s="74" t="str">
        <f t="shared" si="24"/>
        <v/>
      </c>
      <c r="I767" s="188" t="str">
        <f t="shared" si="25"/>
        <v/>
      </c>
      <c r="J767" s="221"/>
    </row>
    <row r="768" spans="1:10" s="90" customFormat="1" ht="14.25" hidden="1" x14ac:dyDescent="0.3">
      <c r="A768" s="141"/>
      <c r="B768" s="160">
        <v>752</v>
      </c>
      <c r="C768" s="224"/>
      <c r="D768" s="213"/>
      <c r="E768" s="215"/>
      <c r="F768" s="217"/>
      <c r="G768" s="218"/>
      <c r="H768" s="74" t="str">
        <f t="shared" si="24"/>
        <v/>
      </c>
      <c r="I768" s="188" t="str">
        <f t="shared" si="25"/>
        <v/>
      </c>
      <c r="J768" s="221"/>
    </row>
    <row r="769" spans="1:10" s="90" customFormat="1" ht="14.25" hidden="1" x14ac:dyDescent="0.3">
      <c r="A769" s="141"/>
      <c r="B769" s="160">
        <v>753</v>
      </c>
      <c r="C769" s="224"/>
      <c r="D769" s="213"/>
      <c r="E769" s="215"/>
      <c r="F769" s="217"/>
      <c r="G769" s="218"/>
      <c r="H769" s="74" t="str">
        <f t="shared" si="24"/>
        <v/>
      </c>
      <c r="I769" s="188" t="str">
        <f t="shared" si="25"/>
        <v/>
      </c>
      <c r="J769" s="221"/>
    </row>
    <row r="770" spans="1:10" s="90" customFormat="1" ht="14.25" hidden="1" x14ac:dyDescent="0.3">
      <c r="A770" s="141"/>
      <c r="B770" s="160">
        <v>754</v>
      </c>
      <c r="C770" s="224"/>
      <c r="D770" s="216"/>
      <c r="E770" s="215"/>
      <c r="F770" s="217"/>
      <c r="G770" s="218"/>
      <c r="H770" s="74" t="str">
        <f t="shared" si="24"/>
        <v/>
      </c>
      <c r="I770" s="188" t="str">
        <f t="shared" si="25"/>
        <v/>
      </c>
      <c r="J770" s="221"/>
    </row>
    <row r="771" spans="1:10" s="90" customFormat="1" ht="14.25" hidden="1" x14ac:dyDescent="0.3">
      <c r="A771" s="141"/>
      <c r="B771" s="160">
        <v>755</v>
      </c>
      <c r="C771" s="224"/>
      <c r="D771" s="213"/>
      <c r="E771" s="215"/>
      <c r="F771" s="214"/>
      <c r="G771" s="214"/>
      <c r="H771" s="74" t="str">
        <f t="shared" si="24"/>
        <v/>
      </c>
      <c r="I771" s="188" t="str">
        <f t="shared" si="25"/>
        <v/>
      </c>
      <c r="J771" s="221"/>
    </row>
    <row r="772" spans="1:10" s="90" customFormat="1" ht="14.25" hidden="1" x14ac:dyDescent="0.3">
      <c r="A772" s="141"/>
      <c r="B772" s="160">
        <v>756</v>
      </c>
      <c r="C772" s="224"/>
      <c r="D772" s="213"/>
      <c r="E772" s="215"/>
      <c r="F772" s="214"/>
      <c r="G772" s="214"/>
      <c r="H772" s="74" t="str">
        <f t="shared" si="24"/>
        <v/>
      </c>
      <c r="I772" s="188" t="str">
        <f t="shared" si="25"/>
        <v/>
      </c>
      <c r="J772" s="221"/>
    </row>
    <row r="773" spans="1:10" s="90" customFormat="1" ht="14.25" hidden="1" x14ac:dyDescent="0.3">
      <c r="A773" s="141"/>
      <c r="B773" s="160">
        <v>757</v>
      </c>
      <c r="C773" s="224"/>
      <c r="D773" s="213"/>
      <c r="E773" s="215"/>
      <c r="F773" s="217"/>
      <c r="G773" s="218"/>
      <c r="H773" s="74" t="str">
        <f t="shared" si="24"/>
        <v/>
      </c>
      <c r="I773" s="188" t="str">
        <f t="shared" si="25"/>
        <v/>
      </c>
      <c r="J773" s="221"/>
    </row>
    <row r="774" spans="1:10" s="90" customFormat="1" ht="14.25" hidden="1" x14ac:dyDescent="0.3">
      <c r="A774" s="141"/>
      <c r="B774" s="160">
        <v>758</v>
      </c>
      <c r="C774" s="224"/>
      <c r="D774" s="213"/>
      <c r="E774" s="215"/>
      <c r="F774" s="214"/>
      <c r="G774" s="214"/>
      <c r="H774" s="74" t="str">
        <f t="shared" si="24"/>
        <v/>
      </c>
      <c r="I774" s="188" t="str">
        <f t="shared" si="25"/>
        <v/>
      </c>
      <c r="J774" s="221"/>
    </row>
    <row r="775" spans="1:10" s="90" customFormat="1" ht="14.25" hidden="1" x14ac:dyDescent="0.3">
      <c r="A775" s="141"/>
      <c r="B775" s="160">
        <v>759</v>
      </c>
      <c r="C775" s="224"/>
      <c r="D775" s="216"/>
      <c r="E775" s="215"/>
      <c r="F775" s="217"/>
      <c r="G775" s="218"/>
      <c r="H775" s="74" t="str">
        <f t="shared" si="24"/>
        <v/>
      </c>
      <c r="I775" s="188" t="str">
        <f t="shared" si="25"/>
        <v/>
      </c>
      <c r="J775" s="221"/>
    </row>
    <row r="776" spans="1:10" s="90" customFormat="1" ht="14.25" hidden="1" x14ac:dyDescent="0.3">
      <c r="A776" s="141"/>
      <c r="B776" s="160">
        <v>760</v>
      </c>
      <c r="C776" s="224"/>
      <c r="D776" s="213"/>
      <c r="E776" s="215"/>
      <c r="F776" s="214"/>
      <c r="G776" s="214"/>
      <c r="H776" s="74" t="str">
        <f t="shared" si="24"/>
        <v/>
      </c>
      <c r="I776" s="188" t="str">
        <f t="shared" si="25"/>
        <v/>
      </c>
      <c r="J776" s="221"/>
    </row>
    <row r="777" spans="1:10" s="90" customFormat="1" ht="14.25" hidden="1" x14ac:dyDescent="0.3">
      <c r="A777" s="141"/>
      <c r="B777" s="160">
        <v>761</v>
      </c>
      <c r="C777" s="224"/>
      <c r="D777" s="213"/>
      <c r="E777" s="215"/>
      <c r="F777" s="217"/>
      <c r="G777" s="218"/>
      <c r="H777" s="74" t="str">
        <f t="shared" si="24"/>
        <v/>
      </c>
      <c r="I777" s="188" t="str">
        <f t="shared" si="25"/>
        <v/>
      </c>
      <c r="J777" s="221"/>
    </row>
    <row r="778" spans="1:10" s="90" customFormat="1" ht="14.25" hidden="1" x14ac:dyDescent="0.3">
      <c r="A778" s="141"/>
      <c r="B778" s="160">
        <v>762</v>
      </c>
      <c r="C778" s="224"/>
      <c r="D778" s="213"/>
      <c r="E778" s="215"/>
      <c r="F778" s="214"/>
      <c r="G778" s="214"/>
      <c r="H778" s="74" t="str">
        <f t="shared" si="24"/>
        <v/>
      </c>
      <c r="I778" s="188" t="str">
        <f t="shared" si="25"/>
        <v/>
      </c>
      <c r="J778" s="221"/>
    </row>
    <row r="779" spans="1:10" s="90" customFormat="1" ht="14.25" hidden="1" x14ac:dyDescent="0.3">
      <c r="A779" s="141"/>
      <c r="B779" s="160">
        <v>763</v>
      </c>
      <c r="C779" s="224"/>
      <c r="D779" s="213"/>
      <c r="E779" s="215"/>
      <c r="F779" s="214"/>
      <c r="G779" s="214"/>
      <c r="H779" s="74" t="str">
        <f t="shared" si="24"/>
        <v/>
      </c>
      <c r="I779" s="188" t="str">
        <f t="shared" si="25"/>
        <v/>
      </c>
      <c r="J779" s="221"/>
    </row>
    <row r="780" spans="1:10" s="90" customFormat="1" ht="14.25" hidden="1" x14ac:dyDescent="0.3">
      <c r="A780" s="141"/>
      <c r="B780" s="160">
        <v>764</v>
      </c>
      <c r="C780" s="224"/>
      <c r="D780" s="216"/>
      <c r="E780" s="215"/>
      <c r="F780" s="217"/>
      <c r="G780" s="218"/>
      <c r="H780" s="74" t="str">
        <f t="shared" si="24"/>
        <v/>
      </c>
      <c r="I780" s="188" t="str">
        <f t="shared" si="25"/>
        <v/>
      </c>
      <c r="J780" s="221"/>
    </row>
    <row r="781" spans="1:10" s="90" customFormat="1" ht="14.25" hidden="1" x14ac:dyDescent="0.3">
      <c r="A781" s="141"/>
      <c r="B781" s="160">
        <v>765</v>
      </c>
      <c r="C781" s="224"/>
      <c r="D781" s="213"/>
      <c r="E781" s="215"/>
      <c r="F781" s="214"/>
      <c r="G781" s="214"/>
      <c r="H781" s="74" t="str">
        <f t="shared" si="24"/>
        <v/>
      </c>
      <c r="I781" s="188" t="str">
        <f t="shared" si="25"/>
        <v/>
      </c>
      <c r="J781" s="221"/>
    </row>
    <row r="782" spans="1:10" s="90" customFormat="1" ht="14.25" hidden="1" x14ac:dyDescent="0.3">
      <c r="A782" s="141"/>
      <c r="B782" s="160">
        <v>766</v>
      </c>
      <c r="C782" s="224"/>
      <c r="D782" s="213"/>
      <c r="E782" s="215"/>
      <c r="F782" s="214"/>
      <c r="G782" s="214"/>
      <c r="H782" s="74" t="str">
        <f t="shared" si="24"/>
        <v/>
      </c>
      <c r="I782" s="188" t="str">
        <f t="shared" si="25"/>
        <v/>
      </c>
      <c r="J782" s="221"/>
    </row>
    <row r="783" spans="1:10" s="90" customFormat="1" ht="14.25" hidden="1" x14ac:dyDescent="0.3">
      <c r="A783" s="141"/>
      <c r="B783" s="160">
        <v>767</v>
      </c>
      <c r="C783" s="224"/>
      <c r="D783" s="216"/>
      <c r="E783" s="215"/>
      <c r="F783" s="217"/>
      <c r="G783" s="218"/>
      <c r="H783" s="74" t="str">
        <f t="shared" si="24"/>
        <v/>
      </c>
      <c r="I783" s="188" t="str">
        <f t="shared" si="25"/>
        <v/>
      </c>
      <c r="J783" s="221"/>
    </row>
    <row r="784" spans="1:10" s="90" customFormat="1" ht="14.25" hidden="1" x14ac:dyDescent="0.3">
      <c r="A784" s="141"/>
      <c r="B784" s="160">
        <v>768</v>
      </c>
      <c r="C784" s="224"/>
      <c r="D784" s="213"/>
      <c r="E784" s="215"/>
      <c r="F784" s="214"/>
      <c r="G784" s="214"/>
      <c r="H784" s="74" t="str">
        <f t="shared" si="24"/>
        <v/>
      </c>
      <c r="I784" s="188" t="str">
        <f t="shared" si="25"/>
        <v/>
      </c>
      <c r="J784" s="221"/>
    </row>
    <row r="785" spans="1:10" s="90" customFormat="1" ht="14.25" hidden="1" x14ac:dyDescent="0.3">
      <c r="A785" s="141"/>
      <c r="B785" s="160">
        <v>769</v>
      </c>
      <c r="C785" s="224"/>
      <c r="D785" s="213"/>
      <c r="E785" s="215"/>
      <c r="F785" s="214"/>
      <c r="G785" s="214"/>
      <c r="H785" s="74" t="str">
        <f t="shared" ref="H785:H848" si="26">ObterComplexidadeFuncao(E785,F785,G785)</f>
        <v/>
      </c>
      <c r="I785" s="188" t="str">
        <f t="shared" si="25"/>
        <v/>
      </c>
      <c r="J785" s="221"/>
    </row>
    <row r="786" spans="1:10" s="90" customFormat="1" ht="14.25" hidden="1" x14ac:dyDescent="0.3">
      <c r="A786" s="141"/>
      <c r="B786" s="160">
        <v>770</v>
      </c>
      <c r="C786" s="224"/>
      <c r="D786" s="216"/>
      <c r="E786" s="215"/>
      <c r="F786" s="217"/>
      <c r="G786" s="218"/>
      <c r="H786" s="74" t="str">
        <f t="shared" si="26"/>
        <v/>
      </c>
      <c r="I786" s="188" t="str">
        <f t="shared" ref="I786:I849" si="27">ObterContribuicaoFuncao(E786,H786)</f>
        <v/>
      </c>
      <c r="J786" s="221"/>
    </row>
    <row r="787" spans="1:10" s="90" customFormat="1" ht="14.25" hidden="1" x14ac:dyDescent="0.3">
      <c r="A787" s="141"/>
      <c r="B787" s="160">
        <v>771</v>
      </c>
      <c r="C787" s="224"/>
      <c r="D787" s="213"/>
      <c r="E787" s="215"/>
      <c r="F787" s="214"/>
      <c r="G787" s="214"/>
      <c r="H787" s="74" t="str">
        <f t="shared" si="26"/>
        <v/>
      </c>
      <c r="I787" s="188" t="str">
        <f t="shared" si="27"/>
        <v/>
      </c>
      <c r="J787" s="221"/>
    </row>
    <row r="788" spans="1:10" s="90" customFormat="1" ht="14.25" hidden="1" x14ac:dyDescent="0.3">
      <c r="A788" s="141"/>
      <c r="B788" s="160">
        <v>772</v>
      </c>
      <c r="C788" s="224"/>
      <c r="D788" s="213"/>
      <c r="E788" s="215"/>
      <c r="F788" s="214"/>
      <c r="G788" s="214"/>
      <c r="H788" s="74" t="str">
        <f t="shared" si="26"/>
        <v/>
      </c>
      <c r="I788" s="188" t="str">
        <f t="shared" si="27"/>
        <v/>
      </c>
      <c r="J788" s="221"/>
    </row>
    <row r="789" spans="1:10" s="90" customFormat="1" ht="14.25" hidden="1" x14ac:dyDescent="0.3">
      <c r="A789" s="141"/>
      <c r="B789" s="160">
        <v>773</v>
      </c>
      <c r="C789" s="224"/>
      <c r="D789" s="216"/>
      <c r="E789" s="215"/>
      <c r="F789" s="217"/>
      <c r="G789" s="218"/>
      <c r="H789" s="74" t="str">
        <f t="shared" si="26"/>
        <v/>
      </c>
      <c r="I789" s="188" t="str">
        <f t="shared" si="27"/>
        <v/>
      </c>
      <c r="J789" s="221"/>
    </row>
    <row r="790" spans="1:10" s="90" customFormat="1" ht="14.25" hidden="1" x14ac:dyDescent="0.3">
      <c r="A790" s="141"/>
      <c r="B790" s="160">
        <v>774</v>
      </c>
      <c r="C790" s="224"/>
      <c r="D790" s="213"/>
      <c r="E790" s="215"/>
      <c r="F790" s="214"/>
      <c r="G790" s="214"/>
      <c r="H790" s="74" t="str">
        <f t="shared" si="26"/>
        <v/>
      </c>
      <c r="I790" s="188" t="str">
        <f t="shared" si="27"/>
        <v/>
      </c>
      <c r="J790" s="221"/>
    </row>
    <row r="791" spans="1:10" s="90" customFormat="1" ht="14.25" hidden="1" x14ac:dyDescent="0.3">
      <c r="A791" s="141"/>
      <c r="B791" s="160">
        <v>775</v>
      </c>
      <c r="C791" s="224"/>
      <c r="D791" s="242"/>
      <c r="E791" s="215"/>
      <c r="F791" s="214"/>
      <c r="G791" s="214"/>
      <c r="H791" s="74" t="str">
        <f t="shared" si="26"/>
        <v/>
      </c>
      <c r="I791" s="188" t="str">
        <f t="shared" si="27"/>
        <v/>
      </c>
      <c r="J791" s="221"/>
    </row>
    <row r="792" spans="1:10" s="90" customFormat="1" ht="14.25" hidden="1" x14ac:dyDescent="0.3">
      <c r="A792" s="141"/>
      <c r="B792" s="160">
        <v>776</v>
      </c>
      <c r="C792" s="224"/>
      <c r="D792" s="216"/>
      <c r="E792" s="215"/>
      <c r="F792" s="217"/>
      <c r="G792" s="218"/>
      <c r="H792" s="74" t="str">
        <f t="shared" si="26"/>
        <v/>
      </c>
      <c r="I792" s="188" t="str">
        <f t="shared" si="27"/>
        <v/>
      </c>
      <c r="J792" s="221"/>
    </row>
    <row r="793" spans="1:10" s="90" customFormat="1" ht="14.25" hidden="1" x14ac:dyDescent="0.3">
      <c r="A793" s="141"/>
      <c r="B793" s="160">
        <v>777</v>
      </c>
      <c r="C793" s="224"/>
      <c r="D793" s="213"/>
      <c r="E793" s="215"/>
      <c r="F793" s="214"/>
      <c r="G793" s="214"/>
      <c r="H793" s="74" t="str">
        <f t="shared" si="26"/>
        <v/>
      </c>
      <c r="I793" s="188" t="str">
        <f t="shared" si="27"/>
        <v/>
      </c>
      <c r="J793" s="221"/>
    </row>
    <row r="794" spans="1:10" s="90" customFormat="1" ht="14.25" hidden="1" x14ac:dyDescent="0.3">
      <c r="A794" s="141"/>
      <c r="B794" s="160">
        <v>778</v>
      </c>
      <c r="C794" s="224"/>
      <c r="D794" s="213"/>
      <c r="E794" s="215"/>
      <c r="F794" s="214"/>
      <c r="G794" s="214"/>
      <c r="H794" s="74" t="str">
        <f t="shared" si="26"/>
        <v/>
      </c>
      <c r="I794" s="188" t="str">
        <f t="shared" si="27"/>
        <v/>
      </c>
      <c r="J794" s="221"/>
    </row>
    <row r="795" spans="1:10" s="90" customFormat="1" ht="14.25" hidden="1" x14ac:dyDescent="0.3">
      <c r="A795" s="141"/>
      <c r="B795" s="160">
        <v>779</v>
      </c>
      <c r="C795" s="224"/>
      <c r="D795" s="216"/>
      <c r="E795" s="215"/>
      <c r="F795" s="217"/>
      <c r="G795" s="218"/>
      <c r="H795" s="74" t="str">
        <f t="shared" si="26"/>
        <v/>
      </c>
      <c r="I795" s="188" t="str">
        <f t="shared" si="27"/>
        <v/>
      </c>
      <c r="J795" s="221"/>
    </row>
    <row r="796" spans="1:10" s="90" customFormat="1" ht="14.25" hidden="1" x14ac:dyDescent="0.3">
      <c r="A796" s="141"/>
      <c r="B796" s="160">
        <v>780</v>
      </c>
      <c r="C796" s="224"/>
      <c r="D796" s="216"/>
      <c r="E796" s="215"/>
      <c r="F796" s="214"/>
      <c r="G796" s="214"/>
      <c r="H796" s="74" t="str">
        <f t="shared" si="26"/>
        <v/>
      </c>
      <c r="I796" s="188" t="str">
        <f t="shared" si="27"/>
        <v/>
      </c>
      <c r="J796" s="221"/>
    </row>
    <row r="797" spans="1:10" s="90" customFormat="1" ht="14.25" hidden="1" x14ac:dyDescent="0.3">
      <c r="A797" s="141"/>
      <c r="B797" s="160">
        <v>781</v>
      </c>
      <c r="C797" s="224"/>
      <c r="D797" s="216"/>
      <c r="E797" s="215"/>
      <c r="F797" s="217"/>
      <c r="G797" s="218"/>
      <c r="H797" s="74" t="str">
        <f t="shared" si="26"/>
        <v/>
      </c>
      <c r="I797" s="188" t="str">
        <f t="shared" si="27"/>
        <v/>
      </c>
      <c r="J797" s="221"/>
    </row>
    <row r="798" spans="1:10" s="90" customFormat="1" ht="14.25" hidden="1" x14ac:dyDescent="0.3">
      <c r="A798" s="141"/>
      <c r="B798" s="160">
        <v>782</v>
      </c>
      <c r="C798" s="224"/>
      <c r="D798" s="216"/>
      <c r="E798" s="215"/>
      <c r="F798" s="214"/>
      <c r="G798" s="214"/>
      <c r="H798" s="74" t="str">
        <f t="shared" si="26"/>
        <v/>
      </c>
      <c r="I798" s="188" t="str">
        <f t="shared" si="27"/>
        <v/>
      </c>
      <c r="J798" s="221"/>
    </row>
    <row r="799" spans="1:10" s="90" customFormat="1" ht="14.25" hidden="1" x14ac:dyDescent="0.3">
      <c r="A799" s="141"/>
      <c r="B799" s="160">
        <v>783</v>
      </c>
      <c r="C799" s="224"/>
      <c r="D799" s="216"/>
      <c r="E799" s="215"/>
      <c r="F799" s="217"/>
      <c r="G799" s="218"/>
      <c r="H799" s="74" t="str">
        <f t="shared" si="26"/>
        <v/>
      </c>
      <c r="I799" s="188" t="str">
        <f t="shared" si="27"/>
        <v/>
      </c>
      <c r="J799" s="221"/>
    </row>
    <row r="800" spans="1:10" s="90" customFormat="1" ht="14.25" hidden="1" x14ac:dyDescent="0.3">
      <c r="A800" s="141"/>
      <c r="B800" s="160">
        <v>784</v>
      </c>
      <c r="C800" s="224"/>
      <c r="D800" s="216"/>
      <c r="E800" s="215"/>
      <c r="F800" s="214"/>
      <c r="G800" s="214"/>
      <c r="H800" s="74" t="str">
        <f t="shared" si="26"/>
        <v/>
      </c>
      <c r="I800" s="188" t="str">
        <f t="shared" si="27"/>
        <v/>
      </c>
      <c r="J800" s="221"/>
    </row>
    <row r="801" spans="1:10" s="90" customFormat="1" ht="14.25" hidden="1" x14ac:dyDescent="0.3">
      <c r="A801" s="141"/>
      <c r="B801" s="160">
        <v>785</v>
      </c>
      <c r="C801" s="224"/>
      <c r="D801" s="216"/>
      <c r="E801" s="215"/>
      <c r="F801" s="217"/>
      <c r="G801" s="218"/>
      <c r="H801" s="74" t="str">
        <f t="shared" si="26"/>
        <v/>
      </c>
      <c r="I801" s="188" t="str">
        <f t="shared" si="27"/>
        <v/>
      </c>
      <c r="J801" s="221"/>
    </row>
    <row r="802" spans="1:10" s="90" customFormat="1" ht="14.25" hidden="1" x14ac:dyDescent="0.3">
      <c r="A802" s="141"/>
      <c r="B802" s="160">
        <v>786</v>
      </c>
      <c r="C802" s="224"/>
      <c r="D802" s="213"/>
      <c r="E802" s="215"/>
      <c r="F802" s="214"/>
      <c r="G802" s="214"/>
      <c r="H802" s="74" t="str">
        <f t="shared" si="26"/>
        <v/>
      </c>
      <c r="I802" s="188" t="str">
        <f t="shared" si="27"/>
        <v/>
      </c>
      <c r="J802" s="221"/>
    </row>
    <row r="803" spans="1:10" s="90" customFormat="1" ht="14.25" hidden="1" x14ac:dyDescent="0.3">
      <c r="A803" s="141"/>
      <c r="B803" s="160">
        <v>787</v>
      </c>
      <c r="C803" s="224"/>
      <c r="D803" s="213"/>
      <c r="E803" s="215"/>
      <c r="F803" s="217"/>
      <c r="G803" s="218"/>
      <c r="H803" s="74" t="str">
        <f t="shared" si="26"/>
        <v/>
      </c>
      <c r="I803" s="188" t="str">
        <f t="shared" si="27"/>
        <v/>
      </c>
      <c r="J803" s="221"/>
    </row>
    <row r="804" spans="1:10" s="90" customFormat="1" ht="14.25" hidden="1" x14ac:dyDescent="0.3">
      <c r="A804" s="141"/>
      <c r="B804" s="160">
        <v>788</v>
      </c>
      <c r="C804" s="224"/>
      <c r="D804" s="216"/>
      <c r="E804" s="215"/>
      <c r="F804" s="217"/>
      <c r="G804" s="218"/>
      <c r="H804" s="74" t="str">
        <f t="shared" si="26"/>
        <v/>
      </c>
      <c r="I804" s="188" t="str">
        <f t="shared" si="27"/>
        <v/>
      </c>
      <c r="J804" s="221"/>
    </row>
    <row r="805" spans="1:10" s="90" customFormat="1" ht="14.25" hidden="1" x14ac:dyDescent="0.3">
      <c r="A805" s="141"/>
      <c r="B805" s="160">
        <v>789</v>
      </c>
      <c r="C805" s="224"/>
      <c r="D805" s="213"/>
      <c r="E805" s="215"/>
      <c r="F805" s="214"/>
      <c r="G805" s="214"/>
      <c r="H805" s="74" t="str">
        <f t="shared" si="26"/>
        <v/>
      </c>
      <c r="I805" s="188" t="str">
        <f t="shared" si="27"/>
        <v/>
      </c>
      <c r="J805" s="221"/>
    </row>
    <row r="806" spans="1:10" s="90" customFormat="1" ht="14.25" hidden="1" x14ac:dyDescent="0.3">
      <c r="A806" s="141"/>
      <c r="B806" s="160">
        <v>790</v>
      </c>
      <c r="C806" s="224"/>
      <c r="D806" s="213"/>
      <c r="E806" s="215"/>
      <c r="F806" s="214"/>
      <c r="G806" s="214"/>
      <c r="H806" s="74" t="str">
        <f t="shared" si="26"/>
        <v/>
      </c>
      <c r="I806" s="188" t="str">
        <f t="shared" si="27"/>
        <v/>
      </c>
      <c r="J806" s="221"/>
    </row>
    <row r="807" spans="1:10" s="90" customFormat="1" ht="14.25" hidden="1" x14ac:dyDescent="0.3">
      <c r="A807" s="141"/>
      <c r="B807" s="160">
        <v>791</v>
      </c>
      <c r="C807" s="224"/>
      <c r="D807" s="216"/>
      <c r="E807" s="215"/>
      <c r="F807" s="217"/>
      <c r="G807" s="218"/>
      <c r="H807" s="74" t="str">
        <f t="shared" si="26"/>
        <v/>
      </c>
      <c r="I807" s="188" t="str">
        <f t="shared" si="27"/>
        <v/>
      </c>
      <c r="J807" s="221"/>
    </row>
    <row r="808" spans="1:10" s="90" customFormat="1" ht="14.25" hidden="1" x14ac:dyDescent="0.3">
      <c r="A808" s="141"/>
      <c r="B808" s="160">
        <v>792</v>
      </c>
      <c r="C808" s="224"/>
      <c r="D808" s="213"/>
      <c r="E808" s="215"/>
      <c r="F808" s="214"/>
      <c r="G808" s="214"/>
      <c r="H808" s="74" t="str">
        <f t="shared" si="26"/>
        <v/>
      </c>
      <c r="I808" s="188" t="str">
        <f t="shared" si="27"/>
        <v/>
      </c>
      <c r="J808" s="221"/>
    </row>
    <row r="809" spans="1:10" s="90" customFormat="1" ht="14.25" hidden="1" x14ac:dyDescent="0.3">
      <c r="A809" s="141"/>
      <c r="B809" s="160">
        <v>793</v>
      </c>
      <c r="C809" s="224"/>
      <c r="D809" s="213"/>
      <c r="E809" s="215"/>
      <c r="F809" s="214"/>
      <c r="G809" s="214"/>
      <c r="H809" s="74" t="str">
        <f t="shared" si="26"/>
        <v/>
      </c>
      <c r="I809" s="188" t="str">
        <f t="shared" si="27"/>
        <v/>
      </c>
      <c r="J809" s="221"/>
    </row>
    <row r="810" spans="1:10" s="90" customFormat="1" ht="14.25" hidden="1" x14ac:dyDescent="0.3">
      <c r="A810" s="141"/>
      <c r="B810" s="160">
        <v>794</v>
      </c>
      <c r="C810" s="224"/>
      <c r="D810" s="216"/>
      <c r="E810" s="215"/>
      <c r="F810" s="217"/>
      <c r="G810" s="218"/>
      <c r="H810" s="74" t="str">
        <f t="shared" si="26"/>
        <v/>
      </c>
      <c r="I810" s="188" t="str">
        <f t="shared" si="27"/>
        <v/>
      </c>
      <c r="J810" s="221"/>
    </row>
    <row r="811" spans="1:10" s="90" customFormat="1" ht="14.25" hidden="1" x14ac:dyDescent="0.3">
      <c r="A811" s="141"/>
      <c r="B811" s="160">
        <v>795</v>
      </c>
      <c r="C811" s="224"/>
      <c r="D811" s="213"/>
      <c r="E811" s="215"/>
      <c r="F811" s="214"/>
      <c r="G811" s="214"/>
      <c r="H811" s="74" t="str">
        <f t="shared" si="26"/>
        <v/>
      </c>
      <c r="I811" s="188" t="str">
        <f t="shared" si="27"/>
        <v/>
      </c>
      <c r="J811" s="221"/>
    </row>
    <row r="812" spans="1:10" s="90" customFormat="1" ht="14.25" hidden="1" x14ac:dyDescent="0.3">
      <c r="A812" s="141"/>
      <c r="B812" s="160">
        <v>796</v>
      </c>
      <c r="C812" s="224"/>
      <c r="D812" s="213"/>
      <c r="E812" s="215"/>
      <c r="F812" s="214"/>
      <c r="G812" s="214"/>
      <c r="H812" s="74" t="str">
        <f t="shared" si="26"/>
        <v/>
      </c>
      <c r="I812" s="188" t="str">
        <f t="shared" si="27"/>
        <v/>
      </c>
      <c r="J812" s="221"/>
    </row>
    <row r="813" spans="1:10" s="90" customFormat="1" ht="14.25" hidden="1" x14ac:dyDescent="0.3">
      <c r="A813" s="141"/>
      <c r="B813" s="160">
        <v>797</v>
      </c>
      <c r="C813" s="224"/>
      <c r="D813" s="216"/>
      <c r="E813" s="215"/>
      <c r="F813" s="217"/>
      <c r="G813" s="218"/>
      <c r="H813" s="74" t="str">
        <f t="shared" si="26"/>
        <v/>
      </c>
      <c r="I813" s="188" t="str">
        <f t="shared" si="27"/>
        <v/>
      </c>
      <c r="J813" s="221"/>
    </row>
    <row r="814" spans="1:10" s="90" customFormat="1" ht="14.25" hidden="1" x14ac:dyDescent="0.3">
      <c r="A814" s="141"/>
      <c r="B814" s="160">
        <v>798</v>
      </c>
      <c r="C814" s="224"/>
      <c r="D814" s="213"/>
      <c r="E814" s="215"/>
      <c r="F814" s="214"/>
      <c r="G814" s="214"/>
      <c r="H814" s="74" t="str">
        <f t="shared" si="26"/>
        <v/>
      </c>
      <c r="I814" s="188" t="str">
        <f t="shared" si="27"/>
        <v/>
      </c>
      <c r="J814" s="221"/>
    </row>
    <row r="815" spans="1:10" s="90" customFormat="1" ht="14.25" hidden="1" x14ac:dyDescent="0.3">
      <c r="A815" s="141"/>
      <c r="B815" s="160">
        <v>799</v>
      </c>
      <c r="C815" s="224"/>
      <c r="D815" s="213"/>
      <c r="E815" s="215"/>
      <c r="F815" s="214"/>
      <c r="G815" s="214"/>
      <c r="H815" s="74" t="str">
        <f t="shared" si="26"/>
        <v/>
      </c>
      <c r="I815" s="188" t="str">
        <f t="shared" si="27"/>
        <v/>
      </c>
      <c r="J815" s="221"/>
    </row>
    <row r="816" spans="1:10" s="90" customFormat="1" ht="14.25" hidden="1" x14ac:dyDescent="0.3">
      <c r="A816" s="141"/>
      <c r="B816" s="160">
        <v>800</v>
      </c>
      <c r="C816" s="224"/>
      <c r="D816" s="216"/>
      <c r="E816" s="215"/>
      <c r="F816" s="217"/>
      <c r="G816" s="218"/>
      <c r="H816" s="74" t="str">
        <f t="shared" si="26"/>
        <v/>
      </c>
      <c r="I816" s="188" t="str">
        <f t="shared" si="27"/>
        <v/>
      </c>
      <c r="J816" s="221"/>
    </row>
    <row r="817" spans="1:10" s="90" customFormat="1" ht="14.25" hidden="1" x14ac:dyDescent="0.3">
      <c r="A817" s="141"/>
      <c r="B817" s="160">
        <v>801</v>
      </c>
      <c r="C817" s="224"/>
      <c r="D817" s="213"/>
      <c r="E817" s="215"/>
      <c r="F817" s="214"/>
      <c r="G817" s="214"/>
      <c r="H817" s="74" t="str">
        <f t="shared" si="26"/>
        <v/>
      </c>
      <c r="I817" s="188" t="str">
        <f t="shared" si="27"/>
        <v/>
      </c>
      <c r="J817" s="221"/>
    </row>
    <row r="818" spans="1:10" s="90" customFormat="1" ht="14.25" hidden="1" x14ac:dyDescent="0.3">
      <c r="A818" s="141"/>
      <c r="B818" s="160">
        <v>802</v>
      </c>
      <c r="C818" s="224"/>
      <c r="D818" s="213"/>
      <c r="E818" s="215"/>
      <c r="F818" s="214"/>
      <c r="G818" s="214"/>
      <c r="H818" s="74" t="str">
        <f t="shared" si="26"/>
        <v/>
      </c>
      <c r="I818" s="188" t="str">
        <f t="shared" si="27"/>
        <v/>
      </c>
      <c r="J818" s="221"/>
    </row>
    <row r="819" spans="1:10" s="90" customFormat="1" ht="14.25" hidden="1" x14ac:dyDescent="0.3">
      <c r="A819" s="141"/>
      <c r="B819" s="160">
        <v>803</v>
      </c>
      <c r="C819" s="224"/>
      <c r="D819" s="216"/>
      <c r="E819" s="215"/>
      <c r="F819" s="217"/>
      <c r="G819" s="218"/>
      <c r="H819" s="74" t="str">
        <f t="shared" si="26"/>
        <v/>
      </c>
      <c r="I819" s="188" t="str">
        <f t="shared" si="27"/>
        <v/>
      </c>
      <c r="J819" s="221"/>
    </row>
    <row r="820" spans="1:10" s="90" customFormat="1" ht="14.25" hidden="1" x14ac:dyDescent="0.3">
      <c r="A820" s="141"/>
      <c r="B820" s="160">
        <v>804</v>
      </c>
      <c r="C820" s="224"/>
      <c r="D820" s="213"/>
      <c r="E820" s="215"/>
      <c r="F820" s="214"/>
      <c r="G820" s="214"/>
      <c r="H820" s="74" t="str">
        <f t="shared" si="26"/>
        <v/>
      </c>
      <c r="I820" s="188" t="str">
        <f t="shared" si="27"/>
        <v/>
      </c>
      <c r="J820" s="221"/>
    </row>
    <row r="821" spans="1:10" s="90" customFormat="1" ht="14.25" hidden="1" x14ac:dyDescent="0.3">
      <c r="A821" s="141"/>
      <c r="B821" s="160">
        <v>805</v>
      </c>
      <c r="C821" s="224"/>
      <c r="D821" s="213"/>
      <c r="E821" s="215"/>
      <c r="F821" s="214"/>
      <c r="G821" s="214"/>
      <c r="H821" s="74" t="str">
        <f t="shared" si="26"/>
        <v/>
      </c>
      <c r="I821" s="188" t="str">
        <f t="shared" si="27"/>
        <v/>
      </c>
      <c r="J821" s="221"/>
    </row>
    <row r="822" spans="1:10" s="90" customFormat="1" ht="14.25" hidden="1" x14ac:dyDescent="0.3">
      <c r="A822" s="141"/>
      <c r="B822" s="160">
        <v>806</v>
      </c>
      <c r="C822" s="224"/>
      <c r="D822" s="241"/>
      <c r="E822" s="215"/>
      <c r="F822" s="217"/>
      <c r="G822" s="218"/>
      <c r="H822" s="74" t="str">
        <f t="shared" si="26"/>
        <v/>
      </c>
      <c r="I822" s="188" t="str">
        <f t="shared" si="27"/>
        <v/>
      </c>
      <c r="J822" s="221"/>
    </row>
    <row r="823" spans="1:10" s="90" customFormat="1" ht="14.25" hidden="1" x14ac:dyDescent="0.3">
      <c r="A823" s="141"/>
      <c r="B823" s="160">
        <v>807</v>
      </c>
      <c r="C823" s="224"/>
      <c r="D823" s="213"/>
      <c r="E823" s="215"/>
      <c r="F823" s="214"/>
      <c r="G823" s="214"/>
      <c r="H823" s="74" t="str">
        <f t="shared" si="26"/>
        <v/>
      </c>
      <c r="I823" s="188" t="str">
        <f t="shared" si="27"/>
        <v/>
      </c>
      <c r="J823" s="221"/>
    </row>
    <row r="824" spans="1:10" s="90" customFormat="1" ht="14.25" hidden="1" x14ac:dyDescent="0.3">
      <c r="A824" s="141"/>
      <c r="B824" s="160">
        <v>808</v>
      </c>
      <c r="C824" s="224"/>
      <c r="D824" s="213"/>
      <c r="E824" s="215"/>
      <c r="F824" s="214"/>
      <c r="G824" s="214"/>
      <c r="H824" s="74" t="str">
        <f t="shared" si="26"/>
        <v/>
      </c>
      <c r="I824" s="188" t="str">
        <f t="shared" si="27"/>
        <v/>
      </c>
      <c r="J824" s="221"/>
    </row>
    <row r="825" spans="1:10" s="90" customFormat="1" ht="14.25" hidden="1" x14ac:dyDescent="0.3">
      <c r="A825" s="141"/>
      <c r="B825" s="160">
        <v>809</v>
      </c>
      <c r="C825" s="224"/>
      <c r="D825" s="216"/>
      <c r="E825" s="215"/>
      <c r="F825" s="217"/>
      <c r="G825" s="218"/>
      <c r="H825" s="74" t="str">
        <f t="shared" si="26"/>
        <v/>
      </c>
      <c r="I825" s="188" t="str">
        <f t="shared" si="27"/>
        <v/>
      </c>
      <c r="J825" s="221"/>
    </row>
    <row r="826" spans="1:10" s="90" customFormat="1" ht="14.25" hidden="1" x14ac:dyDescent="0.3">
      <c r="A826" s="141"/>
      <c r="B826" s="160">
        <v>810</v>
      </c>
      <c r="C826" s="224"/>
      <c r="D826" s="213"/>
      <c r="E826" s="215"/>
      <c r="F826" s="214"/>
      <c r="G826" s="214"/>
      <c r="H826" s="74" t="str">
        <f t="shared" si="26"/>
        <v/>
      </c>
      <c r="I826" s="188" t="str">
        <f t="shared" si="27"/>
        <v/>
      </c>
      <c r="J826" s="221"/>
    </row>
    <row r="827" spans="1:10" s="90" customFormat="1" ht="14.25" hidden="1" x14ac:dyDescent="0.3">
      <c r="A827" s="141"/>
      <c r="B827" s="160">
        <v>811</v>
      </c>
      <c r="C827" s="224"/>
      <c r="D827" s="213"/>
      <c r="E827" s="215"/>
      <c r="F827" s="214"/>
      <c r="G827" s="214"/>
      <c r="H827" s="74" t="str">
        <f t="shared" si="26"/>
        <v/>
      </c>
      <c r="I827" s="188" t="str">
        <f t="shared" si="27"/>
        <v/>
      </c>
      <c r="J827" s="221"/>
    </row>
    <row r="828" spans="1:10" s="90" customFormat="1" ht="14.25" hidden="1" x14ac:dyDescent="0.3">
      <c r="A828" s="141"/>
      <c r="B828" s="160">
        <v>812</v>
      </c>
      <c r="C828" s="224"/>
      <c r="D828" s="216"/>
      <c r="E828" s="215"/>
      <c r="F828" s="217"/>
      <c r="G828" s="218"/>
      <c r="H828" s="74" t="str">
        <f t="shared" si="26"/>
        <v/>
      </c>
      <c r="I828" s="188" t="str">
        <f t="shared" si="27"/>
        <v/>
      </c>
      <c r="J828" s="221"/>
    </row>
    <row r="829" spans="1:10" s="90" customFormat="1" ht="14.25" hidden="1" x14ac:dyDescent="0.3">
      <c r="A829" s="141"/>
      <c r="B829" s="160">
        <v>813</v>
      </c>
      <c r="C829" s="224"/>
      <c r="D829" s="213"/>
      <c r="E829" s="215"/>
      <c r="F829" s="214"/>
      <c r="G829" s="214"/>
      <c r="H829" s="74" t="str">
        <f t="shared" si="26"/>
        <v/>
      </c>
      <c r="I829" s="188" t="str">
        <f t="shared" si="27"/>
        <v/>
      </c>
      <c r="J829" s="221"/>
    </row>
    <row r="830" spans="1:10" s="90" customFormat="1" ht="14.25" hidden="1" x14ac:dyDescent="0.3">
      <c r="A830" s="141"/>
      <c r="B830" s="160">
        <v>814</v>
      </c>
      <c r="C830" s="224"/>
      <c r="D830" s="213"/>
      <c r="E830" s="215"/>
      <c r="F830" s="214"/>
      <c r="G830" s="214"/>
      <c r="H830" s="74" t="str">
        <f t="shared" si="26"/>
        <v/>
      </c>
      <c r="I830" s="188" t="str">
        <f t="shared" si="27"/>
        <v/>
      </c>
      <c r="J830" s="221"/>
    </row>
    <row r="831" spans="1:10" s="90" customFormat="1" ht="14.25" hidden="1" x14ac:dyDescent="0.3">
      <c r="A831" s="141"/>
      <c r="B831" s="160">
        <v>815</v>
      </c>
      <c r="C831" s="224"/>
      <c r="D831" s="216"/>
      <c r="E831" s="215"/>
      <c r="F831" s="214"/>
      <c r="G831" s="214"/>
      <c r="H831" s="74" t="str">
        <f t="shared" si="26"/>
        <v/>
      </c>
      <c r="I831" s="188" t="str">
        <f t="shared" si="27"/>
        <v/>
      </c>
      <c r="J831" s="221"/>
    </row>
    <row r="832" spans="1:10" s="90" customFormat="1" ht="14.25" hidden="1" x14ac:dyDescent="0.3">
      <c r="A832" s="141"/>
      <c r="B832" s="160">
        <v>816</v>
      </c>
      <c r="C832" s="224"/>
      <c r="D832" s="213"/>
      <c r="E832" s="215"/>
      <c r="F832" s="214"/>
      <c r="G832" s="214"/>
      <c r="H832" s="74" t="str">
        <f t="shared" si="26"/>
        <v/>
      </c>
      <c r="I832" s="188" t="str">
        <f t="shared" si="27"/>
        <v/>
      </c>
      <c r="J832" s="221"/>
    </row>
    <row r="833" spans="1:10" s="90" customFormat="1" ht="14.25" hidden="1" x14ac:dyDescent="0.3">
      <c r="A833" s="141"/>
      <c r="B833" s="160">
        <v>817</v>
      </c>
      <c r="C833" s="224"/>
      <c r="D833" s="216"/>
      <c r="E833" s="215"/>
      <c r="F833" s="217"/>
      <c r="G833" s="218"/>
      <c r="H833" s="74" t="str">
        <f t="shared" si="26"/>
        <v/>
      </c>
      <c r="I833" s="188" t="str">
        <f t="shared" si="27"/>
        <v/>
      </c>
      <c r="J833" s="221"/>
    </row>
    <row r="834" spans="1:10" s="90" customFormat="1" ht="14.25" hidden="1" x14ac:dyDescent="0.3">
      <c r="A834" s="141"/>
      <c r="B834" s="160">
        <v>818</v>
      </c>
      <c r="C834" s="224"/>
      <c r="D834" s="213"/>
      <c r="E834" s="215"/>
      <c r="F834" s="214"/>
      <c r="G834" s="214"/>
      <c r="H834" s="74" t="str">
        <f t="shared" si="26"/>
        <v/>
      </c>
      <c r="I834" s="188" t="str">
        <f t="shared" si="27"/>
        <v/>
      </c>
      <c r="J834" s="221"/>
    </row>
    <row r="835" spans="1:10" s="90" customFormat="1" ht="14.25" hidden="1" x14ac:dyDescent="0.3">
      <c r="A835" s="141"/>
      <c r="B835" s="160">
        <v>819</v>
      </c>
      <c r="C835" s="224"/>
      <c r="D835" s="213"/>
      <c r="E835" s="215"/>
      <c r="F835" s="214"/>
      <c r="G835" s="214"/>
      <c r="H835" s="74" t="str">
        <f t="shared" si="26"/>
        <v/>
      </c>
      <c r="I835" s="188" t="str">
        <f t="shared" si="27"/>
        <v/>
      </c>
      <c r="J835" s="221"/>
    </row>
    <row r="836" spans="1:10" s="90" customFormat="1" ht="14.25" hidden="1" x14ac:dyDescent="0.3">
      <c r="A836" s="141"/>
      <c r="B836" s="160">
        <v>820</v>
      </c>
      <c r="C836" s="224"/>
      <c r="D836" s="216"/>
      <c r="E836" s="215"/>
      <c r="F836" s="217"/>
      <c r="G836" s="218"/>
      <c r="H836" s="74" t="str">
        <f t="shared" si="26"/>
        <v/>
      </c>
      <c r="I836" s="188" t="str">
        <f t="shared" si="27"/>
        <v/>
      </c>
      <c r="J836" s="221"/>
    </row>
    <row r="837" spans="1:10" s="90" customFormat="1" ht="14.25" hidden="1" x14ac:dyDescent="0.3">
      <c r="A837" s="141"/>
      <c r="B837" s="160">
        <v>821</v>
      </c>
      <c r="C837" s="224"/>
      <c r="D837" s="213"/>
      <c r="E837" s="215"/>
      <c r="F837" s="217"/>
      <c r="G837" s="218"/>
      <c r="H837" s="74" t="str">
        <f t="shared" si="26"/>
        <v/>
      </c>
      <c r="I837" s="188" t="str">
        <f t="shared" si="27"/>
        <v/>
      </c>
      <c r="J837" s="221"/>
    </row>
    <row r="838" spans="1:10" s="90" customFormat="1" ht="14.25" hidden="1" x14ac:dyDescent="0.3">
      <c r="A838" s="141"/>
      <c r="B838" s="160">
        <v>822</v>
      </c>
      <c r="C838" s="224"/>
      <c r="D838" s="213"/>
      <c r="E838" s="215"/>
      <c r="F838" s="217"/>
      <c r="G838" s="218"/>
      <c r="H838" s="74" t="str">
        <f t="shared" si="26"/>
        <v/>
      </c>
      <c r="I838" s="188" t="str">
        <f t="shared" si="27"/>
        <v/>
      </c>
      <c r="J838" s="221"/>
    </row>
    <row r="839" spans="1:10" s="90" customFormat="1" ht="14.25" hidden="1" x14ac:dyDescent="0.3">
      <c r="A839" s="141"/>
      <c r="B839" s="160">
        <v>823</v>
      </c>
      <c r="C839" s="224"/>
      <c r="D839" s="213"/>
      <c r="E839" s="215"/>
      <c r="F839" s="214"/>
      <c r="G839" s="214"/>
      <c r="H839" s="74" t="str">
        <f t="shared" si="26"/>
        <v/>
      </c>
      <c r="I839" s="188" t="str">
        <f t="shared" si="27"/>
        <v/>
      </c>
      <c r="J839" s="221"/>
    </row>
    <row r="840" spans="1:10" s="90" customFormat="1" ht="14.25" hidden="1" x14ac:dyDescent="0.3">
      <c r="A840" s="141"/>
      <c r="B840" s="160">
        <v>824</v>
      </c>
      <c r="C840" s="224"/>
      <c r="D840" s="241"/>
      <c r="E840" s="215"/>
      <c r="F840" s="214"/>
      <c r="G840" s="214"/>
      <c r="H840" s="74" t="str">
        <f t="shared" si="26"/>
        <v/>
      </c>
      <c r="I840" s="188" t="str">
        <f t="shared" si="27"/>
        <v/>
      </c>
      <c r="J840" s="221"/>
    </row>
    <row r="841" spans="1:10" s="90" customFormat="1" ht="14.25" hidden="1" x14ac:dyDescent="0.3">
      <c r="A841" s="141"/>
      <c r="B841" s="160">
        <v>825</v>
      </c>
      <c r="C841" s="224"/>
      <c r="D841" s="213"/>
      <c r="E841" s="215"/>
      <c r="F841" s="217"/>
      <c r="G841" s="218"/>
      <c r="H841" s="74" t="str">
        <f t="shared" si="26"/>
        <v/>
      </c>
      <c r="I841" s="188" t="str">
        <f t="shared" si="27"/>
        <v/>
      </c>
      <c r="J841" s="221"/>
    </row>
    <row r="842" spans="1:10" s="90" customFormat="1" ht="14.25" hidden="1" x14ac:dyDescent="0.3">
      <c r="A842" s="141"/>
      <c r="B842" s="160">
        <v>826</v>
      </c>
      <c r="C842" s="224"/>
      <c r="D842" s="216"/>
      <c r="E842" s="215"/>
      <c r="F842" s="214"/>
      <c r="G842" s="214"/>
      <c r="H842" s="74" t="str">
        <f t="shared" si="26"/>
        <v/>
      </c>
      <c r="I842" s="188" t="str">
        <f t="shared" si="27"/>
        <v/>
      </c>
      <c r="J842" s="221"/>
    </row>
    <row r="843" spans="1:10" s="90" customFormat="1" ht="14.25" hidden="1" x14ac:dyDescent="0.3">
      <c r="A843" s="141"/>
      <c r="B843" s="160">
        <v>827</v>
      </c>
      <c r="C843" s="224"/>
      <c r="D843" s="213"/>
      <c r="E843" s="215"/>
      <c r="F843" s="214"/>
      <c r="G843" s="214"/>
      <c r="H843" s="74" t="str">
        <f t="shared" si="26"/>
        <v/>
      </c>
      <c r="I843" s="188" t="str">
        <f t="shared" si="27"/>
        <v/>
      </c>
      <c r="J843" s="221"/>
    </row>
    <row r="844" spans="1:10" s="90" customFormat="1" ht="14.25" hidden="1" x14ac:dyDescent="0.3">
      <c r="A844" s="141"/>
      <c r="B844" s="160">
        <v>828</v>
      </c>
      <c r="C844" s="224"/>
      <c r="D844" s="216"/>
      <c r="E844" s="215"/>
      <c r="F844" s="217"/>
      <c r="G844" s="218"/>
      <c r="H844" s="74" t="str">
        <f t="shared" si="26"/>
        <v/>
      </c>
      <c r="I844" s="188" t="str">
        <f t="shared" si="27"/>
        <v/>
      </c>
      <c r="J844" s="221"/>
    </row>
    <row r="845" spans="1:10" s="90" customFormat="1" ht="14.25" hidden="1" x14ac:dyDescent="0.3">
      <c r="A845" s="141"/>
      <c r="B845" s="160">
        <v>829</v>
      </c>
      <c r="C845" s="224"/>
      <c r="D845" s="213"/>
      <c r="E845" s="215"/>
      <c r="F845" s="214"/>
      <c r="G845" s="214"/>
      <c r="H845" s="74" t="str">
        <f t="shared" si="26"/>
        <v/>
      </c>
      <c r="I845" s="188" t="str">
        <f t="shared" si="27"/>
        <v/>
      </c>
      <c r="J845" s="221"/>
    </row>
    <row r="846" spans="1:10" s="90" customFormat="1" ht="14.25" hidden="1" x14ac:dyDescent="0.3">
      <c r="A846" s="141"/>
      <c r="B846" s="160">
        <v>830</v>
      </c>
      <c r="C846" s="224"/>
      <c r="D846" s="213"/>
      <c r="E846" s="215"/>
      <c r="F846" s="214"/>
      <c r="G846" s="214"/>
      <c r="H846" s="74" t="str">
        <f t="shared" si="26"/>
        <v/>
      </c>
      <c r="I846" s="188" t="str">
        <f t="shared" si="27"/>
        <v/>
      </c>
      <c r="J846" s="221"/>
    </row>
    <row r="847" spans="1:10" s="90" customFormat="1" ht="14.25" hidden="1" x14ac:dyDescent="0.3">
      <c r="A847" s="141"/>
      <c r="B847" s="160">
        <v>831</v>
      </c>
      <c r="C847" s="224"/>
      <c r="D847" s="216"/>
      <c r="E847" s="215"/>
      <c r="F847" s="217"/>
      <c r="G847" s="218"/>
      <c r="H847" s="74" t="str">
        <f t="shared" si="26"/>
        <v/>
      </c>
      <c r="I847" s="188" t="str">
        <f t="shared" si="27"/>
        <v/>
      </c>
      <c r="J847" s="221"/>
    </row>
    <row r="848" spans="1:10" s="90" customFormat="1" ht="14.25" hidden="1" x14ac:dyDescent="0.3">
      <c r="A848" s="141"/>
      <c r="B848" s="160">
        <v>832</v>
      </c>
      <c r="C848" s="224"/>
      <c r="D848" s="213"/>
      <c r="E848" s="215"/>
      <c r="F848" s="214"/>
      <c r="G848" s="214"/>
      <c r="H848" s="74" t="str">
        <f t="shared" si="26"/>
        <v/>
      </c>
      <c r="I848" s="188" t="str">
        <f t="shared" si="27"/>
        <v/>
      </c>
      <c r="J848" s="221"/>
    </row>
    <row r="849" spans="1:10" s="90" customFormat="1" ht="14.25" hidden="1" x14ac:dyDescent="0.3">
      <c r="A849" s="141"/>
      <c r="B849" s="160">
        <v>833</v>
      </c>
      <c r="C849" s="224"/>
      <c r="D849" s="213"/>
      <c r="E849" s="215"/>
      <c r="F849" s="214"/>
      <c r="G849" s="214"/>
      <c r="H849" s="74" t="str">
        <f t="shared" ref="H849:H912" si="28">ObterComplexidadeFuncao(E849,F849,G849)</f>
        <v/>
      </c>
      <c r="I849" s="188" t="str">
        <f t="shared" si="27"/>
        <v/>
      </c>
      <c r="J849" s="221"/>
    </row>
    <row r="850" spans="1:10" s="90" customFormat="1" ht="14.25" hidden="1" x14ac:dyDescent="0.3">
      <c r="A850" s="141"/>
      <c r="B850" s="160">
        <v>834</v>
      </c>
      <c r="C850" s="224"/>
      <c r="D850" s="216"/>
      <c r="E850" s="215"/>
      <c r="F850" s="217"/>
      <c r="G850" s="218"/>
      <c r="H850" s="74" t="str">
        <f t="shared" si="28"/>
        <v/>
      </c>
      <c r="I850" s="188" t="str">
        <f t="shared" ref="I850:I913" si="29">ObterContribuicaoFuncao(E850,H850)</f>
        <v/>
      </c>
      <c r="J850" s="221"/>
    </row>
    <row r="851" spans="1:10" s="90" customFormat="1" ht="14.25" hidden="1" x14ac:dyDescent="0.3">
      <c r="A851" s="141"/>
      <c r="B851" s="160">
        <v>835</v>
      </c>
      <c r="C851" s="224"/>
      <c r="D851" s="216"/>
      <c r="E851" s="215"/>
      <c r="F851" s="214"/>
      <c r="G851" s="214"/>
      <c r="H851" s="74" t="str">
        <f t="shared" si="28"/>
        <v/>
      </c>
      <c r="I851" s="188" t="str">
        <f t="shared" si="29"/>
        <v/>
      </c>
      <c r="J851" s="221"/>
    </row>
    <row r="852" spans="1:10" s="90" customFormat="1" ht="14.25" hidden="1" x14ac:dyDescent="0.3">
      <c r="A852" s="141"/>
      <c r="B852" s="160">
        <v>836</v>
      </c>
      <c r="C852" s="224"/>
      <c r="D852" s="213"/>
      <c r="E852" s="215"/>
      <c r="F852" s="214"/>
      <c r="G852" s="214"/>
      <c r="H852" s="74" t="str">
        <f t="shared" si="28"/>
        <v/>
      </c>
      <c r="I852" s="188" t="str">
        <f t="shared" si="29"/>
        <v/>
      </c>
      <c r="J852" s="221"/>
    </row>
    <row r="853" spans="1:10" s="90" customFormat="1" ht="14.25" hidden="1" x14ac:dyDescent="0.3">
      <c r="A853" s="141"/>
      <c r="B853" s="160">
        <v>837</v>
      </c>
      <c r="C853" s="224"/>
      <c r="D853" s="213"/>
      <c r="E853" s="215"/>
      <c r="F853" s="217"/>
      <c r="G853" s="218"/>
      <c r="H853" s="74" t="str">
        <f t="shared" si="28"/>
        <v/>
      </c>
      <c r="I853" s="188" t="str">
        <f t="shared" si="29"/>
        <v/>
      </c>
      <c r="J853" s="221"/>
    </row>
    <row r="854" spans="1:10" s="90" customFormat="1" ht="14.25" hidden="1" x14ac:dyDescent="0.3">
      <c r="A854" s="141"/>
      <c r="B854" s="160">
        <v>838</v>
      </c>
      <c r="C854" s="224"/>
      <c r="D854" s="213"/>
      <c r="E854" s="215"/>
      <c r="F854" s="214"/>
      <c r="G854" s="214"/>
      <c r="H854" s="74" t="str">
        <f t="shared" si="28"/>
        <v/>
      </c>
      <c r="I854" s="188" t="str">
        <f t="shared" si="29"/>
        <v/>
      </c>
      <c r="J854" s="221"/>
    </row>
    <row r="855" spans="1:10" s="90" customFormat="1" ht="14.25" hidden="1" x14ac:dyDescent="0.3">
      <c r="A855" s="141"/>
      <c r="B855" s="160">
        <v>839</v>
      </c>
      <c r="C855" s="224"/>
      <c r="D855" s="213"/>
      <c r="E855" s="215"/>
      <c r="F855" s="214"/>
      <c r="G855" s="214"/>
      <c r="H855" s="74" t="str">
        <f t="shared" si="28"/>
        <v/>
      </c>
      <c r="I855" s="188" t="str">
        <f t="shared" si="29"/>
        <v/>
      </c>
      <c r="J855" s="221"/>
    </row>
    <row r="856" spans="1:10" s="90" customFormat="1" ht="14.25" hidden="1" x14ac:dyDescent="0.3">
      <c r="A856" s="141"/>
      <c r="B856" s="160">
        <v>840</v>
      </c>
      <c r="C856" s="224"/>
      <c r="D856" s="216"/>
      <c r="E856" s="215"/>
      <c r="F856" s="217"/>
      <c r="G856" s="218"/>
      <c r="H856" s="74" t="str">
        <f t="shared" si="28"/>
        <v/>
      </c>
      <c r="I856" s="188" t="str">
        <f t="shared" si="29"/>
        <v/>
      </c>
      <c r="J856" s="221"/>
    </row>
    <row r="857" spans="1:10" s="90" customFormat="1" ht="14.25" hidden="1" x14ac:dyDescent="0.3">
      <c r="A857" s="141"/>
      <c r="B857" s="160">
        <v>841</v>
      </c>
      <c r="C857" s="224"/>
      <c r="D857" s="216"/>
      <c r="E857" s="215"/>
      <c r="F857" s="214"/>
      <c r="G857" s="214"/>
      <c r="H857" s="74" t="str">
        <f t="shared" si="28"/>
        <v/>
      </c>
      <c r="I857" s="188" t="str">
        <f t="shared" si="29"/>
        <v/>
      </c>
      <c r="J857" s="221"/>
    </row>
    <row r="858" spans="1:10" s="90" customFormat="1" ht="14.25" hidden="1" x14ac:dyDescent="0.3">
      <c r="A858" s="141"/>
      <c r="B858" s="160">
        <v>842</v>
      </c>
      <c r="C858" s="224"/>
      <c r="D858" s="213"/>
      <c r="E858" s="215"/>
      <c r="F858" s="214"/>
      <c r="G858" s="214"/>
      <c r="H858" s="74" t="str">
        <f t="shared" si="28"/>
        <v/>
      </c>
      <c r="I858" s="188" t="str">
        <f t="shared" si="29"/>
        <v/>
      </c>
      <c r="J858" s="221"/>
    </row>
    <row r="859" spans="1:10" s="90" customFormat="1" ht="14.25" hidden="1" x14ac:dyDescent="0.3">
      <c r="A859" s="141"/>
      <c r="B859" s="160">
        <v>843</v>
      </c>
      <c r="C859" s="224"/>
      <c r="D859" s="213"/>
      <c r="E859" s="215"/>
      <c r="F859" s="214"/>
      <c r="G859" s="214"/>
      <c r="H859" s="74" t="str">
        <f t="shared" si="28"/>
        <v/>
      </c>
      <c r="I859" s="188" t="str">
        <f t="shared" si="29"/>
        <v/>
      </c>
      <c r="J859" s="221"/>
    </row>
    <row r="860" spans="1:10" s="90" customFormat="1" ht="14.25" hidden="1" x14ac:dyDescent="0.3">
      <c r="A860" s="141"/>
      <c r="B860" s="160">
        <v>844</v>
      </c>
      <c r="C860" s="224"/>
      <c r="D860" s="216"/>
      <c r="E860" s="215"/>
      <c r="F860" s="214"/>
      <c r="G860" s="214"/>
      <c r="H860" s="74" t="str">
        <f t="shared" si="28"/>
        <v/>
      </c>
      <c r="I860" s="188" t="str">
        <f t="shared" si="29"/>
        <v/>
      </c>
      <c r="J860" s="221"/>
    </row>
    <row r="861" spans="1:10" s="90" customFormat="1" ht="14.25" hidden="1" x14ac:dyDescent="0.3">
      <c r="A861" s="141"/>
      <c r="B861" s="160">
        <v>845</v>
      </c>
      <c r="C861" s="224"/>
      <c r="D861" s="213"/>
      <c r="E861" s="215"/>
      <c r="F861" s="214"/>
      <c r="G861" s="214"/>
      <c r="H861" s="74" t="str">
        <f t="shared" si="28"/>
        <v/>
      </c>
      <c r="I861" s="188" t="str">
        <f t="shared" si="29"/>
        <v/>
      </c>
      <c r="J861" s="221"/>
    </row>
    <row r="862" spans="1:10" s="90" customFormat="1" ht="14.25" hidden="1" x14ac:dyDescent="0.3">
      <c r="A862" s="141"/>
      <c r="B862" s="160">
        <v>846</v>
      </c>
      <c r="C862" s="224"/>
      <c r="D862" s="216"/>
      <c r="E862" s="215"/>
      <c r="F862" s="217"/>
      <c r="G862" s="218"/>
      <c r="H862" s="74" t="str">
        <f t="shared" si="28"/>
        <v/>
      </c>
      <c r="I862" s="188" t="str">
        <f t="shared" si="29"/>
        <v/>
      </c>
      <c r="J862" s="221"/>
    </row>
    <row r="863" spans="1:10" s="90" customFormat="1" ht="14.25" hidden="1" x14ac:dyDescent="0.3">
      <c r="A863" s="141"/>
      <c r="B863" s="160">
        <v>847</v>
      </c>
      <c r="C863" s="224"/>
      <c r="D863" s="213"/>
      <c r="E863" s="215"/>
      <c r="F863" s="214"/>
      <c r="G863" s="214"/>
      <c r="H863" s="74" t="str">
        <f t="shared" si="28"/>
        <v/>
      </c>
      <c r="I863" s="188" t="str">
        <f t="shared" si="29"/>
        <v/>
      </c>
      <c r="J863" s="221"/>
    </row>
    <row r="864" spans="1:10" s="90" customFormat="1" ht="14.25" hidden="1" x14ac:dyDescent="0.3">
      <c r="A864" s="141"/>
      <c r="B864" s="160">
        <v>848</v>
      </c>
      <c r="C864" s="224"/>
      <c r="D864" s="213"/>
      <c r="E864" s="215"/>
      <c r="F864" s="214"/>
      <c r="G864" s="214"/>
      <c r="H864" s="74" t="str">
        <f t="shared" si="28"/>
        <v/>
      </c>
      <c r="I864" s="188" t="str">
        <f t="shared" si="29"/>
        <v/>
      </c>
      <c r="J864" s="221"/>
    </row>
    <row r="865" spans="1:10" s="90" customFormat="1" ht="14.25" hidden="1" x14ac:dyDescent="0.3">
      <c r="A865" s="141"/>
      <c r="B865" s="160">
        <v>849</v>
      </c>
      <c r="C865" s="224"/>
      <c r="D865" s="241"/>
      <c r="E865" s="215"/>
      <c r="F865" s="214"/>
      <c r="G865" s="214"/>
      <c r="H865" s="74" t="str">
        <f t="shared" si="28"/>
        <v/>
      </c>
      <c r="I865" s="188" t="str">
        <f t="shared" si="29"/>
        <v/>
      </c>
      <c r="J865" s="221"/>
    </row>
    <row r="866" spans="1:10" s="90" customFormat="1" ht="14.25" hidden="1" x14ac:dyDescent="0.3">
      <c r="A866" s="141"/>
      <c r="B866" s="160">
        <v>850</v>
      </c>
      <c r="C866" s="224"/>
      <c r="D866" s="213"/>
      <c r="E866" s="215"/>
      <c r="F866" s="214"/>
      <c r="G866" s="214"/>
      <c r="H866" s="74" t="str">
        <f t="shared" si="28"/>
        <v/>
      </c>
      <c r="I866" s="188" t="str">
        <f t="shared" si="29"/>
        <v/>
      </c>
      <c r="J866" s="221"/>
    </row>
    <row r="867" spans="1:10" s="90" customFormat="1" ht="14.25" hidden="1" x14ac:dyDescent="0.3">
      <c r="A867" s="141"/>
      <c r="B867" s="160">
        <v>851</v>
      </c>
      <c r="C867" s="224"/>
      <c r="D867" s="213"/>
      <c r="E867" s="215"/>
      <c r="F867" s="214"/>
      <c r="G867" s="214"/>
      <c r="H867" s="74" t="str">
        <f t="shared" si="28"/>
        <v/>
      </c>
      <c r="I867" s="188" t="str">
        <f t="shared" si="29"/>
        <v/>
      </c>
      <c r="J867" s="221"/>
    </row>
    <row r="868" spans="1:10" s="90" customFormat="1" ht="14.25" hidden="1" x14ac:dyDescent="0.3">
      <c r="A868" s="141"/>
      <c r="B868" s="160">
        <v>852</v>
      </c>
      <c r="C868" s="224"/>
      <c r="D868" s="216"/>
      <c r="E868" s="215"/>
      <c r="F868" s="217"/>
      <c r="G868" s="218"/>
      <c r="H868" s="74" t="str">
        <f t="shared" si="28"/>
        <v/>
      </c>
      <c r="I868" s="188" t="str">
        <f t="shared" si="29"/>
        <v/>
      </c>
      <c r="J868" s="221"/>
    </row>
    <row r="869" spans="1:10" s="90" customFormat="1" ht="14.25" hidden="1" x14ac:dyDescent="0.3">
      <c r="A869" s="141"/>
      <c r="B869" s="160">
        <v>853</v>
      </c>
      <c r="C869" s="224"/>
      <c r="D869" s="213"/>
      <c r="E869" s="215"/>
      <c r="F869" s="214"/>
      <c r="G869" s="214"/>
      <c r="H869" s="74" t="str">
        <f t="shared" si="28"/>
        <v/>
      </c>
      <c r="I869" s="188" t="str">
        <f t="shared" si="29"/>
        <v/>
      </c>
      <c r="J869" s="221"/>
    </row>
    <row r="870" spans="1:10" s="90" customFormat="1" ht="14.25" hidden="1" x14ac:dyDescent="0.3">
      <c r="A870" s="141"/>
      <c r="B870" s="160">
        <v>854</v>
      </c>
      <c r="C870" s="224"/>
      <c r="D870" s="213"/>
      <c r="E870" s="215"/>
      <c r="F870" s="214"/>
      <c r="G870" s="214"/>
      <c r="H870" s="74" t="str">
        <f t="shared" si="28"/>
        <v/>
      </c>
      <c r="I870" s="188" t="str">
        <f t="shared" si="29"/>
        <v/>
      </c>
      <c r="J870" s="221"/>
    </row>
    <row r="871" spans="1:10" s="90" customFormat="1" ht="14.25" hidden="1" x14ac:dyDescent="0.3">
      <c r="A871" s="141"/>
      <c r="B871" s="160">
        <v>855</v>
      </c>
      <c r="C871" s="224"/>
      <c r="D871" s="216"/>
      <c r="E871" s="215"/>
      <c r="F871" s="214"/>
      <c r="G871" s="214"/>
      <c r="H871" s="74" t="str">
        <f t="shared" si="28"/>
        <v/>
      </c>
      <c r="I871" s="188" t="str">
        <f t="shared" si="29"/>
        <v/>
      </c>
      <c r="J871" s="221"/>
    </row>
    <row r="872" spans="1:10" s="90" customFormat="1" ht="14.25" hidden="1" x14ac:dyDescent="0.3">
      <c r="A872" s="141"/>
      <c r="B872" s="160">
        <v>856</v>
      </c>
      <c r="C872" s="224"/>
      <c r="D872" s="213"/>
      <c r="E872" s="215"/>
      <c r="F872" s="214"/>
      <c r="G872" s="214"/>
      <c r="H872" s="74" t="str">
        <f t="shared" si="28"/>
        <v/>
      </c>
      <c r="I872" s="188" t="str">
        <f t="shared" si="29"/>
        <v/>
      </c>
      <c r="J872" s="221"/>
    </row>
    <row r="873" spans="1:10" s="90" customFormat="1" ht="14.25" hidden="1" x14ac:dyDescent="0.3">
      <c r="A873" s="141"/>
      <c r="B873" s="160">
        <v>857</v>
      </c>
      <c r="C873" s="224"/>
      <c r="D873" s="213"/>
      <c r="E873" s="215"/>
      <c r="F873" s="214"/>
      <c r="G873" s="214"/>
      <c r="H873" s="74" t="str">
        <f t="shared" si="28"/>
        <v/>
      </c>
      <c r="I873" s="188" t="str">
        <f t="shared" si="29"/>
        <v/>
      </c>
      <c r="J873" s="221"/>
    </row>
    <row r="874" spans="1:10" s="90" customFormat="1" ht="14.25" hidden="1" x14ac:dyDescent="0.3">
      <c r="A874" s="141"/>
      <c r="B874" s="160">
        <v>858</v>
      </c>
      <c r="C874" s="224"/>
      <c r="D874" s="216"/>
      <c r="E874" s="215"/>
      <c r="F874" s="217"/>
      <c r="G874" s="218"/>
      <c r="H874" s="74" t="str">
        <f t="shared" si="28"/>
        <v/>
      </c>
      <c r="I874" s="188" t="str">
        <f t="shared" si="29"/>
        <v/>
      </c>
      <c r="J874" s="221"/>
    </row>
    <row r="875" spans="1:10" s="90" customFormat="1" ht="14.25" hidden="1" x14ac:dyDescent="0.3">
      <c r="A875" s="141"/>
      <c r="B875" s="160">
        <v>859</v>
      </c>
      <c r="C875" s="224"/>
      <c r="D875" s="213"/>
      <c r="E875" s="215"/>
      <c r="F875" s="214"/>
      <c r="G875" s="214"/>
      <c r="H875" s="74" t="str">
        <f t="shared" si="28"/>
        <v/>
      </c>
      <c r="I875" s="188" t="str">
        <f t="shared" si="29"/>
        <v/>
      </c>
      <c r="J875" s="221"/>
    </row>
    <row r="876" spans="1:10" s="90" customFormat="1" ht="14.25" hidden="1" x14ac:dyDescent="0.3">
      <c r="A876" s="141"/>
      <c r="B876" s="160">
        <v>860</v>
      </c>
      <c r="C876" s="224"/>
      <c r="D876" s="242"/>
      <c r="E876" s="215"/>
      <c r="F876" s="214"/>
      <c r="G876" s="214"/>
      <c r="H876" s="74" t="str">
        <f t="shared" si="28"/>
        <v/>
      </c>
      <c r="I876" s="188" t="str">
        <f t="shared" si="29"/>
        <v/>
      </c>
      <c r="J876" s="221"/>
    </row>
    <row r="877" spans="1:10" s="90" customFormat="1" ht="14.25" hidden="1" x14ac:dyDescent="0.3">
      <c r="A877" s="141"/>
      <c r="B877" s="160">
        <v>861</v>
      </c>
      <c r="C877" s="224"/>
      <c r="D877" s="216"/>
      <c r="E877" s="215"/>
      <c r="F877" s="217"/>
      <c r="G877" s="218"/>
      <c r="H877" s="74" t="str">
        <f t="shared" si="28"/>
        <v/>
      </c>
      <c r="I877" s="188" t="str">
        <f t="shared" si="29"/>
        <v/>
      </c>
      <c r="J877" s="221"/>
    </row>
    <row r="878" spans="1:10" s="90" customFormat="1" ht="14.25" hidden="1" x14ac:dyDescent="0.3">
      <c r="A878" s="141"/>
      <c r="B878" s="160">
        <v>862</v>
      </c>
      <c r="C878" s="224"/>
      <c r="D878" s="213"/>
      <c r="E878" s="215"/>
      <c r="F878" s="214"/>
      <c r="G878" s="214"/>
      <c r="H878" s="74" t="str">
        <f t="shared" si="28"/>
        <v/>
      </c>
      <c r="I878" s="188" t="str">
        <f t="shared" si="29"/>
        <v/>
      </c>
      <c r="J878" s="221"/>
    </row>
    <row r="879" spans="1:10" s="90" customFormat="1" ht="14.25" hidden="1" x14ac:dyDescent="0.3">
      <c r="A879" s="141"/>
      <c r="B879" s="160">
        <v>863</v>
      </c>
      <c r="C879" s="224"/>
      <c r="D879" s="213"/>
      <c r="E879" s="215"/>
      <c r="F879" s="214"/>
      <c r="G879" s="214"/>
      <c r="H879" s="74" t="str">
        <f t="shared" si="28"/>
        <v/>
      </c>
      <c r="I879" s="188" t="str">
        <f t="shared" si="29"/>
        <v/>
      </c>
      <c r="J879" s="221"/>
    </row>
    <row r="880" spans="1:10" s="90" customFormat="1" ht="14.25" hidden="1" x14ac:dyDescent="0.3">
      <c r="A880" s="141"/>
      <c r="B880" s="160">
        <v>864</v>
      </c>
      <c r="C880" s="224"/>
      <c r="D880" s="216"/>
      <c r="E880" s="215"/>
      <c r="F880" s="217"/>
      <c r="G880" s="218"/>
      <c r="H880" s="74" t="str">
        <f t="shared" si="28"/>
        <v/>
      </c>
      <c r="I880" s="188" t="str">
        <f t="shared" si="29"/>
        <v/>
      </c>
      <c r="J880" s="221"/>
    </row>
    <row r="881" spans="1:10" s="90" customFormat="1" ht="14.25" hidden="1" x14ac:dyDescent="0.3">
      <c r="A881" s="141"/>
      <c r="B881" s="160">
        <v>865</v>
      </c>
      <c r="C881" s="224"/>
      <c r="D881" s="213"/>
      <c r="E881" s="215"/>
      <c r="F881" s="214"/>
      <c r="G881" s="214"/>
      <c r="H881" s="74" t="str">
        <f t="shared" si="28"/>
        <v/>
      </c>
      <c r="I881" s="188" t="str">
        <f t="shared" si="29"/>
        <v/>
      </c>
      <c r="J881" s="221"/>
    </row>
    <row r="882" spans="1:10" s="90" customFormat="1" ht="14.25" hidden="1" x14ac:dyDescent="0.3">
      <c r="A882" s="141"/>
      <c r="B882" s="160">
        <v>866</v>
      </c>
      <c r="C882" s="224"/>
      <c r="D882" s="213"/>
      <c r="E882" s="215"/>
      <c r="F882" s="214"/>
      <c r="G882" s="214"/>
      <c r="H882" s="74" t="str">
        <f t="shared" si="28"/>
        <v/>
      </c>
      <c r="I882" s="188" t="str">
        <f t="shared" si="29"/>
        <v/>
      </c>
      <c r="J882" s="221"/>
    </row>
    <row r="883" spans="1:10" s="90" customFormat="1" ht="14.25" hidden="1" x14ac:dyDescent="0.3">
      <c r="A883" s="141"/>
      <c r="B883" s="160">
        <v>867</v>
      </c>
      <c r="C883" s="224"/>
      <c r="D883" s="216"/>
      <c r="E883" s="215"/>
      <c r="F883" s="217"/>
      <c r="G883" s="218"/>
      <c r="H883" s="74" t="str">
        <f t="shared" si="28"/>
        <v/>
      </c>
      <c r="I883" s="188" t="str">
        <f t="shared" si="29"/>
        <v/>
      </c>
      <c r="J883" s="221"/>
    </row>
    <row r="884" spans="1:10" s="90" customFormat="1" ht="14.25" hidden="1" x14ac:dyDescent="0.3">
      <c r="A884" s="141"/>
      <c r="B884" s="160">
        <v>868</v>
      </c>
      <c r="C884" s="224"/>
      <c r="D884" s="213"/>
      <c r="E884" s="215"/>
      <c r="F884" s="214"/>
      <c r="G884" s="214"/>
      <c r="H884" s="74" t="str">
        <f t="shared" si="28"/>
        <v/>
      </c>
      <c r="I884" s="188" t="str">
        <f t="shared" si="29"/>
        <v/>
      </c>
      <c r="J884" s="221"/>
    </row>
    <row r="885" spans="1:10" s="90" customFormat="1" ht="14.25" hidden="1" x14ac:dyDescent="0.3">
      <c r="A885" s="141"/>
      <c r="B885" s="160">
        <v>869</v>
      </c>
      <c r="C885" s="224"/>
      <c r="D885" s="213"/>
      <c r="E885" s="215"/>
      <c r="F885" s="214"/>
      <c r="G885" s="214"/>
      <c r="H885" s="74" t="str">
        <f t="shared" si="28"/>
        <v/>
      </c>
      <c r="I885" s="188" t="str">
        <f t="shared" si="29"/>
        <v/>
      </c>
      <c r="J885" s="221"/>
    </row>
    <row r="886" spans="1:10" s="90" customFormat="1" ht="14.25" hidden="1" x14ac:dyDescent="0.3">
      <c r="A886" s="141"/>
      <c r="B886" s="160">
        <v>870</v>
      </c>
      <c r="C886" s="224"/>
      <c r="D886" s="216"/>
      <c r="E886" s="215"/>
      <c r="F886" s="217"/>
      <c r="G886" s="218"/>
      <c r="H886" s="74" t="str">
        <f t="shared" si="28"/>
        <v/>
      </c>
      <c r="I886" s="188" t="str">
        <f t="shared" si="29"/>
        <v/>
      </c>
      <c r="J886" s="221"/>
    </row>
    <row r="887" spans="1:10" s="90" customFormat="1" ht="14.25" hidden="1" x14ac:dyDescent="0.3">
      <c r="A887" s="141"/>
      <c r="B887" s="160">
        <v>871</v>
      </c>
      <c r="C887" s="224"/>
      <c r="D887" s="213"/>
      <c r="E887" s="215"/>
      <c r="F887" s="214"/>
      <c r="G887" s="214"/>
      <c r="H887" s="74" t="str">
        <f t="shared" si="28"/>
        <v/>
      </c>
      <c r="I887" s="188" t="str">
        <f t="shared" si="29"/>
        <v/>
      </c>
      <c r="J887" s="221"/>
    </row>
    <row r="888" spans="1:10" s="90" customFormat="1" ht="14.25" hidden="1" x14ac:dyDescent="0.3">
      <c r="A888" s="141"/>
      <c r="B888" s="160">
        <v>872</v>
      </c>
      <c r="C888" s="224"/>
      <c r="D888" s="213"/>
      <c r="E888" s="215"/>
      <c r="F888" s="214"/>
      <c r="G888" s="214"/>
      <c r="H888" s="74" t="str">
        <f t="shared" si="28"/>
        <v/>
      </c>
      <c r="I888" s="188" t="str">
        <f t="shared" si="29"/>
        <v/>
      </c>
      <c r="J888" s="221"/>
    </row>
    <row r="889" spans="1:10" s="90" customFormat="1" ht="14.25" hidden="1" x14ac:dyDescent="0.3">
      <c r="A889" s="141"/>
      <c r="B889" s="160">
        <v>873</v>
      </c>
      <c r="C889" s="224"/>
      <c r="D889" s="216"/>
      <c r="E889" s="215"/>
      <c r="F889" s="217"/>
      <c r="G889" s="218"/>
      <c r="H889" s="74" t="str">
        <f t="shared" si="28"/>
        <v/>
      </c>
      <c r="I889" s="188" t="str">
        <f t="shared" si="29"/>
        <v/>
      </c>
      <c r="J889" s="221"/>
    </row>
    <row r="890" spans="1:10" s="90" customFormat="1" ht="14.25" hidden="1" x14ac:dyDescent="0.3">
      <c r="A890" s="141"/>
      <c r="B890" s="160">
        <v>874</v>
      </c>
      <c r="C890" s="224"/>
      <c r="D890" s="213"/>
      <c r="E890" s="215"/>
      <c r="F890" s="214"/>
      <c r="G890" s="214"/>
      <c r="H890" s="74" t="str">
        <f t="shared" si="28"/>
        <v/>
      </c>
      <c r="I890" s="188" t="str">
        <f t="shared" si="29"/>
        <v/>
      </c>
      <c r="J890" s="221"/>
    </row>
    <row r="891" spans="1:10" s="90" customFormat="1" ht="14.25" hidden="1" x14ac:dyDescent="0.3">
      <c r="A891" s="141"/>
      <c r="B891" s="160">
        <v>875</v>
      </c>
      <c r="C891" s="224"/>
      <c r="D891" s="213"/>
      <c r="E891" s="215"/>
      <c r="F891" s="214"/>
      <c r="G891" s="214"/>
      <c r="H891" s="74" t="str">
        <f t="shared" si="28"/>
        <v/>
      </c>
      <c r="I891" s="188" t="str">
        <f t="shared" si="29"/>
        <v/>
      </c>
      <c r="J891" s="221"/>
    </row>
    <row r="892" spans="1:10" s="90" customFormat="1" ht="14.25" hidden="1" x14ac:dyDescent="0.3">
      <c r="A892" s="141"/>
      <c r="B892" s="160">
        <v>876</v>
      </c>
      <c r="C892" s="224"/>
      <c r="D892" s="216"/>
      <c r="E892" s="215"/>
      <c r="F892" s="217"/>
      <c r="G892" s="218"/>
      <c r="H892" s="74" t="str">
        <f t="shared" si="28"/>
        <v/>
      </c>
      <c r="I892" s="188" t="str">
        <f t="shared" si="29"/>
        <v/>
      </c>
      <c r="J892" s="221"/>
    </row>
    <row r="893" spans="1:10" s="90" customFormat="1" ht="14.25" hidden="1" x14ac:dyDescent="0.3">
      <c r="A893" s="141"/>
      <c r="B893" s="160">
        <v>877</v>
      </c>
      <c r="C893" s="224"/>
      <c r="D893" s="213"/>
      <c r="E893" s="215"/>
      <c r="F893" s="214"/>
      <c r="G893" s="214"/>
      <c r="H893" s="74" t="str">
        <f t="shared" si="28"/>
        <v/>
      </c>
      <c r="I893" s="188" t="str">
        <f t="shared" si="29"/>
        <v/>
      </c>
      <c r="J893" s="221"/>
    </row>
    <row r="894" spans="1:10" s="90" customFormat="1" ht="14.25" hidden="1" x14ac:dyDescent="0.3">
      <c r="A894" s="141"/>
      <c r="B894" s="160">
        <v>878</v>
      </c>
      <c r="C894" s="224"/>
      <c r="D894" s="213"/>
      <c r="E894" s="215"/>
      <c r="F894" s="214"/>
      <c r="G894" s="214"/>
      <c r="H894" s="74" t="str">
        <f t="shared" si="28"/>
        <v/>
      </c>
      <c r="I894" s="188" t="str">
        <f t="shared" si="29"/>
        <v/>
      </c>
      <c r="J894" s="221"/>
    </row>
    <row r="895" spans="1:10" s="90" customFormat="1" ht="14.25" hidden="1" x14ac:dyDescent="0.3">
      <c r="A895" s="141"/>
      <c r="B895" s="160">
        <v>879</v>
      </c>
      <c r="C895" s="224"/>
      <c r="D895" s="216"/>
      <c r="E895" s="215"/>
      <c r="F895" s="217"/>
      <c r="G895" s="218"/>
      <c r="H895" s="74" t="str">
        <f t="shared" si="28"/>
        <v/>
      </c>
      <c r="I895" s="188" t="str">
        <f t="shared" si="29"/>
        <v/>
      </c>
      <c r="J895" s="221"/>
    </row>
    <row r="896" spans="1:10" s="90" customFormat="1" ht="14.25" hidden="1" x14ac:dyDescent="0.3">
      <c r="A896" s="141"/>
      <c r="B896" s="160">
        <v>880</v>
      </c>
      <c r="C896" s="224"/>
      <c r="D896" s="213"/>
      <c r="E896" s="215"/>
      <c r="F896" s="214"/>
      <c r="G896" s="214"/>
      <c r="H896" s="74" t="str">
        <f t="shared" si="28"/>
        <v/>
      </c>
      <c r="I896" s="188" t="str">
        <f t="shared" si="29"/>
        <v/>
      </c>
      <c r="J896" s="221"/>
    </row>
    <row r="897" spans="1:10" s="90" customFormat="1" ht="14.25" hidden="1" x14ac:dyDescent="0.3">
      <c r="A897" s="141"/>
      <c r="B897" s="160">
        <v>881</v>
      </c>
      <c r="C897" s="224"/>
      <c r="D897" s="213"/>
      <c r="E897" s="215"/>
      <c r="F897" s="214"/>
      <c r="G897" s="214"/>
      <c r="H897" s="74" t="str">
        <f t="shared" si="28"/>
        <v/>
      </c>
      <c r="I897" s="188" t="str">
        <f t="shared" si="29"/>
        <v/>
      </c>
      <c r="J897" s="221"/>
    </row>
    <row r="898" spans="1:10" s="90" customFormat="1" ht="14.25" hidden="1" x14ac:dyDescent="0.3">
      <c r="A898" s="141"/>
      <c r="B898" s="160">
        <v>882</v>
      </c>
      <c r="C898" s="224"/>
      <c r="D898" s="216"/>
      <c r="E898" s="215"/>
      <c r="F898" s="217"/>
      <c r="G898" s="218"/>
      <c r="H898" s="74" t="str">
        <f t="shared" si="28"/>
        <v/>
      </c>
      <c r="I898" s="188" t="str">
        <f t="shared" si="29"/>
        <v/>
      </c>
      <c r="J898" s="221"/>
    </row>
    <row r="899" spans="1:10" s="90" customFormat="1" ht="14.25" hidden="1" x14ac:dyDescent="0.3">
      <c r="A899" s="141"/>
      <c r="B899" s="160">
        <v>883</v>
      </c>
      <c r="C899" s="224"/>
      <c r="D899" s="213"/>
      <c r="E899" s="215"/>
      <c r="F899" s="214"/>
      <c r="G899" s="214"/>
      <c r="H899" s="74" t="str">
        <f t="shared" si="28"/>
        <v/>
      </c>
      <c r="I899" s="188" t="str">
        <f t="shared" si="29"/>
        <v/>
      </c>
      <c r="J899" s="221"/>
    </row>
    <row r="900" spans="1:10" s="90" customFormat="1" ht="14.25" hidden="1" x14ac:dyDescent="0.3">
      <c r="A900" s="141"/>
      <c r="B900" s="160">
        <v>884</v>
      </c>
      <c r="C900" s="224"/>
      <c r="D900" s="213"/>
      <c r="E900" s="215"/>
      <c r="F900" s="214"/>
      <c r="G900" s="214"/>
      <c r="H900" s="74" t="str">
        <f t="shared" si="28"/>
        <v/>
      </c>
      <c r="I900" s="188" t="str">
        <f t="shared" si="29"/>
        <v/>
      </c>
      <c r="J900" s="221"/>
    </row>
    <row r="901" spans="1:10" s="90" customFormat="1" ht="14.25" hidden="1" x14ac:dyDescent="0.3">
      <c r="A901" s="141"/>
      <c r="B901" s="160">
        <v>885</v>
      </c>
      <c r="C901" s="224"/>
      <c r="D901" s="216"/>
      <c r="E901" s="215"/>
      <c r="F901" s="217"/>
      <c r="G901" s="218"/>
      <c r="H901" s="74" t="str">
        <f t="shared" si="28"/>
        <v/>
      </c>
      <c r="I901" s="188" t="str">
        <f t="shared" si="29"/>
        <v/>
      </c>
      <c r="J901" s="221"/>
    </row>
    <row r="902" spans="1:10" s="90" customFormat="1" ht="14.25" hidden="1" x14ac:dyDescent="0.3">
      <c r="A902" s="141"/>
      <c r="B902" s="160">
        <v>886</v>
      </c>
      <c r="C902" s="224"/>
      <c r="D902" s="213"/>
      <c r="E902" s="215"/>
      <c r="F902" s="214"/>
      <c r="G902" s="214"/>
      <c r="H902" s="74" t="str">
        <f t="shared" si="28"/>
        <v/>
      </c>
      <c r="I902" s="188" t="str">
        <f t="shared" si="29"/>
        <v/>
      </c>
      <c r="J902" s="221"/>
    </row>
    <row r="903" spans="1:10" s="90" customFormat="1" ht="14.25" hidden="1" x14ac:dyDescent="0.3">
      <c r="A903" s="141"/>
      <c r="B903" s="160">
        <v>887</v>
      </c>
      <c r="C903" s="224"/>
      <c r="D903" s="213"/>
      <c r="E903" s="215"/>
      <c r="F903" s="214"/>
      <c r="G903" s="214"/>
      <c r="H903" s="74" t="str">
        <f t="shared" si="28"/>
        <v/>
      </c>
      <c r="I903" s="188" t="str">
        <f t="shared" si="29"/>
        <v/>
      </c>
      <c r="J903" s="221"/>
    </row>
    <row r="904" spans="1:10" s="90" customFormat="1" ht="14.25" hidden="1" x14ac:dyDescent="0.3">
      <c r="A904" s="141"/>
      <c r="B904" s="160">
        <v>888</v>
      </c>
      <c r="C904" s="224"/>
      <c r="D904" s="216"/>
      <c r="E904" s="215"/>
      <c r="F904" s="217"/>
      <c r="G904" s="218"/>
      <c r="H904" s="74" t="str">
        <f t="shared" si="28"/>
        <v/>
      </c>
      <c r="I904" s="188" t="str">
        <f t="shared" si="29"/>
        <v/>
      </c>
      <c r="J904" s="221"/>
    </row>
    <row r="905" spans="1:10" s="90" customFormat="1" ht="14.25" hidden="1" x14ac:dyDescent="0.3">
      <c r="A905" s="141"/>
      <c r="B905" s="160">
        <v>889</v>
      </c>
      <c r="C905" s="224"/>
      <c r="D905" s="213"/>
      <c r="E905" s="215"/>
      <c r="F905" s="214"/>
      <c r="G905" s="214"/>
      <c r="H905" s="74" t="str">
        <f t="shared" si="28"/>
        <v/>
      </c>
      <c r="I905" s="188" t="str">
        <f t="shared" si="29"/>
        <v/>
      </c>
      <c r="J905" s="221"/>
    </row>
    <row r="906" spans="1:10" s="90" customFormat="1" ht="14.25" hidden="1" x14ac:dyDescent="0.3">
      <c r="A906" s="141"/>
      <c r="B906" s="160">
        <v>890</v>
      </c>
      <c r="C906" s="224"/>
      <c r="D906" s="213"/>
      <c r="E906" s="215"/>
      <c r="F906" s="214"/>
      <c r="G906" s="214"/>
      <c r="H906" s="74" t="str">
        <f t="shared" si="28"/>
        <v/>
      </c>
      <c r="I906" s="188" t="str">
        <f t="shared" si="29"/>
        <v/>
      </c>
      <c r="J906" s="221"/>
    </row>
    <row r="907" spans="1:10" s="90" customFormat="1" ht="14.25" hidden="1" x14ac:dyDescent="0.3">
      <c r="A907" s="141"/>
      <c r="B907" s="160">
        <v>891</v>
      </c>
      <c r="C907" s="224"/>
      <c r="D907" s="216"/>
      <c r="E907" s="215"/>
      <c r="F907" s="217"/>
      <c r="G907" s="218"/>
      <c r="H907" s="74" t="str">
        <f t="shared" si="28"/>
        <v/>
      </c>
      <c r="I907" s="188" t="str">
        <f t="shared" si="29"/>
        <v/>
      </c>
      <c r="J907" s="221"/>
    </row>
    <row r="908" spans="1:10" s="90" customFormat="1" ht="14.25" hidden="1" x14ac:dyDescent="0.3">
      <c r="A908" s="141"/>
      <c r="B908" s="160">
        <v>892</v>
      </c>
      <c r="C908" s="224"/>
      <c r="D908" s="213"/>
      <c r="E908" s="215"/>
      <c r="F908" s="214"/>
      <c r="G908" s="214"/>
      <c r="H908" s="74" t="str">
        <f t="shared" si="28"/>
        <v/>
      </c>
      <c r="I908" s="188" t="str">
        <f t="shared" si="29"/>
        <v/>
      </c>
      <c r="J908" s="221"/>
    </row>
    <row r="909" spans="1:10" s="90" customFormat="1" ht="14.25" hidden="1" x14ac:dyDescent="0.3">
      <c r="A909" s="141"/>
      <c r="B909" s="160">
        <v>893</v>
      </c>
      <c r="C909" s="224"/>
      <c r="D909" s="213"/>
      <c r="E909" s="215"/>
      <c r="F909" s="214"/>
      <c r="G909" s="214"/>
      <c r="H909" s="74" t="str">
        <f t="shared" si="28"/>
        <v/>
      </c>
      <c r="I909" s="188" t="str">
        <f t="shared" si="29"/>
        <v/>
      </c>
      <c r="J909" s="221"/>
    </row>
    <row r="910" spans="1:10" s="90" customFormat="1" ht="14.25" hidden="1" x14ac:dyDescent="0.3">
      <c r="A910" s="141"/>
      <c r="B910" s="160">
        <v>894</v>
      </c>
      <c r="C910" s="224"/>
      <c r="D910" s="216"/>
      <c r="E910" s="215"/>
      <c r="F910" s="217"/>
      <c r="G910" s="218"/>
      <c r="H910" s="74" t="str">
        <f t="shared" si="28"/>
        <v/>
      </c>
      <c r="I910" s="188" t="str">
        <f t="shared" si="29"/>
        <v/>
      </c>
      <c r="J910" s="221"/>
    </row>
    <row r="911" spans="1:10" s="90" customFormat="1" ht="14.25" hidden="1" x14ac:dyDescent="0.3">
      <c r="A911" s="141"/>
      <c r="B911" s="160">
        <v>895</v>
      </c>
      <c r="C911" s="224"/>
      <c r="D911" s="213"/>
      <c r="E911" s="215"/>
      <c r="F911" s="214"/>
      <c r="G911" s="214"/>
      <c r="H911" s="74" t="str">
        <f t="shared" si="28"/>
        <v/>
      </c>
      <c r="I911" s="188" t="str">
        <f t="shared" si="29"/>
        <v/>
      </c>
      <c r="J911" s="221"/>
    </row>
    <row r="912" spans="1:10" s="90" customFormat="1" ht="14.25" hidden="1" x14ac:dyDescent="0.3">
      <c r="A912" s="141"/>
      <c r="B912" s="160">
        <v>896</v>
      </c>
      <c r="C912" s="224"/>
      <c r="D912" s="213"/>
      <c r="E912" s="215"/>
      <c r="F912" s="214"/>
      <c r="G912" s="214"/>
      <c r="H912" s="74" t="str">
        <f t="shared" si="28"/>
        <v/>
      </c>
      <c r="I912" s="188" t="str">
        <f t="shared" si="29"/>
        <v/>
      </c>
      <c r="J912" s="221"/>
    </row>
    <row r="913" spans="1:10" s="90" customFormat="1" ht="14.25" hidden="1" x14ac:dyDescent="0.3">
      <c r="A913" s="141"/>
      <c r="B913" s="160">
        <v>897</v>
      </c>
      <c r="C913" s="224"/>
      <c r="D913" s="216"/>
      <c r="E913" s="215"/>
      <c r="F913" s="217"/>
      <c r="G913" s="218"/>
      <c r="H913" s="74" t="str">
        <f t="shared" ref="H913:H976" si="30">ObterComplexidadeFuncao(E913,F913,G913)</f>
        <v/>
      </c>
      <c r="I913" s="188" t="str">
        <f t="shared" si="29"/>
        <v/>
      </c>
      <c r="J913" s="221"/>
    </row>
    <row r="914" spans="1:10" s="90" customFormat="1" ht="14.25" hidden="1" x14ac:dyDescent="0.3">
      <c r="A914" s="141"/>
      <c r="B914" s="160">
        <v>898</v>
      </c>
      <c r="C914" s="224"/>
      <c r="D914" s="213"/>
      <c r="E914" s="215"/>
      <c r="F914" s="214"/>
      <c r="G914" s="214"/>
      <c r="H914" s="74" t="str">
        <f t="shared" si="30"/>
        <v/>
      </c>
      <c r="I914" s="188" t="str">
        <f t="shared" ref="I914:I977" si="31">ObterContribuicaoFuncao(E914,H914)</f>
        <v/>
      </c>
      <c r="J914" s="221"/>
    </row>
    <row r="915" spans="1:10" s="90" customFormat="1" ht="14.25" hidden="1" x14ac:dyDescent="0.3">
      <c r="A915" s="141"/>
      <c r="B915" s="160">
        <v>899</v>
      </c>
      <c r="C915" s="224"/>
      <c r="D915" s="213"/>
      <c r="E915" s="215"/>
      <c r="F915" s="214"/>
      <c r="G915" s="214"/>
      <c r="H915" s="74" t="str">
        <f t="shared" si="30"/>
        <v/>
      </c>
      <c r="I915" s="188" t="str">
        <f t="shared" si="31"/>
        <v/>
      </c>
      <c r="J915" s="221"/>
    </row>
    <row r="916" spans="1:10" s="90" customFormat="1" ht="14.25" hidden="1" x14ac:dyDescent="0.3">
      <c r="A916" s="141"/>
      <c r="B916" s="160">
        <v>900</v>
      </c>
      <c r="C916" s="224"/>
      <c r="D916" s="216"/>
      <c r="E916" s="215"/>
      <c r="F916" s="217"/>
      <c r="G916" s="218"/>
      <c r="H916" s="74" t="str">
        <f t="shared" si="30"/>
        <v/>
      </c>
      <c r="I916" s="188" t="str">
        <f t="shared" si="31"/>
        <v/>
      </c>
      <c r="J916" s="221"/>
    </row>
    <row r="917" spans="1:10" s="90" customFormat="1" ht="14.25" hidden="1" x14ac:dyDescent="0.3">
      <c r="A917" s="141"/>
      <c r="B917" s="160">
        <v>901</v>
      </c>
      <c r="C917" s="224"/>
      <c r="D917" s="213"/>
      <c r="E917" s="215"/>
      <c r="F917" s="214"/>
      <c r="G917" s="214"/>
      <c r="H917" s="74" t="str">
        <f t="shared" si="30"/>
        <v/>
      </c>
      <c r="I917" s="188" t="str">
        <f t="shared" si="31"/>
        <v/>
      </c>
      <c r="J917" s="221"/>
    </row>
    <row r="918" spans="1:10" s="90" customFormat="1" ht="14.25" hidden="1" x14ac:dyDescent="0.3">
      <c r="A918" s="141"/>
      <c r="B918" s="160">
        <v>902</v>
      </c>
      <c r="C918" s="224"/>
      <c r="D918" s="213"/>
      <c r="E918" s="215"/>
      <c r="F918" s="214"/>
      <c r="G918" s="214"/>
      <c r="H918" s="74" t="str">
        <f t="shared" si="30"/>
        <v/>
      </c>
      <c r="I918" s="188" t="str">
        <f t="shared" si="31"/>
        <v/>
      </c>
      <c r="J918" s="221"/>
    </row>
    <row r="919" spans="1:10" s="90" customFormat="1" ht="14.25" hidden="1" x14ac:dyDescent="0.3">
      <c r="A919" s="141"/>
      <c r="B919" s="160">
        <v>903</v>
      </c>
      <c r="C919" s="224"/>
      <c r="D919" s="216"/>
      <c r="E919" s="215"/>
      <c r="F919" s="217"/>
      <c r="G919" s="218"/>
      <c r="H919" s="74" t="str">
        <f t="shared" si="30"/>
        <v/>
      </c>
      <c r="I919" s="188" t="str">
        <f t="shared" si="31"/>
        <v/>
      </c>
      <c r="J919" s="221"/>
    </row>
    <row r="920" spans="1:10" s="90" customFormat="1" ht="14.25" hidden="1" x14ac:dyDescent="0.3">
      <c r="A920" s="141"/>
      <c r="B920" s="160">
        <v>904</v>
      </c>
      <c r="C920" s="224"/>
      <c r="D920" s="213"/>
      <c r="E920" s="215"/>
      <c r="F920" s="214"/>
      <c r="G920" s="214"/>
      <c r="H920" s="74" t="str">
        <f t="shared" si="30"/>
        <v/>
      </c>
      <c r="I920" s="188" t="str">
        <f t="shared" si="31"/>
        <v/>
      </c>
      <c r="J920" s="221"/>
    </row>
    <row r="921" spans="1:10" s="90" customFormat="1" ht="14.25" hidden="1" x14ac:dyDescent="0.3">
      <c r="A921" s="141"/>
      <c r="B921" s="160">
        <v>905</v>
      </c>
      <c r="C921" s="224"/>
      <c r="D921" s="213"/>
      <c r="E921" s="215"/>
      <c r="F921" s="214"/>
      <c r="G921" s="214"/>
      <c r="H921" s="74" t="str">
        <f t="shared" si="30"/>
        <v/>
      </c>
      <c r="I921" s="188" t="str">
        <f t="shared" si="31"/>
        <v/>
      </c>
      <c r="J921" s="221"/>
    </row>
    <row r="922" spans="1:10" s="90" customFormat="1" ht="14.25" hidden="1" x14ac:dyDescent="0.3">
      <c r="A922" s="141"/>
      <c r="B922" s="160">
        <v>906</v>
      </c>
      <c r="C922" s="224"/>
      <c r="D922" s="216"/>
      <c r="E922" s="215"/>
      <c r="F922" s="217"/>
      <c r="G922" s="218"/>
      <c r="H922" s="74" t="str">
        <f t="shared" si="30"/>
        <v/>
      </c>
      <c r="I922" s="188" t="str">
        <f t="shared" si="31"/>
        <v/>
      </c>
      <c r="J922" s="221"/>
    </row>
    <row r="923" spans="1:10" s="90" customFormat="1" ht="14.25" hidden="1" x14ac:dyDescent="0.3">
      <c r="A923" s="141"/>
      <c r="B923" s="160">
        <v>907</v>
      </c>
      <c r="C923" s="224"/>
      <c r="D923" s="213"/>
      <c r="E923" s="215"/>
      <c r="F923" s="214"/>
      <c r="G923" s="214"/>
      <c r="H923" s="74" t="str">
        <f t="shared" si="30"/>
        <v/>
      </c>
      <c r="I923" s="188" t="str">
        <f t="shared" si="31"/>
        <v/>
      </c>
      <c r="J923" s="221"/>
    </row>
    <row r="924" spans="1:10" s="90" customFormat="1" ht="14.25" hidden="1" x14ac:dyDescent="0.3">
      <c r="A924" s="141"/>
      <c r="B924" s="160">
        <v>908</v>
      </c>
      <c r="C924" s="224"/>
      <c r="D924" s="213"/>
      <c r="E924" s="215"/>
      <c r="F924" s="214"/>
      <c r="G924" s="214"/>
      <c r="H924" s="74" t="str">
        <f t="shared" si="30"/>
        <v/>
      </c>
      <c r="I924" s="188" t="str">
        <f t="shared" si="31"/>
        <v/>
      </c>
      <c r="J924" s="221"/>
    </row>
    <row r="925" spans="1:10" s="90" customFormat="1" ht="14.25" hidden="1" x14ac:dyDescent="0.3">
      <c r="A925" s="141"/>
      <c r="B925" s="160">
        <v>909</v>
      </c>
      <c r="C925" s="224"/>
      <c r="D925" s="216"/>
      <c r="E925" s="215"/>
      <c r="F925" s="217"/>
      <c r="G925" s="218"/>
      <c r="H925" s="74" t="str">
        <f t="shared" si="30"/>
        <v/>
      </c>
      <c r="I925" s="188" t="str">
        <f t="shared" si="31"/>
        <v/>
      </c>
      <c r="J925" s="221"/>
    </row>
    <row r="926" spans="1:10" s="90" customFormat="1" ht="14.25" hidden="1" x14ac:dyDescent="0.3">
      <c r="A926" s="141"/>
      <c r="B926" s="160">
        <v>910</v>
      </c>
      <c r="C926" s="224"/>
      <c r="D926" s="213"/>
      <c r="E926" s="215"/>
      <c r="F926" s="214"/>
      <c r="G926" s="214"/>
      <c r="H926" s="74" t="str">
        <f t="shared" si="30"/>
        <v/>
      </c>
      <c r="I926" s="188" t="str">
        <f t="shared" si="31"/>
        <v/>
      </c>
      <c r="J926" s="221"/>
    </row>
    <row r="927" spans="1:10" s="90" customFormat="1" ht="14.25" hidden="1" x14ac:dyDescent="0.3">
      <c r="A927" s="141"/>
      <c r="B927" s="160">
        <v>911</v>
      </c>
      <c r="C927" s="224"/>
      <c r="D927" s="213"/>
      <c r="E927" s="215"/>
      <c r="F927" s="214"/>
      <c r="G927" s="214"/>
      <c r="H927" s="74" t="str">
        <f t="shared" si="30"/>
        <v/>
      </c>
      <c r="I927" s="188" t="str">
        <f t="shared" si="31"/>
        <v/>
      </c>
      <c r="J927" s="221"/>
    </row>
    <row r="928" spans="1:10" s="90" customFormat="1" ht="14.25" hidden="1" x14ac:dyDescent="0.3">
      <c r="A928" s="141"/>
      <c r="B928" s="160">
        <v>912</v>
      </c>
      <c r="C928" s="224"/>
      <c r="D928" s="216"/>
      <c r="E928" s="215"/>
      <c r="F928" s="217"/>
      <c r="G928" s="218"/>
      <c r="H928" s="74" t="str">
        <f t="shared" si="30"/>
        <v/>
      </c>
      <c r="I928" s="188" t="str">
        <f t="shared" si="31"/>
        <v/>
      </c>
      <c r="J928" s="221"/>
    </row>
    <row r="929" spans="1:10" s="90" customFormat="1" ht="14.25" hidden="1" x14ac:dyDescent="0.3">
      <c r="A929" s="141"/>
      <c r="B929" s="160">
        <v>913</v>
      </c>
      <c r="C929" s="224"/>
      <c r="D929" s="213"/>
      <c r="E929" s="215"/>
      <c r="F929" s="214"/>
      <c r="G929" s="214"/>
      <c r="H929" s="74" t="str">
        <f t="shared" si="30"/>
        <v/>
      </c>
      <c r="I929" s="188" t="str">
        <f t="shared" si="31"/>
        <v/>
      </c>
      <c r="J929" s="221"/>
    </row>
    <row r="930" spans="1:10" s="90" customFormat="1" ht="14.25" hidden="1" x14ac:dyDescent="0.3">
      <c r="A930" s="141"/>
      <c r="B930" s="160">
        <v>914</v>
      </c>
      <c r="C930" s="224"/>
      <c r="D930" s="213"/>
      <c r="E930" s="215"/>
      <c r="F930" s="214"/>
      <c r="G930" s="214"/>
      <c r="H930" s="74" t="str">
        <f t="shared" si="30"/>
        <v/>
      </c>
      <c r="I930" s="188" t="str">
        <f t="shared" si="31"/>
        <v/>
      </c>
      <c r="J930" s="221"/>
    </row>
    <row r="931" spans="1:10" s="90" customFormat="1" ht="14.25" hidden="1" x14ac:dyDescent="0.3">
      <c r="A931" s="141"/>
      <c r="B931" s="160">
        <v>915</v>
      </c>
      <c r="C931" s="224"/>
      <c r="D931" s="216"/>
      <c r="E931" s="215"/>
      <c r="F931" s="217"/>
      <c r="G931" s="218"/>
      <c r="H931" s="74" t="str">
        <f t="shared" si="30"/>
        <v/>
      </c>
      <c r="I931" s="188" t="str">
        <f t="shared" si="31"/>
        <v/>
      </c>
      <c r="J931" s="221"/>
    </row>
    <row r="932" spans="1:10" s="90" customFormat="1" ht="14.25" hidden="1" x14ac:dyDescent="0.3">
      <c r="A932" s="141"/>
      <c r="B932" s="160">
        <v>916</v>
      </c>
      <c r="C932" s="224"/>
      <c r="D932" s="213"/>
      <c r="E932" s="215"/>
      <c r="F932" s="214"/>
      <c r="G932" s="214"/>
      <c r="H932" s="74" t="str">
        <f t="shared" si="30"/>
        <v/>
      </c>
      <c r="I932" s="188" t="str">
        <f t="shared" si="31"/>
        <v/>
      </c>
      <c r="J932" s="221"/>
    </row>
    <row r="933" spans="1:10" s="90" customFormat="1" ht="14.25" hidden="1" x14ac:dyDescent="0.3">
      <c r="A933" s="141"/>
      <c r="B933" s="160">
        <v>917</v>
      </c>
      <c r="C933" s="224"/>
      <c r="D933" s="213"/>
      <c r="E933" s="215"/>
      <c r="F933" s="214"/>
      <c r="G933" s="214"/>
      <c r="H933" s="74" t="str">
        <f t="shared" si="30"/>
        <v/>
      </c>
      <c r="I933" s="188" t="str">
        <f t="shared" si="31"/>
        <v/>
      </c>
      <c r="J933" s="221"/>
    </row>
    <row r="934" spans="1:10" s="90" customFormat="1" ht="14.25" hidden="1" x14ac:dyDescent="0.3">
      <c r="A934" s="141"/>
      <c r="B934" s="160">
        <v>918</v>
      </c>
      <c r="C934" s="224"/>
      <c r="D934" s="216"/>
      <c r="E934" s="215"/>
      <c r="F934" s="217"/>
      <c r="G934" s="218"/>
      <c r="H934" s="74" t="str">
        <f t="shared" si="30"/>
        <v/>
      </c>
      <c r="I934" s="188" t="str">
        <f t="shared" si="31"/>
        <v/>
      </c>
      <c r="J934" s="221"/>
    </row>
    <row r="935" spans="1:10" s="90" customFormat="1" ht="14.25" hidden="1" x14ac:dyDescent="0.3">
      <c r="A935" s="141"/>
      <c r="B935" s="160">
        <v>919</v>
      </c>
      <c r="C935" s="224"/>
      <c r="D935" s="213"/>
      <c r="E935" s="215"/>
      <c r="F935" s="214"/>
      <c r="G935" s="214"/>
      <c r="H935" s="74" t="str">
        <f t="shared" si="30"/>
        <v/>
      </c>
      <c r="I935" s="188" t="str">
        <f t="shared" si="31"/>
        <v/>
      </c>
      <c r="J935" s="221"/>
    </row>
    <row r="936" spans="1:10" s="90" customFormat="1" ht="14.25" hidden="1" x14ac:dyDescent="0.3">
      <c r="A936" s="141"/>
      <c r="B936" s="160">
        <v>920</v>
      </c>
      <c r="C936" s="224"/>
      <c r="D936" s="213"/>
      <c r="E936" s="215"/>
      <c r="F936" s="214"/>
      <c r="G936" s="214"/>
      <c r="H936" s="74" t="str">
        <f t="shared" si="30"/>
        <v/>
      </c>
      <c r="I936" s="188" t="str">
        <f t="shared" si="31"/>
        <v/>
      </c>
      <c r="J936" s="221"/>
    </row>
    <row r="937" spans="1:10" s="90" customFormat="1" ht="14.25" hidden="1" x14ac:dyDescent="0.3">
      <c r="A937" s="141"/>
      <c r="B937" s="160">
        <v>921</v>
      </c>
      <c r="C937" s="224"/>
      <c r="D937" s="216"/>
      <c r="E937" s="215"/>
      <c r="F937" s="217"/>
      <c r="G937" s="218"/>
      <c r="H937" s="74" t="str">
        <f t="shared" si="30"/>
        <v/>
      </c>
      <c r="I937" s="188" t="str">
        <f t="shared" si="31"/>
        <v/>
      </c>
      <c r="J937" s="221"/>
    </row>
    <row r="938" spans="1:10" s="90" customFormat="1" ht="14.25" hidden="1" x14ac:dyDescent="0.3">
      <c r="A938" s="141"/>
      <c r="B938" s="160">
        <v>922</v>
      </c>
      <c r="C938" s="224"/>
      <c r="D938" s="213"/>
      <c r="E938" s="215"/>
      <c r="F938" s="214"/>
      <c r="G938" s="214"/>
      <c r="H938" s="74" t="str">
        <f t="shared" si="30"/>
        <v/>
      </c>
      <c r="I938" s="188" t="str">
        <f t="shared" si="31"/>
        <v/>
      </c>
      <c r="J938" s="221"/>
    </row>
    <row r="939" spans="1:10" s="90" customFormat="1" ht="14.25" hidden="1" x14ac:dyDescent="0.3">
      <c r="A939" s="141"/>
      <c r="B939" s="160">
        <v>923</v>
      </c>
      <c r="C939" s="224"/>
      <c r="D939" s="213"/>
      <c r="E939" s="215"/>
      <c r="F939" s="214"/>
      <c r="G939" s="214"/>
      <c r="H939" s="74" t="str">
        <f t="shared" si="30"/>
        <v/>
      </c>
      <c r="I939" s="188" t="str">
        <f t="shared" si="31"/>
        <v/>
      </c>
      <c r="J939" s="221"/>
    </row>
    <row r="940" spans="1:10" s="90" customFormat="1" ht="14.25" hidden="1" x14ac:dyDescent="0.3">
      <c r="A940" s="141"/>
      <c r="B940" s="160">
        <v>924</v>
      </c>
      <c r="C940" s="224"/>
      <c r="D940" s="216"/>
      <c r="E940" s="215"/>
      <c r="F940" s="217"/>
      <c r="G940" s="218"/>
      <c r="H940" s="74" t="str">
        <f t="shared" si="30"/>
        <v/>
      </c>
      <c r="I940" s="188" t="str">
        <f t="shared" si="31"/>
        <v/>
      </c>
      <c r="J940" s="221"/>
    </row>
    <row r="941" spans="1:10" s="90" customFormat="1" ht="14.25" hidden="1" x14ac:dyDescent="0.3">
      <c r="A941" s="141"/>
      <c r="B941" s="160">
        <v>925</v>
      </c>
      <c r="C941" s="224"/>
      <c r="D941" s="213"/>
      <c r="E941" s="215"/>
      <c r="F941" s="214"/>
      <c r="G941" s="214"/>
      <c r="H941" s="74" t="str">
        <f t="shared" si="30"/>
        <v/>
      </c>
      <c r="I941" s="188" t="str">
        <f t="shared" si="31"/>
        <v/>
      </c>
      <c r="J941" s="221"/>
    </row>
    <row r="942" spans="1:10" s="90" customFormat="1" ht="14.25" hidden="1" x14ac:dyDescent="0.3">
      <c r="A942" s="141"/>
      <c r="B942" s="160">
        <v>926</v>
      </c>
      <c r="C942" s="224"/>
      <c r="D942" s="213"/>
      <c r="E942" s="215"/>
      <c r="F942" s="214"/>
      <c r="G942" s="214"/>
      <c r="H942" s="74" t="str">
        <f t="shared" si="30"/>
        <v/>
      </c>
      <c r="I942" s="188" t="str">
        <f t="shared" si="31"/>
        <v/>
      </c>
      <c r="J942" s="221"/>
    </row>
    <row r="943" spans="1:10" s="90" customFormat="1" ht="14.25" hidden="1" x14ac:dyDescent="0.3">
      <c r="A943" s="141"/>
      <c r="B943" s="160">
        <v>927</v>
      </c>
      <c r="C943" s="224"/>
      <c r="D943" s="216"/>
      <c r="E943" s="215"/>
      <c r="F943" s="217"/>
      <c r="G943" s="218"/>
      <c r="H943" s="74" t="str">
        <f t="shared" si="30"/>
        <v/>
      </c>
      <c r="I943" s="188" t="str">
        <f t="shared" si="31"/>
        <v/>
      </c>
      <c r="J943" s="221"/>
    </row>
    <row r="944" spans="1:10" s="90" customFormat="1" ht="14.25" hidden="1" x14ac:dyDescent="0.3">
      <c r="A944" s="141"/>
      <c r="B944" s="160">
        <v>928</v>
      </c>
      <c r="C944" s="224"/>
      <c r="D944" s="213"/>
      <c r="E944" s="215"/>
      <c r="F944" s="214"/>
      <c r="G944" s="214"/>
      <c r="H944" s="74" t="str">
        <f t="shared" si="30"/>
        <v/>
      </c>
      <c r="I944" s="188" t="str">
        <f t="shared" si="31"/>
        <v/>
      </c>
      <c r="J944" s="221"/>
    </row>
    <row r="945" spans="1:10" s="90" customFormat="1" ht="14.25" hidden="1" x14ac:dyDescent="0.3">
      <c r="A945" s="141"/>
      <c r="B945" s="160">
        <v>929</v>
      </c>
      <c r="C945" s="224"/>
      <c r="D945" s="213"/>
      <c r="E945" s="215"/>
      <c r="F945" s="214"/>
      <c r="G945" s="214"/>
      <c r="H945" s="74" t="str">
        <f t="shared" si="30"/>
        <v/>
      </c>
      <c r="I945" s="188" t="str">
        <f t="shared" si="31"/>
        <v/>
      </c>
      <c r="J945" s="221"/>
    </row>
    <row r="946" spans="1:10" s="90" customFormat="1" ht="14.25" hidden="1" x14ac:dyDescent="0.3">
      <c r="A946" s="141"/>
      <c r="B946" s="160">
        <v>930</v>
      </c>
      <c r="C946" s="224"/>
      <c r="D946" s="216"/>
      <c r="E946" s="215"/>
      <c r="F946" s="217"/>
      <c r="G946" s="218"/>
      <c r="H946" s="74" t="str">
        <f t="shared" si="30"/>
        <v/>
      </c>
      <c r="I946" s="188" t="str">
        <f t="shared" si="31"/>
        <v/>
      </c>
      <c r="J946" s="221"/>
    </row>
    <row r="947" spans="1:10" s="90" customFormat="1" ht="14.25" hidden="1" x14ac:dyDescent="0.3">
      <c r="A947" s="141"/>
      <c r="B947" s="160">
        <v>931</v>
      </c>
      <c r="C947" s="224"/>
      <c r="D947" s="213"/>
      <c r="E947" s="215"/>
      <c r="F947" s="214"/>
      <c r="G947" s="214"/>
      <c r="H947" s="74" t="str">
        <f t="shared" si="30"/>
        <v/>
      </c>
      <c r="I947" s="188" t="str">
        <f t="shared" si="31"/>
        <v/>
      </c>
      <c r="J947" s="221"/>
    </row>
    <row r="948" spans="1:10" s="90" customFormat="1" ht="14.25" hidden="1" x14ac:dyDescent="0.3">
      <c r="A948" s="141"/>
      <c r="B948" s="160">
        <v>932</v>
      </c>
      <c r="C948" s="224"/>
      <c r="D948" s="213"/>
      <c r="E948" s="215"/>
      <c r="F948" s="214"/>
      <c r="G948" s="214"/>
      <c r="H948" s="74" t="str">
        <f t="shared" si="30"/>
        <v/>
      </c>
      <c r="I948" s="188" t="str">
        <f t="shared" si="31"/>
        <v/>
      </c>
      <c r="J948" s="221"/>
    </row>
    <row r="949" spans="1:10" s="90" customFormat="1" ht="14.25" hidden="1" x14ac:dyDescent="0.3">
      <c r="A949" s="141"/>
      <c r="B949" s="160">
        <v>933</v>
      </c>
      <c r="C949" s="224"/>
      <c r="D949" s="216"/>
      <c r="E949" s="215"/>
      <c r="F949" s="217"/>
      <c r="G949" s="218"/>
      <c r="H949" s="74" t="str">
        <f t="shared" si="30"/>
        <v/>
      </c>
      <c r="I949" s="188" t="str">
        <f t="shared" si="31"/>
        <v/>
      </c>
      <c r="J949" s="221"/>
    </row>
    <row r="950" spans="1:10" s="90" customFormat="1" ht="14.25" hidden="1" x14ac:dyDescent="0.3">
      <c r="A950" s="141"/>
      <c r="B950" s="160">
        <v>934</v>
      </c>
      <c r="C950" s="224"/>
      <c r="D950" s="213"/>
      <c r="E950" s="215"/>
      <c r="F950" s="214"/>
      <c r="G950" s="214"/>
      <c r="H950" s="74" t="str">
        <f t="shared" si="30"/>
        <v/>
      </c>
      <c r="I950" s="188" t="str">
        <f t="shared" si="31"/>
        <v/>
      </c>
      <c r="J950" s="221"/>
    </row>
    <row r="951" spans="1:10" s="90" customFormat="1" ht="14.25" hidden="1" x14ac:dyDescent="0.3">
      <c r="A951" s="141"/>
      <c r="B951" s="160">
        <v>935</v>
      </c>
      <c r="C951" s="224"/>
      <c r="D951" s="213"/>
      <c r="E951" s="215"/>
      <c r="F951" s="214"/>
      <c r="G951" s="214"/>
      <c r="H951" s="74" t="str">
        <f t="shared" si="30"/>
        <v/>
      </c>
      <c r="I951" s="188" t="str">
        <f t="shared" si="31"/>
        <v/>
      </c>
      <c r="J951" s="221"/>
    </row>
    <row r="952" spans="1:10" s="90" customFormat="1" ht="14.25" hidden="1" x14ac:dyDescent="0.3">
      <c r="A952" s="141"/>
      <c r="B952" s="160">
        <v>936</v>
      </c>
      <c r="C952" s="224"/>
      <c r="D952" s="216"/>
      <c r="E952" s="215"/>
      <c r="F952" s="217"/>
      <c r="G952" s="218"/>
      <c r="H952" s="74" t="str">
        <f t="shared" si="30"/>
        <v/>
      </c>
      <c r="I952" s="188" t="str">
        <f t="shared" si="31"/>
        <v/>
      </c>
      <c r="J952" s="221"/>
    </row>
    <row r="953" spans="1:10" s="90" customFormat="1" ht="14.25" hidden="1" x14ac:dyDescent="0.3">
      <c r="A953" s="141"/>
      <c r="B953" s="160">
        <v>937</v>
      </c>
      <c r="C953" s="224"/>
      <c r="D953" s="213"/>
      <c r="E953" s="215"/>
      <c r="F953" s="214"/>
      <c r="G953" s="214"/>
      <c r="H953" s="74" t="str">
        <f t="shared" si="30"/>
        <v/>
      </c>
      <c r="I953" s="188" t="str">
        <f t="shared" si="31"/>
        <v/>
      </c>
      <c r="J953" s="221"/>
    </row>
    <row r="954" spans="1:10" s="90" customFormat="1" ht="14.25" hidden="1" x14ac:dyDescent="0.3">
      <c r="A954" s="141"/>
      <c r="B954" s="160">
        <v>938</v>
      </c>
      <c r="C954" s="224"/>
      <c r="D954" s="213"/>
      <c r="E954" s="215"/>
      <c r="F954" s="214"/>
      <c r="G954" s="214"/>
      <c r="H954" s="74" t="str">
        <f t="shared" si="30"/>
        <v/>
      </c>
      <c r="I954" s="188" t="str">
        <f t="shared" si="31"/>
        <v/>
      </c>
      <c r="J954" s="221"/>
    </row>
    <row r="955" spans="1:10" s="90" customFormat="1" ht="14.25" hidden="1" x14ac:dyDescent="0.3">
      <c r="A955" s="141"/>
      <c r="B955" s="160">
        <v>939</v>
      </c>
      <c r="C955" s="224"/>
      <c r="D955" s="216"/>
      <c r="E955" s="215"/>
      <c r="F955" s="217"/>
      <c r="G955" s="218"/>
      <c r="H955" s="74" t="str">
        <f t="shared" si="30"/>
        <v/>
      </c>
      <c r="I955" s="188" t="str">
        <f t="shared" si="31"/>
        <v/>
      </c>
      <c r="J955" s="221"/>
    </row>
    <row r="956" spans="1:10" s="90" customFormat="1" ht="14.25" hidden="1" x14ac:dyDescent="0.3">
      <c r="A956" s="141"/>
      <c r="B956" s="160">
        <v>940</v>
      </c>
      <c r="C956" s="224"/>
      <c r="D956" s="213"/>
      <c r="E956" s="215"/>
      <c r="F956" s="214"/>
      <c r="G956" s="214"/>
      <c r="H956" s="74" t="str">
        <f t="shared" si="30"/>
        <v/>
      </c>
      <c r="I956" s="188" t="str">
        <f t="shared" si="31"/>
        <v/>
      </c>
      <c r="J956" s="221"/>
    </row>
    <row r="957" spans="1:10" s="90" customFormat="1" ht="14.25" hidden="1" x14ac:dyDescent="0.3">
      <c r="A957" s="141"/>
      <c r="B957" s="160">
        <v>941</v>
      </c>
      <c r="C957" s="224"/>
      <c r="D957" s="213"/>
      <c r="E957" s="215"/>
      <c r="F957" s="214"/>
      <c r="G957" s="214"/>
      <c r="H957" s="74" t="str">
        <f t="shared" si="30"/>
        <v/>
      </c>
      <c r="I957" s="188" t="str">
        <f t="shared" si="31"/>
        <v/>
      </c>
      <c r="J957" s="221"/>
    </row>
    <row r="958" spans="1:10" s="90" customFormat="1" ht="14.25" hidden="1" x14ac:dyDescent="0.3">
      <c r="A958" s="141"/>
      <c r="B958" s="160">
        <v>942</v>
      </c>
      <c r="C958" s="224"/>
      <c r="D958" s="216"/>
      <c r="E958" s="215"/>
      <c r="F958" s="217"/>
      <c r="G958" s="218"/>
      <c r="H958" s="74" t="str">
        <f t="shared" si="30"/>
        <v/>
      </c>
      <c r="I958" s="188" t="str">
        <f t="shared" si="31"/>
        <v/>
      </c>
      <c r="J958" s="221"/>
    </row>
    <row r="959" spans="1:10" s="90" customFormat="1" ht="14.25" hidden="1" x14ac:dyDescent="0.3">
      <c r="A959" s="141"/>
      <c r="B959" s="160">
        <v>943</v>
      </c>
      <c r="C959" s="224"/>
      <c r="D959" s="213"/>
      <c r="E959" s="215"/>
      <c r="F959" s="214"/>
      <c r="G959" s="214"/>
      <c r="H959" s="74" t="str">
        <f t="shared" si="30"/>
        <v/>
      </c>
      <c r="I959" s="188" t="str">
        <f t="shared" si="31"/>
        <v/>
      </c>
      <c r="J959" s="221"/>
    </row>
    <row r="960" spans="1:10" s="90" customFormat="1" ht="14.25" hidden="1" x14ac:dyDescent="0.3">
      <c r="A960" s="141"/>
      <c r="B960" s="160">
        <v>944</v>
      </c>
      <c r="C960" s="224"/>
      <c r="D960" s="213"/>
      <c r="E960" s="215"/>
      <c r="F960" s="214"/>
      <c r="G960" s="214"/>
      <c r="H960" s="74" t="str">
        <f t="shared" si="30"/>
        <v/>
      </c>
      <c r="I960" s="188" t="str">
        <f t="shared" si="31"/>
        <v/>
      </c>
      <c r="J960" s="221"/>
    </row>
    <row r="961" spans="1:10" s="90" customFormat="1" ht="14.25" hidden="1" x14ac:dyDescent="0.3">
      <c r="A961" s="141"/>
      <c r="B961" s="160">
        <v>945</v>
      </c>
      <c r="C961" s="224"/>
      <c r="D961" s="216"/>
      <c r="E961" s="215"/>
      <c r="F961" s="217"/>
      <c r="G961" s="218"/>
      <c r="H961" s="74" t="str">
        <f t="shared" si="30"/>
        <v/>
      </c>
      <c r="I961" s="188" t="str">
        <f t="shared" si="31"/>
        <v/>
      </c>
      <c r="J961" s="221"/>
    </row>
    <row r="962" spans="1:10" s="90" customFormat="1" ht="14.25" hidden="1" x14ac:dyDescent="0.3">
      <c r="A962" s="141"/>
      <c r="B962" s="160">
        <v>946</v>
      </c>
      <c r="C962" s="224"/>
      <c r="D962" s="213"/>
      <c r="E962" s="215"/>
      <c r="F962" s="214"/>
      <c r="G962" s="214"/>
      <c r="H962" s="74" t="str">
        <f t="shared" si="30"/>
        <v/>
      </c>
      <c r="I962" s="188" t="str">
        <f t="shared" si="31"/>
        <v/>
      </c>
      <c r="J962" s="221"/>
    </row>
    <row r="963" spans="1:10" s="90" customFormat="1" ht="14.25" hidden="1" x14ac:dyDescent="0.3">
      <c r="A963" s="141"/>
      <c r="B963" s="160">
        <v>947</v>
      </c>
      <c r="C963" s="224"/>
      <c r="D963" s="213"/>
      <c r="E963" s="215"/>
      <c r="F963" s="214"/>
      <c r="G963" s="214"/>
      <c r="H963" s="74" t="str">
        <f t="shared" si="30"/>
        <v/>
      </c>
      <c r="I963" s="188" t="str">
        <f t="shared" si="31"/>
        <v/>
      </c>
      <c r="J963" s="221"/>
    </row>
    <row r="964" spans="1:10" s="90" customFormat="1" ht="14.25" hidden="1" x14ac:dyDescent="0.3">
      <c r="A964" s="141"/>
      <c r="B964" s="160">
        <v>948</v>
      </c>
      <c r="C964" s="224"/>
      <c r="D964" s="216"/>
      <c r="E964" s="215"/>
      <c r="F964" s="217"/>
      <c r="G964" s="218"/>
      <c r="H964" s="74" t="str">
        <f t="shared" si="30"/>
        <v/>
      </c>
      <c r="I964" s="188" t="str">
        <f t="shared" si="31"/>
        <v/>
      </c>
      <c r="J964" s="221"/>
    </row>
    <row r="965" spans="1:10" s="90" customFormat="1" ht="14.25" hidden="1" x14ac:dyDescent="0.3">
      <c r="A965" s="141"/>
      <c r="B965" s="160">
        <v>949</v>
      </c>
      <c r="C965" s="224"/>
      <c r="D965" s="213"/>
      <c r="E965" s="215"/>
      <c r="F965" s="214"/>
      <c r="G965" s="214"/>
      <c r="H965" s="74" t="str">
        <f t="shared" si="30"/>
        <v/>
      </c>
      <c r="I965" s="188" t="str">
        <f t="shared" si="31"/>
        <v/>
      </c>
      <c r="J965" s="221"/>
    </row>
    <row r="966" spans="1:10" s="90" customFormat="1" ht="14.25" hidden="1" x14ac:dyDescent="0.3">
      <c r="A966" s="141"/>
      <c r="B966" s="160">
        <v>950</v>
      </c>
      <c r="C966" s="224"/>
      <c r="D966" s="213"/>
      <c r="E966" s="215"/>
      <c r="F966" s="214"/>
      <c r="G966" s="214"/>
      <c r="H966" s="74" t="str">
        <f t="shared" si="30"/>
        <v/>
      </c>
      <c r="I966" s="188" t="str">
        <f t="shared" si="31"/>
        <v/>
      </c>
      <c r="J966" s="221"/>
    </row>
    <row r="967" spans="1:10" s="90" customFormat="1" ht="14.25" hidden="1" x14ac:dyDescent="0.3">
      <c r="A967" s="141"/>
      <c r="B967" s="160">
        <v>951</v>
      </c>
      <c r="C967" s="224"/>
      <c r="D967" s="216"/>
      <c r="E967" s="215"/>
      <c r="F967" s="217"/>
      <c r="G967" s="218"/>
      <c r="H967" s="74" t="str">
        <f t="shared" si="30"/>
        <v/>
      </c>
      <c r="I967" s="188" t="str">
        <f t="shared" si="31"/>
        <v/>
      </c>
      <c r="J967" s="221"/>
    </row>
    <row r="968" spans="1:10" s="90" customFormat="1" ht="14.25" hidden="1" x14ac:dyDescent="0.3">
      <c r="A968" s="141"/>
      <c r="B968" s="160">
        <v>952</v>
      </c>
      <c r="C968" s="224"/>
      <c r="D968" s="213"/>
      <c r="E968" s="215"/>
      <c r="F968" s="214"/>
      <c r="G968" s="214"/>
      <c r="H968" s="74" t="str">
        <f t="shared" si="30"/>
        <v/>
      </c>
      <c r="I968" s="188" t="str">
        <f t="shared" si="31"/>
        <v/>
      </c>
      <c r="J968" s="221"/>
    </row>
    <row r="969" spans="1:10" s="90" customFormat="1" ht="14.25" hidden="1" x14ac:dyDescent="0.3">
      <c r="A969" s="141"/>
      <c r="B969" s="160">
        <v>953</v>
      </c>
      <c r="C969" s="224"/>
      <c r="D969" s="213"/>
      <c r="E969" s="215"/>
      <c r="F969" s="214"/>
      <c r="G969" s="214"/>
      <c r="H969" s="74" t="str">
        <f t="shared" si="30"/>
        <v/>
      </c>
      <c r="I969" s="188" t="str">
        <f t="shared" si="31"/>
        <v/>
      </c>
      <c r="J969" s="221"/>
    </row>
    <row r="970" spans="1:10" s="90" customFormat="1" ht="14.25" hidden="1" x14ac:dyDescent="0.3">
      <c r="A970" s="141"/>
      <c r="B970" s="160">
        <v>954</v>
      </c>
      <c r="C970" s="224"/>
      <c r="D970" s="216"/>
      <c r="E970" s="215"/>
      <c r="F970" s="217"/>
      <c r="G970" s="218"/>
      <c r="H970" s="74" t="str">
        <f t="shared" si="30"/>
        <v/>
      </c>
      <c r="I970" s="188" t="str">
        <f t="shared" si="31"/>
        <v/>
      </c>
      <c r="J970" s="221"/>
    </row>
    <row r="971" spans="1:10" s="90" customFormat="1" ht="14.25" hidden="1" x14ac:dyDescent="0.3">
      <c r="A971" s="141"/>
      <c r="B971" s="160">
        <v>955</v>
      </c>
      <c r="C971" s="224"/>
      <c r="D971" s="213"/>
      <c r="E971" s="215"/>
      <c r="F971" s="214"/>
      <c r="G971" s="214"/>
      <c r="H971" s="74" t="str">
        <f t="shared" si="30"/>
        <v/>
      </c>
      <c r="I971" s="188" t="str">
        <f t="shared" si="31"/>
        <v/>
      </c>
      <c r="J971" s="221"/>
    </row>
    <row r="972" spans="1:10" s="90" customFormat="1" ht="14.25" hidden="1" x14ac:dyDescent="0.3">
      <c r="A972" s="141"/>
      <c r="B972" s="160">
        <v>956</v>
      </c>
      <c r="C972" s="224"/>
      <c r="D972" s="213"/>
      <c r="E972" s="215"/>
      <c r="F972" s="214"/>
      <c r="G972" s="214"/>
      <c r="H972" s="74" t="str">
        <f t="shared" si="30"/>
        <v/>
      </c>
      <c r="I972" s="188" t="str">
        <f t="shared" si="31"/>
        <v/>
      </c>
      <c r="J972" s="221"/>
    </row>
    <row r="973" spans="1:10" s="90" customFormat="1" ht="14.25" hidden="1" x14ac:dyDescent="0.3">
      <c r="A973" s="141"/>
      <c r="B973" s="160">
        <v>957</v>
      </c>
      <c r="C973" s="224"/>
      <c r="D973" s="216"/>
      <c r="E973" s="215"/>
      <c r="F973" s="217"/>
      <c r="G973" s="218"/>
      <c r="H973" s="74" t="str">
        <f t="shared" si="30"/>
        <v/>
      </c>
      <c r="I973" s="188" t="str">
        <f t="shared" si="31"/>
        <v/>
      </c>
      <c r="J973" s="221"/>
    </row>
    <row r="974" spans="1:10" s="90" customFormat="1" ht="14.25" hidden="1" x14ac:dyDescent="0.3">
      <c r="A974" s="141"/>
      <c r="B974" s="160">
        <v>958</v>
      </c>
      <c r="C974" s="224"/>
      <c r="D974" s="213"/>
      <c r="E974" s="215"/>
      <c r="F974" s="214"/>
      <c r="G974" s="214"/>
      <c r="H974" s="74" t="str">
        <f t="shared" si="30"/>
        <v/>
      </c>
      <c r="I974" s="188" t="str">
        <f t="shared" si="31"/>
        <v/>
      </c>
      <c r="J974" s="221"/>
    </row>
    <row r="975" spans="1:10" s="90" customFormat="1" ht="14.25" hidden="1" x14ac:dyDescent="0.3">
      <c r="A975" s="141"/>
      <c r="B975" s="160">
        <v>959</v>
      </c>
      <c r="C975" s="224"/>
      <c r="D975" s="213"/>
      <c r="E975" s="215"/>
      <c r="F975" s="214"/>
      <c r="G975" s="214"/>
      <c r="H975" s="74" t="str">
        <f t="shared" si="30"/>
        <v/>
      </c>
      <c r="I975" s="188" t="str">
        <f t="shared" si="31"/>
        <v/>
      </c>
      <c r="J975" s="221"/>
    </row>
    <row r="976" spans="1:10" s="90" customFormat="1" ht="14.25" hidden="1" x14ac:dyDescent="0.3">
      <c r="A976" s="141"/>
      <c r="B976" s="160">
        <v>960</v>
      </c>
      <c r="C976" s="224"/>
      <c r="D976" s="216"/>
      <c r="E976" s="215"/>
      <c r="F976" s="217"/>
      <c r="G976" s="218"/>
      <c r="H976" s="74" t="str">
        <f t="shared" si="30"/>
        <v/>
      </c>
      <c r="I976" s="188" t="str">
        <f t="shared" si="31"/>
        <v/>
      </c>
      <c r="J976" s="221"/>
    </row>
    <row r="977" spans="1:10" s="90" customFormat="1" ht="14.25" hidden="1" x14ac:dyDescent="0.3">
      <c r="A977" s="141"/>
      <c r="B977" s="160">
        <v>961</v>
      </c>
      <c r="C977" s="224"/>
      <c r="D977" s="213"/>
      <c r="E977" s="215"/>
      <c r="F977" s="214"/>
      <c r="G977" s="214"/>
      <c r="H977" s="74" t="str">
        <f t="shared" ref="H977:H1016" si="32">ObterComplexidadeFuncao(E977,F977,G977)</f>
        <v/>
      </c>
      <c r="I977" s="188" t="str">
        <f t="shared" si="31"/>
        <v/>
      </c>
      <c r="J977" s="221"/>
    </row>
    <row r="978" spans="1:10" s="90" customFormat="1" ht="14.25" hidden="1" x14ac:dyDescent="0.3">
      <c r="A978" s="141"/>
      <c r="B978" s="160">
        <v>962</v>
      </c>
      <c r="C978" s="224"/>
      <c r="D978" s="213"/>
      <c r="E978" s="215"/>
      <c r="F978" s="214"/>
      <c r="G978" s="214"/>
      <c r="H978" s="74" t="str">
        <f t="shared" si="32"/>
        <v/>
      </c>
      <c r="I978" s="188" t="str">
        <f t="shared" ref="I978:I1016" si="33">ObterContribuicaoFuncao(E978,H978)</f>
        <v/>
      </c>
      <c r="J978" s="221"/>
    </row>
    <row r="979" spans="1:10" s="90" customFormat="1" ht="14.25" hidden="1" x14ac:dyDescent="0.3">
      <c r="A979" s="141"/>
      <c r="B979" s="160">
        <v>963</v>
      </c>
      <c r="C979" s="224"/>
      <c r="D979" s="216"/>
      <c r="E979" s="215"/>
      <c r="F979" s="217"/>
      <c r="G979" s="218"/>
      <c r="H979" s="74" t="str">
        <f t="shared" si="32"/>
        <v/>
      </c>
      <c r="I979" s="188" t="str">
        <f t="shared" si="33"/>
        <v/>
      </c>
      <c r="J979" s="221"/>
    </row>
    <row r="980" spans="1:10" s="90" customFormat="1" ht="14.25" hidden="1" x14ac:dyDescent="0.3">
      <c r="A980" s="141"/>
      <c r="B980" s="160">
        <v>964</v>
      </c>
      <c r="C980" s="224"/>
      <c r="D980" s="213"/>
      <c r="E980" s="215"/>
      <c r="F980" s="214"/>
      <c r="G980" s="214"/>
      <c r="H980" s="74" t="str">
        <f t="shared" si="32"/>
        <v/>
      </c>
      <c r="I980" s="188" t="str">
        <f t="shared" si="33"/>
        <v/>
      </c>
      <c r="J980" s="221"/>
    </row>
    <row r="981" spans="1:10" s="90" customFormat="1" ht="14.25" hidden="1" x14ac:dyDescent="0.3">
      <c r="A981" s="141"/>
      <c r="B981" s="160">
        <v>965</v>
      </c>
      <c r="C981" s="224"/>
      <c r="D981" s="213"/>
      <c r="E981" s="215"/>
      <c r="F981" s="214"/>
      <c r="G981" s="214"/>
      <c r="H981" s="74" t="str">
        <f t="shared" si="32"/>
        <v/>
      </c>
      <c r="I981" s="188" t="str">
        <f t="shared" si="33"/>
        <v/>
      </c>
      <c r="J981" s="221"/>
    </row>
    <row r="982" spans="1:10" s="90" customFormat="1" ht="14.25" hidden="1" x14ac:dyDescent="0.3">
      <c r="A982" s="141"/>
      <c r="B982" s="160">
        <v>966</v>
      </c>
      <c r="C982" s="224"/>
      <c r="D982" s="216"/>
      <c r="E982" s="215"/>
      <c r="F982" s="217"/>
      <c r="G982" s="218"/>
      <c r="H982" s="74" t="str">
        <f t="shared" si="32"/>
        <v/>
      </c>
      <c r="I982" s="188" t="str">
        <f t="shared" si="33"/>
        <v/>
      </c>
      <c r="J982" s="221"/>
    </row>
    <row r="983" spans="1:10" s="90" customFormat="1" ht="14.25" hidden="1" x14ac:dyDescent="0.3">
      <c r="A983" s="141"/>
      <c r="B983" s="160">
        <v>967</v>
      </c>
      <c r="C983" s="224"/>
      <c r="D983" s="213"/>
      <c r="E983" s="215"/>
      <c r="F983" s="214"/>
      <c r="G983" s="214"/>
      <c r="H983" s="74" t="str">
        <f t="shared" si="32"/>
        <v/>
      </c>
      <c r="I983" s="188" t="str">
        <f t="shared" si="33"/>
        <v/>
      </c>
      <c r="J983" s="221"/>
    </row>
    <row r="984" spans="1:10" s="90" customFormat="1" ht="14.25" hidden="1" x14ac:dyDescent="0.3">
      <c r="A984" s="141"/>
      <c r="B984" s="160">
        <v>968</v>
      </c>
      <c r="C984" s="224"/>
      <c r="D984" s="213"/>
      <c r="E984" s="215"/>
      <c r="F984" s="214"/>
      <c r="G984" s="214"/>
      <c r="H984" s="74" t="str">
        <f t="shared" si="32"/>
        <v/>
      </c>
      <c r="I984" s="188" t="str">
        <f t="shared" si="33"/>
        <v/>
      </c>
      <c r="J984" s="221"/>
    </row>
    <row r="985" spans="1:10" s="90" customFormat="1" ht="14.25" hidden="1" x14ac:dyDescent="0.3">
      <c r="A985" s="141"/>
      <c r="B985" s="160">
        <v>969</v>
      </c>
      <c r="C985" s="224"/>
      <c r="D985" s="216"/>
      <c r="E985" s="215"/>
      <c r="F985" s="217"/>
      <c r="G985" s="218"/>
      <c r="H985" s="74" t="str">
        <f t="shared" si="32"/>
        <v/>
      </c>
      <c r="I985" s="188" t="str">
        <f t="shared" si="33"/>
        <v/>
      </c>
      <c r="J985" s="221"/>
    </row>
    <row r="986" spans="1:10" s="90" customFormat="1" ht="14.25" hidden="1" x14ac:dyDescent="0.3">
      <c r="A986" s="141"/>
      <c r="B986" s="160">
        <v>970</v>
      </c>
      <c r="C986" s="224"/>
      <c r="D986" s="213"/>
      <c r="E986" s="215"/>
      <c r="F986" s="214"/>
      <c r="G986" s="214"/>
      <c r="H986" s="74" t="str">
        <f t="shared" si="32"/>
        <v/>
      </c>
      <c r="I986" s="188" t="str">
        <f t="shared" si="33"/>
        <v/>
      </c>
      <c r="J986" s="221"/>
    </row>
    <row r="987" spans="1:10" s="90" customFormat="1" ht="14.25" hidden="1" x14ac:dyDescent="0.3">
      <c r="A987" s="141"/>
      <c r="B987" s="160">
        <v>971</v>
      </c>
      <c r="C987" s="224"/>
      <c r="D987" s="213"/>
      <c r="E987" s="215"/>
      <c r="F987" s="214"/>
      <c r="G987" s="214"/>
      <c r="H987" s="74" t="str">
        <f t="shared" si="32"/>
        <v/>
      </c>
      <c r="I987" s="188" t="str">
        <f t="shared" si="33"/>
        <v/>
      </c>
      <c r="J987" s="221"/>
    </row>
    <row r="988" spans="1:10" s="90" customFormat="1" ht="14.25" hidden="1" x14ac:dyDescent="0.3">
      <c r="A988" s="141"/>
      <c r="B988" s="160">
        <v>972</v>
      </c>
      <c r="C988" s="224"/>
      <c r="D988" s="216"/>
      <c r="E988" s="215"/>
      <c r="F988" s="217"/>
      <c r="G988" s="218"/>
      <c r="H988" s="74" t="str">
        <f t="shared" si="32"/>
        <v/>
      </c>
      <c r="I988" s="188" t="str">
        <f t="shared" si="33"/>
        <v/>
      </c>
      <c r="J988" s="221"/>
    </row>
    <row r="989" spans="1:10" s="90" customFormat="1" ht="14.25" hidden="1" x14ac:dyDescent="0.3">
      <c r="A989" s="141"/>
      <c r="B989" s="160">
        <v>973</v>
      </c>
      <c r="C989" s="224"/>
      <c r="D989" s="213"/>
      <c r="E989" s="215"/>
      <c r="F989" s="214"/>
      <c r="G989" s="214"/>
      <c r="H989" s="74" t="str">
        <f t="shared" si="32"/>
        <v/>
      </c>
      <c r="I989" s="188" t="str">
        <f t="shared" si="33"/>
        <v/>
      </c>
      <c r="J989" s="221"/>
    </row>
    <row r="990" spans="1:10" s="90" customFormat="1" ht="14.25" hidden="1" x14ac:dyDescent="0.3">
      <c r="A990" s="141"/>
      <c r="B990" s="160">
        <v>974</v>
      </c>
      <c r="C990" s="224"/>
      <c r="D990" s="213"/>
      <c r="E990" s="215"/>
      <c r="F990" s="214"/>
      <c r="G990" s="214"/>
      <c r="H990" s="74" t="str">
        <f t="shared" si="32"/>
        <v/>
      </c>
      <c r="I990" s="188" t="str">
        <f t="shared" si="33"/>
        <v/>
      </c>
      <c r="J990" s="221"/>
    </row>
    <row r="991" spans="1:10" s="90" customFormat="1" ht="14.25" hidden="1" x14ac:dyDescent="0.3">
      <c r="A991" s="141"/>
      <c r="B991" s="160">
        <v>975</v>
      </c>
      <c r="C991" s="224"/>
      <c r="D991" s="216"/>
      <c r="E991" s="215"/>
      <c r="F991" s="217"/>
      <c r="G991" s="218"/>
      <c r="H991" s="74" t="str">
        <f t="shared" si="32"/>
        <v/>
      </c>
      <c r="I991" s="188" t="str">
        <f t="shared" si="33"/>
        <v/>
      </c>
      <c r="J991" s="221"/>
    </row>
    <row r="992" spans="1:10" s="90" customFormat="1" ht="14.25" hidden="1" x14ac:dyDescent="0.3">
      <c r="A992" s="141"/>
      <c r="B992" s="160">
        <v>976</v>
      </c>
      <c r="C992" s="224"/>
      <c r="D992" s="213"/>
      <c r="E992" s="215"/>
      <c r="F992" s="214"/>
      <c r="G992" s="214"/>
      <c r="H992" s="74" t="str">
        <f t="shared" si="32"/>
        <v/>
      </c>
      <c r="I992" s="188" t="str">
        <f t="shared" si="33"/>
        <v/>
      </c>
      <c r="J992" s="221"/>
    </row>
    <row r="993" spans="1:10" s="90" customFormat="1" ht="14.25" hidden="1" x14ac:dyDescent="0.3">
      <c r="A993" s="141"/>
      <c r="B993" s="160">
        <v>977</v>
      </c>
      <c r="C993" s="224"/>
      <c r="D993" s="213"/>
      <c r="E993" s="215"/>
      <c r="F993" s="214"/>
      <c r="G993" s="214"/>
      <c r="H993" s="74" t="str">
        <f t="shared" si="32"/>
        <v/>
      </c>
      <c r="I993" s="188" t="str">
        <f t="shared" si="33"/>
        <v/>
      </c>
      <c r="J993" s="221"/>
    </row>
    <row r="994" spans="1:10" s="90" customFormat="1" ht="14.25" hidden="1" x14ac:dyDescent="0.3">
      <c r="A994" s="141"/>
      <c r="B994" s="160">
        <v>978</v>
      </c>
      <c r="C994" s="224"/>
      <c r="D994" s="216"/>
      <c r="E994" s="215"/>
      <c r="F994" s="217"/>
      <c r="G994" s="218"/>
      <c r="H994" s="74" t="str">
        <f t="shared" si="32"/>
        <v/>
      </c>
      <c r="I994" s="188" t="str">
        <f t="shared" si="33"/>
        <v/>
      </c>
      <c r="J994" s="221"/>
    </row>
    <row r="995" spans="1:10" s="90" customFormat="1" ht="14.25" hidden="1" x14ac:dyDescent="0.3">
      <c r="A995" s="141"/>
      <c r="B995" s="160">
        <v>979</v>
      </c>
      <c r="C995" s="224"/>
      <c r="D995" s="213"/>
      <c r="E995" s="215"/>
      <c r="F995" s="214"/>
      <c r="G995" s="214"/>
      <c r="H995" s="74" t="str">
        <f t="shared" si="32"/>
        <v/>
      </c>
      <c r="I995" s="188" t="str">
        <f t="shared" si="33"/>
        <v/>
      </c>
      <c r="J995" s="221"/>
    </row>
    <row r="996" spans="1:10" s="90" customFormat="1" ht="14.25" hidden="1" x14ac:dyDescent="0.3">
      <c r="A996" s="141"/>
      <c r="B996" s="160">
        <v>980</v>
      </c>
      <c r="C996" s="224"/>
      <c r="D996" s="213"/>
      <c r="E996" s="215"/>
      <c r="F996" s="214"/>
      <c r="G996" s="214"/>
      <c r="H996" s="74" t="str">
        <f t="shared" si="32"/>
        <v/>
      </c>
      <c r="I996" s="188" t="str">
        <f t="shared" si="33"/>
        <v/>
      </c>
      <c r="J996" s="221"/>
    </row>
    <row r="997" spans="1:10" s="90" customFormat="1" ht="14.25" hidden="1" x14ac:dyDescent="0.3">
      <c r="A997" s="141"/>
      <c r="B997" s="160">
        <v>981</v>
      </c>
      <c r="C997" s="224"/>
      <c r="D997" s="216"/>
      <c r="E997" s="215"/>
      <c r="F997" s="217"/>
      <c r="G997" s="218"/>
      <c r="H997" s="74" t="str">
        <f t="shared" si="32"/>
        <v/>
      </c>
      <c r="I997" s="188" t="str">
        <f t="shared" si="33"/>
        <v/>
      </c>
      <c r="J997" s="221"/>
    </row>
    <row r="998" spans="1:10" s="90" customFormat="1" ht="14.25" hidden="1" x14ac:dyDescent="0.3">
      <c r="A998" s="141"/>
      <c r="B998" s="160">
        <v>982</v>
      </c>
      <c r="C998" s="224"/>
      <c r="D998" s="213"/>
      <c r="E998" s="215"/>
      <c r="F998" s="214"/>
      <c r="G998" s="214"/>
      <c r="H998" s="74" t="str">
        <f t="shared" si="32"/>
        <v/>
      </c>
      <c r="I998" s="188" t="str">
        <f t="shared" si="33"/>
        <v/>
      </c>
      <c r="J998" s="221"/>
    </row>
    <row r="999" spans="1:10" s="90" customFormat="1" ht="14.25" hidden="1" x14ac:dyDescent="0.3">
      <c r="A999" s="141"/>
      <c r="B999" s="160">
        <v>983</v>
      </c>
      <c r="C999" s="224"/>
      <c r="D999" s="213"/>
      <c r="E999" s="215"/>
      <c r="F999" s="214"/>
      <c r="G999" s="214"/>
      <c r="H999" s="74" t="str">
        <f t="shared" si="32"/>
        <v/>
      </c>
      <c r="I999" s="188" t="str">
        <f t="shared" si="33"/>
        <v/>
      </c>
      <c r="J999" s="221"/>
    </row>
    <row r="1000" spans="1:10" s="90" customFormat="1" ht="14.25" hidden="1" x14ac:dyDescent="0.3">
      <c r="A1000" s="141"/>
      <c r="B1000" s="160">
        <v>984</v>
      </c>
      <c r="C1000" s="224"/>
      <c r="D1000" s="216"/>
      <c r="E1000" s="215"/>
      <c r="F1000" s="217"/>
      <c r="G1000" s="218"/>
      <c r="H1000" s="74" t="str">
        <f t="shared" si="32"/>
        <v/>
      </c>
      <c r="I1000" s="188" t="str">
        <f t="shared" si="33"/>
        <v/>
      </c>
      <c r="J1000" s="221"/>
    </row>
    <row r="1001" spans="1:10" s="90" customFormat="1" ht="14.25" hidden="1" x14ac:dyDescent="0.3">
      <c r="A1001" s="141"/>
      <c r="B1001" s="160">
        <v>985</v>
      </c>
      <c r="C1001" s="224"/>
      <c r="D1001" s="213"/>
      <c r="E1001" s="215"/>
      <c r="F1001" s="214"/>
      <c r="G1001" s="214"/>
      <c r="H1001" s="74" t="str">
        <f t="shared" si="32"/>
        <v/>
      </c>
      <c r="I1001" s="188" t="str">
        <f t="shared" si="33"/>
        <v/>
      </c>
      <c r="J1001" s="221"/>
    </row>
    <row r="1002" spans="1:10" s="90" customFormat="1" ht="14.25" hidden="1" x14ac:dyDescent="0.3">
      <c r="A1002" s="141"/>
      <c r="B1002" s="160">
        <v>986</v>
      </c>
      <c r="C1002" s="224"/>
      <c r="D1002" s="213"/>
      <c r="E1002" s="215"/>
      <c r="F1002" s="214"/>
      <c r="G1002" s="214"/>
      <c r="H1002" s="74" t="str">
        <f t="shared" si="32"/>
        <v/>
      </c>
      <c r="I1002" s="188" t="str">
        <f t="shared" si="33"/>
        <v/>
      </c>
      <c r="J1002" s="221"/>
    </row>
    <row r="1003" spans="1:10" s="90" customFormat="1" ht="14.25" hidden="1" x14ac:dyDescent="0.3">
      <c r="A1003" s="141"/>
      <c r="B1003" s="160">
        <v>987</v>
      </c>
      <c r="C1003" s="224"/>
      <c r="D1003" s="216"/>
      <c r="E1003" s="215"/>
      <c r="F1003" s="217"/>
      <c r="G1003" s="218"/>
      <c r="H1003" s="74" t="str">
        <f t="shared" si="32"/>
        <v/>
      </c>
      <c r="I1003" s="188" t="str">
        <f t="shared" si="33"/>
        <v/>
      </c>
      <c r="J1003" s="221"/>
    </row>
    <row r="1004" spans="1:10" s="90" customFormat="1" ht="14.25" hidden="1" x14ac:dyDescent="0.3">
      <c r="A1004" s="141"/>
      <c r="B1004" s="160">
        <v>988</v>
      </c>
      <c r="C1004" s="224"/>
      <c r="D1004" s="213"/>
      <c r="E1004" s="215"/>
      <c r="F1004" s="214"/>
      <c r="G1004" s="214"/>
      <c r="H1004" s="74" t="str">
        <f t="shared" si="32"/>
        <v/>
      </c>
      <c r="I1004" s="188" t="str">
        <f t="shared" si="33"/>
        <v/>
      </c>
      <c r="J1004" s="221"/>
    </row>
    <row r="1005" spans="1:10" s="90" customFormat="1" ht="14.25" hidden="1" x14ac:dyDescent="0.3">
      <c r="A1005" s="141"/>
      <c r="B1005" s="160">
        <v>989</v>
      </c>
      <c r="C1005" s="224"/>
      <c r="D1005" s="213"/>
      <c r="E1005" s="215"/>
      <c r="F1005" s="214"/>
      <c r="G1005" s="214"/>
      <c r="H1005" s="74" t="str">
        <f t="shared" si="32"/>
        <v/>
      </c>
      <c r="I1005" s="188" t="str">
        <f t="shared" si="33"/>
        <v/>
      </c>
      <c r="J1005" s="221"/>
    </row>
    <row r="1006" spans="1:10" s="90" customFormat="1" ht="14.25" hidden="1" x14ac:dyDescent="0.3">
      <c r="A1006" s="141"/>
      <c r="B1006" s="160">
        <v>990</v>
      </c>
      <c r="C1006" s="224"/>
      <c r="D1006" s="216"/>
      <c r="E1006" s="215"/>
      <c r="F1006" s="217"/>
      <c r="G1006" s="218"/>
      <c r="H1006" s="74" t="str">
        <f t="shared" si="32"/>
        <v/>
      </c>
      <c r="I1006" s="188" t="str">
        <f t="shared" si="33"/>
        <v/>
      </c>
      <c r="J1006" s="221"/>
    </row>
    <row r="1007" spans="1:10" s="90" customFormat="1" ht="14.25" hidden="1" x14ac:dyDescent="0.3">
      <c r="A1007" s="141"/>
      <c r="B1007" s="160">
        <v>991</v>
      </c>
      <c r="C1007" s="224"/>
      <c r="D1007" s="213"/>
      <c r="E1007" s="215"/>
      <c r="F1007" s="214"/>
      <c r="G1007" s="214"/>
      <c r="H1007" s="74" t="str">
        <f t="shared" si="32"/>
        <v/>
      </c>
      <c r="I1007" s="188" t="str">
        <f t="shared" si="33"/>
        <v/>
      </c>
      <c r="J1007" s="221"/>
    </row>
    <row r="1008" spans="1:10" s="90" customFormat="1" ht="14.25" hidden="1" x14ac:dyDescent="0.3">
      <c r="A1008" s="141"/>
      <c r="B1008" s="160">
        <v>992</v>
      </c>
      <c r="C1008" s="224"/>
      <c r="D1008" s="213"/>
      <c r="E1008" s="215"/>
      <c r="F1008" s="214"/>
      <c r="G1008" s="214"/>
      <c r="H1008" s="74" t="str">
        <f t="shared" si="32"/>
        <v/>
      </c>
      <c r="I1008" s="188" t="str">
        <f t="shared" si="33"/>
        <v/>
      </c>
      <c r="J1008" s="221"/>
    </row>
    <row r="1009" spans="1:10" s="90" customFormat="1" ht="14.25" hidden="1" x14ac:dyDescent="0.3">
      <c r="A1009" s="141"/>
      <c r="B1009" s="160">
        <v>993</v>
      </c>
      <c r="C1009" s="224"/>
      <c r="D1009" s="216"/>
      <c r="E1009" s="215"/>
      <c r="F1009" s="217"/>
      <c r="G1009" s="218"/>
      <c r="H1009" s="74" t="str">
        <f t="shared" si="32"/>
        <v/>
      </c>
      <c r="I1009" s="188" t="str">
        <f t="shared" si="33"/>
        <v/>
      </c>
      <c r="J1009" s="221"/>
    </row>
    <row r="1010" spans="1:10" s="90" customFormat="1" ht="14.25" hidden="1" x14ac:dyDescent="0.3">
      <c r="A1010" s="141"/>
      <c r="B1010" s="160">
        <v>994</v>
      </c>
      <c r="C1010" s="224"/>
      <c r="D1010" s="213"/>
      <c r="E1010" s="215"/>
      <c r="F1010" s="214"/>
      <c r="G1010" s="214"/>
      <c r="H1010" s="74" t="str">
        <f t="shared" si="32"/>
        <v/>
      </c>
      <c r="I1010" s="188" t="str">
        <f t="shared" si="33"/>
        <v/>
      </c>
      <c r="J1010" s="221"/>
    </row>
    <row r="1011" spans="1:10" s="90" customFormat="1" ht="14.25" hidden="1" x14ac:dyDescent="0.3">
      <c r="A1011" s="141"/>
      <c r="B1011" s="160">
        <v>995</v>
      </c>
      <c r="C1011" s="224"/>
      <c r="D1011" s="213"/>
      <c r="E1011" s="215"/>
      <c r="F1011" s="214"/>
      <c r="G1011" s="214"/>
      <c r="H1011" s="74" t="str">
        <f t="shared" si="32"/>
        <v/>
      </c>
      <c r="I1011" s="188" t="str">
        <f t="shared" si="33"/>
        <v/>
      </c>
      <c r="J1011" s="221"/>
    </row>
    <row r="1012" spans="1:10" s="90" customFormat="1" ht="14.25" hidden="1" x14ac:dyDescent="0.3">
      <c r="A1012" s="141"/>
      <c r="B1012" s="160">
        <v>996</v>
      </c>
      <c r="C1012" s="224"/>
      <c r="D1012" s="216"/>
      <c r="E1012" s="215"/>
      <c r="F1012" s="217"/>
      <c r="G1012" s="218"/>
      <c r="H1012" s="74" t="str">
        <f t="shared" si="32"/>
        <v/>
      </c>
      <c r="I1012" s="188" t="str">
        <f t="shared" si="33"/>
        <v/>
      </c>
      <c r="J1012" s="221"/>
    </row>
    <row r="1013" spans="1:10" s="90" customFormat="1" ht="14.25" hidden="1" x14ac:dyDescent="0.3">
      <c r="A1013" s="141"/>
      <c r="B1013" s="160">
        <v>997</v>
      </c>
      <c r="C1013" s="224"/>
      <c r="D1013" s="213"/>
      <c r="E1013" s="215"/>
      <c r="F1013" s="214"/>
      <c r="G1013" s="214"/>
      <c r="H1013" s="74" t="str">
        <f t="shared" si="32"/>
        <v/>
      </c>
      <c r="I1013" s="188" t="str">
        <f t="shared" si="33"/>
        <v/>
      </c>
      <c r="J1013" s="221"/>
    </row>
    <row r="1014" spans="1:10" s="90" customFormat="1" ht="14.25" hidden="1" x14ac:dyDescent="0.3">
      <c r="A1014" s="141"/>
      <c r="B1014" s="160">
        <v>998</v>
      </c>
      <c r="C1014" s="224"/>
      <c r="D1014" s="213"/>
      <c r="E1014" s="215"/>
      <c r="F1014" s="214"/>
      <c r="G1014" s="214"/>
      <c r="H1014" s="74" t="str">
        <f t="shared" si="32"/>
        <v/>
      </c>
      <c r="I1014" s="188" t="str">
        <f t="shared" si="33"/>
        <v/>
      </c>
      <c r="J1014" s="221"/>
    </row>
    <row r="1015" spans="1:10" s="90" customFormat="1" ht="14.25" hidden="1" x14ac:dyDescent="0.3">
      <c r="A1015" s="141"/>
      <c r="B1015" s="160">
        <v>999</v>
      </c>
      <c r="C1015" s="224"/>
      <c r="D1015" s="216"/>
      <c r="E1015" s="215"/>
      <c r="F1015" s="217"/>
      <c r="G1015" s="218"/>
      <c r="H1015" s="74" t="str">
        <f t="shared" si="32"/>
        <v/>
      </c>
      <c r="I1015" s="188" t="str">
        <f t="shared" si="33"/>
        <v/>
      </c>
      <c r="J1015" s="221"/>
    </row>
    <row r="1016" spans="1:10" s="90" customFormat="1" hidden="1" thickBot="1" x14ac:dyDescent="0.35">
      <c r="A1016" s="141"/>
      <c r="B1016" s="161">
        <v>1000</v>
      </c>
      <c r="C1016" s="224"/>
      <c r="D1016" s="219"/>
      <c r="E1016" s="225"/>
      <c r="F1016" s="220"/>
      <c r="G1016" s="220"/>
      <c r="H1016" s="74" t="str">
        <f t="shared" si="32"/>
        <v/>
      </c>
      <c r="I1016" s="188" t="str">
        <f t="shared" si="33"/>
        <v/>
      </c>
      <c r="J1016" s="222"/>
    </row>
    <row r="1017" spans="1:10" s="90" customFormat="1" hidden="1" thickBot="1" x14ac:dyDescent="0.35">
      <c r="A1017" s="141"/>
      <c r="B1017" s="156"/>
      <c r="C1017" s="171"/>
      <c r="D1017" s="162"/>
      <c r="E1017" s="163"/>
      <c r="F1017" s="163"/>
      <c r="G1017" s="164"/>
      <c r="H1017" s="91" t="e">
        <f>IF(#REF!&lt;&gt;"","Baixa",IF(#REF!&lt;&gt;"","Média",IF(#REF!&lt;&gt;"","Alta","")))</f>
        <v>#REF!</v>
      </c>
      <c r="J1017" s="190"/>
    </row>
    <row r="1018" spans="1:10" s="68" customFormat="1" ht="12.75" customHeight="1" thickBot="1" x14ac:dyDescent="0.35">
      <c r="A1018" s="92"/>
      <c r="B1018" s="165">
        <v>7</v>
      </c>
      <c r="C1018" s="158"/>
      <c r="D1018" s="157"/>
      <c r="E1018" s="157"/>
      <c r="F1018" s="157"/>
      <c r="G1018" s="157"/>
      <c r="H1018" s="157"/>
      <c r="I1018" s="189">
        <f>SUM(I17:I1017)</f>
        <v>686</v>
      </c>
      <c r="J1018" s="159"/>
    </row>
    <row r="1019" spans="1:10" s="68" customFormat="1" ht="12.75" hidden="1" customHeight="1" x14ac:dyDescent="0.3">
      <c r="A1019" s="92"/>
      <c r="B1019" s="92"/>
      <c r="C1019" s="93"/>
      <c r="D1019" s="92"/>
      <c r="E1019" s="92"/>
      <c r="F1019" s="92"/>
      <c r="G1019" s="92"/>
      <c r="H1019" s="92"/>
      <c r="J1019" s="92"/>
    </row>
    <row r="1020" spans="1:10" s="68" customFormat="1" ht="12.75" hidden="1" customHeight="1" x14ac:dyDescent="0.3">
      <c r="A1020" s="92"/>
      <c r="B1020" s="92"/>
      <c r="C1020" s="93"/>
      <c r="D1020" s="92"/>
      <c r="E1020" s="92"/>
      <c r="F1020" s="92"/>
      <c r="G1020" s="92"/>
      <c r="H1020" s="92"/>
      <c r="J1020" s="92"/>
    </row>
    <row r="1021" spans="1:10" s="68" customFormat="1" ht="12.75" hidden="1" customHeight="1" x14ac:dyDescent="0.3">
      <c r="A1021" s="93"/>
      <c r="B1021" s="93"/>
      <c r="C1021" s="93"/>
      <c r="D1021" s="93"/>
      <c r="E1021" s="93"/>
      <c r="F1021" s="93"/>
      <c r="G1021" s="93"/>
      <c r="H1021" s="94"/>
      <c r="J1021" s="93"/>
    </row>
    <row r="1022" spans="1:10" s="68" customFormat="1" ht="12.75" hidden="1" customHeight="1" x14ac:dyDescent="0.3">
      <c r="A1022" s="72">
        <v>1</v>
      </c>
      <c r="B1022" s="72">
        <v>10</v>
      </c>
      <c r="C1022" s="72"/>
      <c r="D1022" s="72"/>
      <c r="E1022" s="72"/>
      <c r="F1022" s="95"/>
      <c r="H1022" s="72"/>
      <c r="J1022" s="72"/>
    </row>
    <row r="1023" spans="1:10" s="68" customFormat="1" ht="12.75" hidden="1" customHeight="1" x14ac:dyDescent="0.3">
      <c r="A1023" s="71">
        <v>2</v>
      </c>
      <c r="B1023" s="72">
        <v>20</v>
      </c>
      <c r="C1023" s="71"/>
      <c r="D1023" s="71"/>
      <c r="E1023" s="71"/>
      <c r="F1023" s="95"/>
      <c r="H1023" s="71"/>
      <c r="J1023" s="71"/>
    </row>
    <row r="1024" spans="1:10" s="68" customFormat="1" ht="12.75" hidden="1" customHeight="1" x14ac:dyDescent="0.3">
      <c r="A1024" s="71">
        <v>3</v>
      </c>
      <c r="B1024" s="72">
        <v>30</v>
      </c>
      <c r="C1024" s="71"/>
      <c r="D1024" s="71"/>
      <c r="E1024" s="71"/>
      <c r="F1024" s="95"/>
      <c r="H1024" s="71"/>
      <c r="J1024" s="71"/>
    </row>
    <row r="1025" spans="1:10" s="68" customFormat="1" ht="12.75" hidden="1" customHeight="1" x14ac:dyDescent="0.3">
      <c r="A1025" s="68">
        <v>4</v>
      </c>
      <c r="B1025" s="72">
        <v>40</v>
      </c>
      <c r="F1025" s="69"/>
    </row>
    <row r="1026" spans="1:10" s="68" customFormat="1" ht="12.75" hidden="1" customHeight="1" x14ac:dyDescent="0.3">
      <c r="A1026" s="68">
        <v>5</v>
      </c>
      <c r="B1026" s="72">
        <v>50</v>
      </c>
      <c r="F1026" s="69"/>
    </row>
    <row r="1027" spans="1:10" s="68" customFormat="1" ht="12.75" hidden="1" customHeight="1" x14ac:dyDescent="0.3">
      <c r="A1027" s="68">
        <v>6</v>
      </c>
      <c r="B1027" s="72">
        <v>100</v>
      </c>
      <c r="F1027" s="69"/>
    </row>
    <row r="1028" spans="1:10" s="68" customFormat="1" ht="12.75" hidden="1" customHeight="1" x14ac:dyDescent="0.3">
      <c r="A1028" s="68">
        <v>7</v>
      </c>
      <c r="B1028" s="72">
        <v>200</v>
      </c>
      <c r="F1028" s="69"/>
    </row>
    <row r="1029" spans="1:10" s="68" customFormat="1" ht="12.75" hidden="1" customHeight="1" x14ac:dyDescent="0.3">
      <c r="A1029" s="68">
        <v>8</v>
      </c>
      <c r="B1029" s="72">
        <v>300</v>
      </c>
      <c r="F1029" s="69"/>
    </row>
    <row r="1030" spans="1:10" s="68" customFormat="1" ht="12.75" hidden="1" customHeight="1" x14ac:dyDescent="0.3">
      <c r="A1030" s="68">
        <v>9</v>
      </c>
      <c r="B1030" s="72">
        <v>500</v>
      </c>
      <c r="F1030" s="69"/>
    </row>
    <row r="1031" spans="1:10" s="68" customFormat="1" ht="12.75" hidden="1" customHeight="1" x14ac:dyDescent="0.3">
      <c r="A1031" s="68">
        <v>10</v>
      </c>
      <c r="B1031" s="72">
        <v>1000</v>
      </c>
      <c r="F1031" s="69"/>
    </row>
    <row r="1032" spans="1:10" s="68" customFormat="1" ht="12.75" hidden="1" customHeight="1" x14ac:dyDescent="0.3">
      <c r="B1032" s="72">
        <v>1</v>
      </c>
      <c r="F1032" s="69"/>
    </row>
    <row r="1033" spans="1:10" s="68" customFormat="1" ht="12.75" hidden="1" customHeight="1" x14ac:dyDescent="0.3">
      <c r="B1033" s="72">
        <v>2</v>
      </c>
      <c r="F1033" s="69"/>
    </row>
    <row r="1034" spans="1:10" s="68" customFormat="1" ht="12.75" hidden="1" customHeight="1" x14ac:dyDescent="0.2">
      <c r="B1034" s="68">
        <v>1</v>
      </c>
      <c r="F1034" s="69"/>
    </row>
    <row r="1035" spans="1:10" s="68" customFormat="1" ht="12.75" hidden="1" customHeight="1" x14ac:dyDescent="0.2">
      <c r="B1035" s="68">
        <f>IF(B1033&lt;&gt;"",VLOOKUP(B1033,A1022:B1031,2),0)</f>
        <v>20</v>
      </c>
      <c r="F1035" s="69"/>
    </row>
    <row r="1036" spans="1:10" s="90" customFormat="1" ht="12.75" customHeight="1" x14ac:dyDescent="0.3">
      <c r="A1036" s="92"/>
      <c r="B1036" s="92">
        <f>SUM(D1038:D1047)</f>
        <v>200</v>
      </c>
      <c r="C1036" s="166" t="s">
        <v>455</v>
      </c>
      <c r="D1036" s="92"/>
      <c r="E1036" s="92"/>
      <c r="F1036" s="92"/>
      <c r="G1036" s="92"/>
      <c r="H1036" s="92"/>
      <c r="J1036" s="92"/>
    </row>
    <row r="1037" spans="1:10" s="90" customFormat="1" ht="12.75" hidden="1" customHeight="1" x14ac:dyDescent="0.3">
      <c r="A1037" s="92"/>
      <c r="C1037" s="93"/>
      <c r="D1037" s="167"/>
      <c r="E1037" s="92"/>
      <c r="F1037" s="92"/>
      <c r="G1037" s="92"/>
      <c r="H1037" s="92"/>
      <c r="J1037" s="92"/>
    </row>
    <row r="1038" spans="1:10" s="90" customFormat="1" ht="12.75" hidden="1" customHeight="1" x14ac:dyDescent="0.3">
      <c r="A1038" s="92"/>
      <c r="B1038" s="92">
        <v>1</v>
      </c>
      <c r="C1038" s="93">
        <v>10</v>
      </c>
      <c r="D1038" s="167" t="str">
        <f>IF($B$1018=B1038,C1038,"")</f>
        <v/>
      </c>
      <c r="E1038" s="92"/>
      <c r="F1038" s="92"/>
      <c r="G1038" s="92"/>
      <c r="H1038" s="92"/>
      <c r="J1038" s="92"/>
    </row>
    <row r="1039" spans="1:10" s="96" customFormat="1" ht="12.75" hidden="1" customHeight="1" x14ac:dyDescent="0.3">
      <c r="A1039" s="92"/>
      <c r="B1039" s="92">
        <v>2</v>
      </c>
      <c r="C1039" s="93">
        <v>20</v>
      </c>
      <c r="D1039" s="167" t="str">
        <f t="shared" ref="D1039:D1047" si="34">IF($B$1018=B1039,C1039,"")</f>
        <v/>
      </c>
      <c r="E1039" s="92"/>
      <c r="F1039" s="92"/>
      <c r="G1039" s="92"/>
      <c r="H1039" s="92"/>
      <c r="J1039" s="92"/>
    </row>
    <row r="1040" spans="1:10" s="97" customFormat="1" ht="12.75" hidden="1" customHeight="1" x14ac:dyDescent="0.3">
      <c r="A1040" s="93"/>
      <c r="B1040" s="92">
        <v>3</v>
      </c>
      <c r="C1040" s="93">
        <v>30</v>
      </c>
      <c r="D1040" s="167" t="str">
        <f t="shared" si="34"/>
        <v/>
      </c>
      <c r="E1040" s="93"/>
      <c r="F1040" s="93"/>
      <c r="G1040" s="93"/>
      <c r="H1040" s="94"/>
      <c r="J1040" s="93"/>
    </row>
    <row r="1041" spans="2:8" s="92" customFormat="1" hidden="1" x14ac:dyDescent="0.3">
      <c r="B1041" s="92">
        <v>4</v>
      </c>
      <c r="C1041" s="93">
        <v>40</v>
      </c>
      <c r="D1041" s="167" t="str">
        <f t="shared" si="34"/>
        <v/>
      </c>
    </row>
    <row r="1042" spans="2:8" s="92" customFormat="1" ht="15" hidden="1" customHeight="1" x14ac:dyDescent="0.3">
      <c r="B1042" s="92">
        <v>5</v>
      </c>
      <c r="C1042" s="93">
        <v>50</v>
      </c>
      <c r="D1042" s="167" t="str">
        <f t="shared" si="34"/>
        <v/>
      </c>
    </row>
    <row r="1043" spans="2:8" s="92" customFormat="1" ht="15" hidden="1" customHeight="1" x14ac:dyDescent="0.3">
      <c r="B1043" s="92">
        <v>6</v>
      </c>
      <c r="C1043" s="93">
        <v>100</v>
      </c>
      <c r="D1043" s="167" t="str">
        <f t="shared" si="34"/>
        <v/>
      </c>
    </row>
    <row r="1044" spans="2:8" ht="15" hidden="1" customHeight="1" x14ac:dyDescent="0.3">
      <c r="B1044" s="92">
        <v>7</v>
      </c>
      <c r="C1044" s="93">
        <v>200</v>
      </c>
      <c r="D1044" s="167">
        <f t="shared" si="34"/>
        <v>200</v>
      </c>
    </row>
    <row r="1045" spans="2:8" hidden="1" x14ac:dyDescent="0.3">
      <c r="B1045" s="92">
        <v>8</v>
      </c>
      <c r="C1045" s="93">
        <v>300</v>
      </c>
      <c r="D1045" s="167" t="str">
        <f t="shared" si="34"/>
        <v/>
      </c>
    </row>
    <row r="1046" spans="2:8" hidden="1" x14ac:dyDescent="0.3">
      <c r="B1046" s="92">
        <v>9</v>
      </c>
      <c r="C1046" s="93">
        <v>500</v>
      </c>
      <c r="D1046" s="167" t="str">
        <f t="shared" si="34"/>
        <v/>
      </c>
    </row>
    <row r="1047" spans="2:8" hidden="1" x14ac:dyDescent="0.3">
      <c r="B1047" s="92">
        <v>10</v>
      </c>
      <c r="C1047" s="93">
        <v>1000</v>
      </c>
      <c r="D1047" s="167" t="str">
        <f t="shared" si="34"/>
        <v/>
      </c>
    </row>
    <row r="1048" spans="2:8" x14ac:dyDescent="0.3">
      <c r="B1048" s="92">
        <f>COUNTA(E17:E1017)</f>
        <v>169</v>
      </c>
      <c r="C1048" s="166" t="s">
        <v>458</v>
      </c>
    </row>
    <row r="1049" spans="2:8" x14ac:dyDescent="0.3">
      <c r="B1049" s="92">
        <f>COUNT(I17:I1017)</f>
        <v>167</v>
      </c>
      <c r="C1049" s="166" t="s">
        <v>459</v>
      </c>
    </row>
    <row r="1051" spans="2:8" hidden="1" x14ac:dyDescent="0.3">
      <c r="B1051" s="201" t="s">
        <v>227</v>
      </c>
      <c r="C1051" s="230" t="s">
        <v>433</v>
      </c>
      <c r="D1051" s="286" t="s">
        <v>475</v>
      </c>
      <c r="E1051" s="287"/>
    </row>
    <row r="1052" spans="2:8" hidden="1" x14ac:dyDescent="0.3">
      <c r="B1052" s="203">
        <f>SUMIF($E$17:$E$1017,C1052,$I$17:$I$1017)</f>
        <v>260</v>
      </c>
      <c r="C1052" s="204" t="s">
        <v>105</v>
      </c>
      <c r="D1052" s="288" t="s">
        <v>479</v>
      </c>
      <c r="E1052" s="289"/>
      <c r="F1052" s="231">
        <f>IF(B1052&lt;&gt;"",COUNTIF($E$17:$E$1017,C1052),"")</f>
        <v>65</v>
      </c>
    </row>
    <row r="1053" spans="2:8" hidden="1" x14ac:dyDescent="0.3">
      <c r="B1053" s="203">
        <f>SUMIF($E$17:$E$1017,C1053,$I$17:$I$1017)</f>
        <v>90</v>
      </c>
      <c r="C1053" s="204" t="s">
        <v>154</v>
      </c>
      <c r="D1053" s="288" t="s">
        <v>481</v>
      </c>
      <c r="E1053" s="289"/>
      <c r="F1053" s="231">
        <f>IF(B1053&lt;&gt;"",COUNTIF($E$17:$E$1017,C1053),"")</f>
        <v>18</v>
      </c>
      <c r="H1053" s="93"/>
    </row>
    <row r="1054" spans="2:8" hidden="1" x14ac:dyDescent="0.3">
      <c r="B1054" s="203">
        <f>SUMIF($E$17:$E$1017,C1054,$I$17:$I$1017)</f>
        <v>336</v>
      </c>
      <c r="C1054" s="204" t="s">
        <v>155</v>
      </c>
      <c r="D1054" s="288" t="s">
        <v>480</v>
      </c>
      <c r="E1054" s="289"/>
      <c r="F1054" s="231">
        <f>IF(B1054&lt;&gt;"",COUNTIF($E$17:$E$1017,C1054),"")</f>
        <v>84</v>
      </c>
      <c r="G1054" s="94"/>
    </row>
    <row r="1055" spans="2:8" hidden="1" x14ac:dyDescent="0.3">
      <c r="G1055" s="94"/>
    </row>
    <row r="1056" spans="2:8" hidden="1" x14ac:dyDescent="0.3">
      <c r="G1056" s="94"/>
    </row>
    <row r="1057" spans="7:7" hidden="1" x14ac:dyDescent="0.3">
      <c r="G1057" s="94"/>
    </row>
    <row r="1058" spans="7:7" hidden="1" x14ac:dyDescent="0.3">
      <c r="G1058" s="94"/>
    </row>
    <row r="1059" spans="7:7" hidden="1" x14ac:dyDescent="0.3">
      <c r="G1059" s="94"/>
    </row>
    <row r="1060" spans="7:7" hidden="1" x14ac:dyDescent="0.3">
      <c r="G1060" s="94"/>
    </row>
    <row r="1061" spans="7:7" hidden="1" x14ac:dyDescent="0.3">
      <c r="G1061" s="94"/>
    </row>
    <row r="1062" spans="7:7" hidden="1" x14ac:dyDescent="0.3">
      <c r="G1062" s="94"/>
    </row>
    <row r="1063" spans="7:7" hidden="1" x14ac:dyDescent="0.3">
      <c r="G1063" s="94"/>
    </row>
    <row r="1064" spans="7:7" hidden="1" x14ac:dyDescent="0.3">
      <c r="G1064" s="94"/>
    </row>
    <row r="1065" spans="7:7" hidden="1" x14ac:dyDescent="0.3">
      <c r="G1065" s="94"/>
    </row>
    <row r="1066" spans="7:7" hidden="1" x14ac:dyDescent="0.3">
      <c r="G1066" s="94"/>
    </row>
    <row r="1067" spans="7:7" hidden="1" x14ac:dyDescent="0.3"/>
    <row r="1068" spans="7:7" hidden="1" x14ac:dyDescent="0.3"/>
    <row r="1069" spans="7:7" hidden="1" x14ac:dyDescent="0.3"/>
    <row r="1070" spans="7:7" hidden="1" x14ac:dyDescent="0.3"/>
    <row r="1071" spans="7:7" hidden="1" x14ac:dyDescent="0.3"/>
    <row r="1072" spans="7:7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</sheetData>
  <mergeCells count="7">
    <mergeCell ref="D1053:E1053"/>
    <mergeCell ref="D1054:E1054"/>
    <mergeCell ref="D6:F6"/>
    <mergeCell ref="H6:H8"/>
    <mergeCell ref="F11:H11"/>
    <mergeCell ref="D1051:E1051"/>
    <mergeCell ref="D1052:E1052"/>
  </mergeCells>
  <dataValidations count="3">
    <dataValidation type="list" allowBlank="1" showInputMessage="1" showErrorMessage="1" sqref="E19:E21 E239:E419 E421:E422 E162 E433:E1016 E424:E431 E157:E159 E23 E111:E141 E38:E66 E164 E35:E36 E74:E80 E82:E87 E89:E94 E96:E101 E68:E72 E103:E109 E26:E33 E143 E155 E145 E147 E149 E151 E153 E166:E237">
      <formula1>FT_Melhoria_TE</formula1>
    </dataValidation>
    <dataValidation type="list" allowBlank="1" showInputMessage="1" showErrorMessage="1" sqref="C17:C1017">
      <formula1>combo_nomeUC</formula1>
    </dataValidation>
    <dataValidation type="list" allowBlank="1" showInputMessage="1" showErrorMessage="1" sqref="E17:E18 E24:E25 E22 E423 E432 E238 E420 E67 E163 E142 E34 E37 E73 E81 E88 E95 E102 E110 E165 E144 E146 E148 E150 E152 E154 E156 E160:E161">
      <formula1>FT_Corretiva_TE</formula1>
    </dataValidation>
  </dataValidations>
  <printOptions horizontalCentered="1"/>
  <pageMargins left="0.47244094488188981" right="0.47244094488188981" top="0.31496062992125984" bottom="0.23622047244094491" header="0.27559055118110237" footer="0.23622047244094491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Drop Down 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Drop Down 2">
              <controlPr defaultSize="0" autoLine="0" autoPict="0" macro="[0]!setQtdeLinhas">
                <anchor moveWithCells="1">
                  <from>
                    <xdr:col>8</xdr:col>
                    <xdr:colOff>266700</xdr:colOff>
                    <xdr:row>9</xdr:row>
                    <xdr:rowOff>66675</xdr:rowOff>
                  </from>
                  <to>
                    <xdr:col>9</xdr:col>
                    <xdr:colOff>485775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6" name="Resumo_FD_Evolutiva">
              <controlPr defaultSize="0" autoFill="0" autoLine="0" autoPict="0" macro="[0]!Resumo_Clique">
                <anchor moveWithCells="1">
                  <from>
                    <xdr:col>3</xdr:col>
                    <xdr:colOff>9525</xdr:colOff>
                    <xdr:row>1017</xdr:row>
                    <xdr:rowOff>19050</xdr:rowOff>
                  </from>
                  <to>
                    <xdr:col>3</xdr:col>
                    <xdr:colOff>1000125</xdr:colOff>
                    <xdr:row>1047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405" stopIfTrue="1" id="{34A2167C-D228-4392-944A-8E9F0F0EC3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16267" stopIfTrue="1" id="{9C2DB739-1B31-4457-B686-FEA32EEF71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F56:G56</xm:sqref>
        </x14:conditionalFormatting>
        <x14:conditionalFormatting xmlns:xm="http://schemas.microsoft.com/office/excel/2006/main">
          <x14:cfRule type="expression" priority="16251" stopIfTrue="1" id="{8AF2A30C-5A5B-41B7-BCAD-9F81D47731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F123:G123</xm:sqref>
        </x14:conditionalFormatting>
        <x14:conditionalFormatting xmlns:xm="http://schemas.microsoft.com/office/excel/2006/main">
          <x14:cfRule type="expression" priority="16236" stopIfTrue="1" id="{D5437086-768C-47EB-B954-216D21CF14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F165:G165</xm:sqref>
        </x14:conditionalFormatting>
        <x14:conditionalFormatting xmlns:xm="http://schemas.microsoft.com/office/excel/2006/main">
          <x14:cfRule type="expression" priority="16231" stopIfTrue="1" id="{8B863ECC-EC01-4D3F-BA49-72A45E0C7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F189:G189</xm:sqref>
        </x14:conditionalFormatting>
        <x14:conditionalFormatting xmlns:xm="http://schemas.microsoft.com/office/excel/2006/main">
          <x14:cfRule type="expression" priority="16230" stopIfTrue="1" id="{DC85B153-5A3F-4CBE-9C3D-D763FA923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F188:G188</xm:sqref>
        </x14:conditionalFormatting>
        <x14:conditionalFormatting xmlns:xm="http://schemas.microsoft.com/office/excel/2006/main">
          <x14:cfRule type="expression" priority="16229" stopIfTrue="1" id="{F6A345B9-8114-41A4-9FA0-99C2CE51FE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F193:G193</xm:sqref>
        </x14:conditionalFormatting>
        <x14:conditionalFormatting xmlns:xm="http://schemas.microsoft.com/office/excel/2006/main">
          <x14:cfRule type="expression" priority="16228" stopIfTrue="1" id="{0689EABB-2A1A-4C15-ADA2-F68EE19291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F192:G192</xm:sqref>
        </x14:conditionalFormatting>
        <x14:conditionalFormatting xmlns:xm="http://schemas.microsoft.com/office/excel/2006/main">
          <x14:cfRule type="expression" priority="16227" stopIfTrue="1" id="{C362E9A6-310C-4FB7-A382-B817AA27E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F195:G195</xm:sqref>
        </x14:conditionalFormatting>
        <x14:conditionalFormatting xmlns:xm="http://schemas.microsoft.com/office/excel/2006/main">
          <x14:cfRule type="expression" priority="16226" stopIfTrue="1" id="{A6EC338A-638C-45BF-A216-AB2744D8AE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F190:G190</xm:sqref>
        </x14:conditionalFormatting>
        <x14:conditionalFormatting xmlns:xm="http://schemas.microsoft.com/office/excel/2006/main">
          <x14:cfRule type="expression" priority="16225" stopIfTrue="1" id="{8D76A9F0-7468-4B3D-9650-60E0997DF3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F189:G189</xm:sqref>
        </x14:conditionalFormatting>
        <x14:conditionalFormatting xmlns:xm="http://schemas.microsoft.com/office/excel/2006/main">
          <x14:cfRule type="expression" priority="16224" stopIfTrue="1" id="{F5B1DA9A-5B99-4736-80C2-FA17906947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F194:G194</xm:sqref>
        </x14:conditionalFormatting>
        <x14:conditionalFormatting xmlns:xm="http://schemas.microsoft.com/office/excel/2006/main">
          <x14:cfRule type="expression" priority="16223" stopIfTrue="1" id="{D9EAB482-915B-49B4-B892-986CD3D77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F193:G193</xm:sqref>
        </x14:conditionalFormatting>
        <x14:conditionalFormatting xmlns:xm="http://schemas.microsoft.com/office/excel/2006/main">
          <x14:cfRule type="expression" priority="16222" stopIfTrue="1" id="{AB68CD35-62D3-4683-A025-458B165566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F196:G196</xm:sqref>
        </x14:conditionalFormatting>
        <x14:conditionalFormatting xmlns:xm="http://schemas.microsoft.com/office/excel/2006/main">
          <x14:cfRule type="expression" priority="16221" stopIfTrue="1" id="{21CAABFE-C5E5-441D-AE3E-866B88246C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F199:G199</xm:sqref>
        </x14:conditionalFormatting>
        <x14:conditionalFormatting xmlns:xm="http://schemas.microsoft.com/office/excel/2006/main">
          <x14:cfRule type="expression" priority="16220" stopIfTrue="1" id="{EEBC275C-7F95-4109-BAE5-CE61645BEC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F198:G198</xm:sqref>
        </x14:conditionalFormatting>
        <x14:conditionalFormatting xmlns:xm="http://schemas.microsoft.com/office/excel/2006/main">
          <x14:cfRule type="expression" priority="16219" stopIfTrue="1" id="{8CC3A5E8-45C1-4ECA-9F88-22C168E229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F197:G197</xm:sqref>
        </x14:conditionalFormatting>
        <x14:conditionalFormatting xmlns:xm="http://schemas.microsoft.com/office/excel/2006/main">
          <x14:cfRule type="expression" priority="16218" stopIfTrue="1" id="{50F73785-3232-451F-9CF4-A1103FF8F1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F199:G208</xm:sqref>
        </x14:conditionalFormatting>
        <x14:conditionalFormatting xmlns:xm="http://schemas.microsoft.com/office/excel/2006/main">
          <x14:cfRule type="expression" priority="16217" stopIfTrue="1" id="{2FE63432-E8CD-40C2-8E0B-353F323FD1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F205:G205</xm:sqref>
        </x14:conditionalFormatting>
        <x14:conditionalFormatting xmlns:xm="http://schemas.microsoft.com/office/excel/2006/main">
          <x14:cfRule type="expression" priority="16210" stopIfTrue="1" id="{71961FE6-8526-43B6-BC10-F4C8AEB0C7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F192:G192</xm:sqref>
        </x14:conditionalFormatting>
        <x14:conditionalFormatting xmlns:xm="http://schemas.microsoft.com/office/excel/2006/main">
          <x14:cfRule type="expression" priority="16209" stopIfTrue="1" id="{7B8330C5-CC25-4A8F-AF49-7AE9B34FA0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F191:G191</xm:sqref>
        </x14:conditionalFormatting>
        <x14:conditionalFormatting xmlns:xm="http://schemas.microsoft.com/office/excel/2006/main">
          <x14:cfRule type="expression" priority="16208" stopIfTrue="1" id="{2DBDA67A-24CB-47F0-ADB5-4380A2AF80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F196:G196</xm:sqref>
        </x14:conditionalFormatting>
        <x14:conditionalFormatting xmlns:xm="http://schemas.microsoft.com/office/excel/2006/main">
          <x14:cfRule type="expression" priority="16207" stopIfTrue="1" id="{EB53C4C0-1AB3-4160-914A-63A213BF96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F195:G195</xm:sqref>
        </x14:conditionalFormatting>
        <x14:conditionalFormatting xmlns:xm="http://schemas.microsoft.com/office/excel/2006/main">
          <x14:cfRule type="expression" priority="16206" stopIfTrue="1" id="{317CC5E3-ED7A-40EC-B6B6-5C2EBCC20C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F198:G198</xm:sqref>
        </x14:conditionalFormatting>
        <x14:conditionalFormatting xmlns:xm="http://schemas.microsoft.com/office/excel/2006/main">
          <x14:cfRule type="expression" priority="16205" stopIfTrue="1" id="{0B0C9C36-F819-4260-AD5D-D8A2FCD363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F193:G193</xm:sqref>
        </x14:conditionalFormatting>
        <x14:conditionalFormatting xmlns:xm="http://schemas.microsoft.com/office/excel/2006/main">
          <x14:cfRule type="expression" priority="16204" stopIfTrue="1" id="{5460097F-BC32-4BE3-AA9F-0A2139A0D6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F192:G192</xm:sqref>
        </x14:conditionalFormatting>
        <x14:conditionalFormatting xmlns:xm="http://schemas.microsoft.com/office/excel/2006/main">
          <x14:cfRule type="expression" priority="16203" stopIfTrue="1" id="{6117AC19-1FFE-48D0-B222-4AEE2CF371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F197:G197</xm:sqref>
        </x14:conditionalFormatting>
        <x14:conditionalFormatting xmlns:xm="http://schemas.microsoft.com/office/excel/2006/main">
          <x14:cfRule type="expression" priority="16202" stopIfTrue="1" id="{5B983E86-8F21-4090-9A6F-34A6CD8B86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F196:G196</xm:sqref>
        </x14:conditionalFormatting>
        <x14:conditionalFormatting xmlns:xm="http://schemas.microsoft.com/office/excel/2006/main">
          <x14:cfRule type="expression" priority="16201" stopIfTrue="1" id="{A86C505E-0C20-4CD4-9A82-93678A745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F199:G199</xm:sqref>
        </x14:conditionalFormatting>
        <x14:conditionalFormatting xmlns:xm="http://schemas.microsoft.com/office/excel/2006/main">
          <x14:cfRule type="expression" priority="16200" stopIfTrue="1" id="{24657D35-608F-4522-8D91-9A07E446D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F202:G202</xm:sqref>
        </x14:conditionalFormatting>
        <x14:conditionalFormatting xmlns:xm="http://schemas.microsoft.com/office/excel/2006/main">
          <x14:cfRule type="expression" priority="16199" stopIfTrue="1" id="{A30C43F7-2A3A-4915-A05F-0EDE80E5A1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F201:G201</xm:sqref>
        </x14:conditionalFormatting>
        <x14:conditionalFormatting xmlns:xm="http://schemas.microsoft.com/office/excel/2006/main">
          <x14:cfRule type="expression" priority="16198" stopIfTrue="1" id="{C767D84E-784B-4063-AB36-F92F111363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F200:G200</xm:sqref>
        </x14:conditionalFormatting>
        <x14:conditionalFormatting xmlns:xm="http://schemas.microsoft.com/office/excel/2006/main">
          <x14:cfRule type="expression" priority="16197" stopIfTrue="1" id="{AB070CB1-F028-4661-8148-FF3939C901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F208:G208</xm:sqref>
        </x14:conditionalFormatting>
        <x14:conditionalFormatting xmlns:xm="http://schemas.microsoft.com/office/excel/2006/main">
          <x14:cfRule type="expression" priority="16192" stopIfTrue="1" id="{2DC9C612-65F6-47A3-8C6D-51B6C2631E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F190:G190</xm:sqref>
        </x14:conditionalFormatting>
        <x14:conditionalFormatting xmlns:xm="http://schemas.microsoft.com/office/excel/2006/main">
          <x14:cfRule type="expression" priority="16191" stopIfTrue="1" id="{B5E4F192-BDE1-4307-8B8C-239389F0E4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F189:G189</xm:sqref>
        </x14:conditionalFormatting>
        <x14:conditionalFormatting xmlns:xm="http://schemas.microsoft.com/office/excel/2006/main">
          <x14:cfRule type="expression" priority="16190" stopIfTrue="1" id="{EF16D3E8-D517-482B-B617-C26ACE30A1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F194:G194</xm:sqref>
        </x14:conditionalFormatting>
        <x14:conditionalFormatting xmlns:xm="http://schemas.microsoft.com/office/excel/2006/main">
          <x14:cfRule type="expression" priority="16189" stopIfTrue="1" id="{273C73B2-E1B9-479A-A60A-56CF10E5C5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F193:G193</xm:sqref>
        </x14:conditionalFormatting>
        <x14:conditionalFormatting xmlns:xm="http://schemas.microsoft.com/office/excel/2006/main">
          <x14:cfRule type="expression" priority="16188" stopIfTrue="1" id="{104A023E-1704-4CDE-BDC9-3418F9506F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F196:G196</xm:sqref>
        </x14:conditionalFormatting>
        <x14:conditionalFormatting xmlns:xm="http://schemas.microsoft.com/office/excel/2006/main">
          <x14:cfRule type="expression" priority="16187" stopIfTrue="1" id="{265F0390-3BF9-4DA5-9FE5-B191BE4D67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F191:G191</xm:sqref>
        </x14:conditionalFormatting>
        <x14:conditionalFormatting xmlns:xm="http://schemas.microsoft.com/office/excel/2006/main">
          <x14:cfRule type="expression" priority="16186" stopIfTrue="1" id="{363DBB22-D0AB-4121-8D24-62DE08F41F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F190:G190</xm:sqref>
        </x14:conditionalFormatting>
        <x14:conditionalFormatting xmlns:xm="http://schemas.microsoft.com/office/excel/2006/main">
          <x14:cfRule type="expression" priority="16185" stopIfTrue="1" id="{522476F8-0C1A-420F-9565-41F451C83C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F195:G195</xm:sqref>
        </x14:conditionalFormatting>
        <x14:conditionalFormatting xmlns:xm="http://schemas.microsoft.com/office/excel/2006/main">
          <x14:cfRule type="expression" priority="16184" stopIfTrue="1" id="{AE0E826E-B185-40CE-8F61-E562ACA40D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F194:G194</xm:sqref>
        </x14:conditionalFormatting>
        <x14:conditionalFormatting xmlns:xm="http://schemas.microsoft.com/office/excel/2006/main">
          <x14:cfRule type="expression" priority="16183" stopIfTrue="1" id="{A48276E3-79F5-4AC3-9046-7FD11DAD13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F197:G197</xm:sqref>
        </x14:conditionalFormatting>
        <x14:conditionalFormatting xmlns:xm="http://schemas.microsoft.com/office/excel/2006/main">
          <x14:cfRule type="expression" priority="16182" stopIfTrue="1" id="{501A35B9-0F7F-4398-9CB9-7F3FF475E5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F200:G200</xm:sqref>
        </x14:conditionalFormatting>
        <x14:conditionalFormatting xmlns:xm="http://schemas.microsoft.com/office/excel/2006/main">
          <x14:cfRule type="expression" priority="16181" stopIfTrue="1" id="{E7A43690-4F21-40B8-AFD7-83778B3D4C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F199:G199</xm:sqref>
        </x14:conditionalFormatting>
        <x14:conditionalFormatting xmlns:xm="http://schemas.microsoft.com/office/excel/2006/main">
          <x14:cfRule type="expression" priority="16180" stopIfTrue="1" id="{A19D0EA4-9737-4310-803A-0CC27215C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F198:G198</xm:sqref>
        </x14:conditionalFormatting>
        <x14:conditionalFormatting xmlns:xm="http://schemas.microsoft.com/office/excel/2006/main">
          <x14:cfRule type="expression" priority="16179" stopIfTrue="1" id="{6A20D2D8-3710-4170-9FCC-B3AE45396D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F206:G206</xm:sqref>
        </x14:conditionalFormatting>
        <x14:conditionalFormatting xmlns:xm="http://schemas.microsoft.com/office/excel/2006/main">
          <x14:cfRule type="expression" priority="16173" stopIfTrue="1" id="{8FD602F7-5D4C-4D9D-974F-5359FBC582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F193:G193</xm:sqref>
        </x14:conditionalFormatting>
        <x14:conditionalFormatting xmlns:xm="http://schemas.microsoft.com/office/excel/2006/main">
          <x14:cfRule type="expression" priority="16172" stopIfTrue="1" id="{3DDFD2BD-7C04-4387-B37D-2196542C66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F192:G192</xm:sqref>
        </x14:conditionalFormatting>
        <x14:conditionalFormatting xmlns:xm="http://schemas.microsoft.com/office/excel/2006/main">
          <x14:cfRule type="expression" priority="16171" stopIfTrue="1" id="{5902298D-9C10-4350-B4EF-1367ACF04A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F197:G197</xm:sqref>
        </x14:conditionalFormatting>
        <x14:conditionalFormatting xmlns:xm="http://schemas.microsoft.com/office/excel/2006/main">
          <x14:cfRule type="expression" priority="16170" stopIfTrue="1" id="{801EF407-9376-4FFB-8AB7-4D5D6DBF26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F196:G196</xm:sqref>
        </x14:conditionalFormatting>
        <x14:conditionalFormatting xmlns:xm="http://schemas.microsoft.com/office/excel/2006/main">
          <x14:cfRule type="expression" priority="16169" stopIfTrue="1" id="{4506D2CD-55BC-49BA-88A8-40754485D1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F199:G199</xm:sqref>
        </x14:conditionalFormatting>
        <x14:conditionalFormatting xmlns:xm="http://schemas.microsoft.com/office/excel/2006/main">
          <x14:cfRule type="expression" priority="16168" stopIfTrue="1" id="{8406B4BB-B34F-46B6-B0B2-5279BA3BF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F194:G194</xm:sqref>
        </x14:conditionalFormatting>
        <x14:conditionalFormatting xmlns:xm="http://schemas.microsoft.com/office/excel/2006/main">
          <x14:cfRule type="expression" priority="16167" stopIfTrue="1" id="{05C00030-8DF8-4423-B515-D2C78C900D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F193:G193</xm:sqref>
        </x14:conditionalFormatting>
        <x14:conditionalFormatting xmlns:xm="http://schemas.microsoft.com/office/excel/2006/main">
          <x14:cfRule type="expression" priority="16166" stopIfTrue="1" id="{5911C40F-7D0E-43EC-8F57-CE542730C8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F198:G198</xm:sqref>
        </x14:conditionalFormatting>
        <x14:conditionalFormatting xmlns:xm="http://schemas.microsoft.com/office/excel/2006/main">
          <x14:cfRule type="expression" priority="16165" stopIfTrue="1" id="{14E05A9B-9DA7-4EDB-97CB-A98228A324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F197:G197</xm:sqref>
        </x14:conditionalFormatting>
        <x14:conditionalFormatting xmlns:xm="http://schemas.microsoft.com/office/excel/2006/main">
          <x14:cfRule type="expression" priority="16164" stopIfTrue="1" id="{33A72A8B-C2B3-4E9F-920B-6473413D2C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F200:G200</xm:sqref>
        </x14:conditionalFormatting>
        <x14:conditionalFormatting xmlns:xm="http://schemas.microsoft.com/office/excel/2006/main">
          <x14:cfRule type="expression" priority="16163" stopIfTrue="1" id="{42322E6E-19FA-4541-B13B-BF74C0BC9A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F203:G203</xm:sqref>
        </x14:conditionalFormatting>
        <x14:conditionalFormatting xmlns:xm="http://schemas.microsoft.com/office/excel/2006/main">
          <x14:cfRule type="expression" priority="16162" stopIfTrue="1" id="{E7E5E139-3191-4B3C-B0B5-A091F12C7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F202:G202</xm:sqref>
        </x14:conditionalFormatting>
        <x14:conditionalFormatting xmlns:xm="http://schemas.microsoft.com/office/excel/2006/main">
          <x14:cfRule type="expression" priority="16161" stopIfTrue="1" id="{A1EF2332-05AB-4DD2-9992-FB2F3DEEC5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F201:G201</xm:sqref>
        </x14:conditionalFormatting>
        <x14:conditionalFormatting xmlns:xm="http://schemas.microsoft.com/office/excel/2006/main">
          <x14:cfRule type="expression" priority="16160" stopIfTrue="1" id="{3AAB330B-92C9-41B4-9E71-BDA4F2DBC3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F209:G209</xm:sqref>
        </x14:conditionalFormatting>
        <x14:conditionalFormatting xmlns:xm="http://schemas.microsoft.com/office/excel/2006/main">
          <x14:cfRule type="expression" priority="16158" stopIfTrue="1" id="{D1714FD8-8ED0-48CF-BDB4-DC79A15FA4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F192:G192</xm:sqref>
        </x14:conditionalFormatting>
        <x14:conditionalFormatting xmlns:xm="http://schemas.microsoft.com/office/excel/2006/main">
          <x14:cfRule type="expression" priority="16157" stopIfTrue="1" id="{7AAD09D2-9950-4268-AC88-700A5C66FE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F191:G191</xm:sqref>
        </x14:conditionalFormatting>
        <x14:conditionalFormatting xmlns:xm="http://schemas.microsoft.com/office/excel/2006/main">
          <x14:cfRule type="expression" priority="16156" stopIfTrue="1" id="{238DC568-A6FD-49AB-8E5D-E1F30457D0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F194:G194</xm:sqref>
        </x14:conditionalFormatting>
        <x14:conditionalFormatting xmlns:xm="http://schemas.microsoft.com/office/excel/2006/main">
          <x14:cfRule type="expression" priority="16155" stopIfTrue="1" id="{C3A50536-6D09-4B70-9D40-EC90F8AFBC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F193:G193</xm:sqref>
        </x14:conditionalFormatting>
        <x14:conditionalFormatting xmlns:xm="http://schemas.microsoft.com/office/excel/2006/main">
          <x14:cfRule type="expression" priority="16154" stopIfTrue="1" id="{E1E50A4D-AC4D-469E-BFF1-E5610DEEE1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F192:G192</xm:sqref>
        </x14:conditionalFormatting>
        <x14:conditionalFormatting xmlns:xm="http://schemas.microsoft.com/office/excel/2006/main">
          <x14:cfRule type="expression" priority="16153" stopIfTrue="1" id="{4C759161-DC29-4288-8A55-0DEEE4DCAD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F195:G195</xm:sqref>
        </x14:conditionalFormatting>
        <x14:conditionalFormatting xmlns:xm="http://schemas.microsoft.com/office/excel/2006/main">
          <x14:cfRule type="expression" priority="16152" stopIfTrue="1" id="{94C38513-A051-419A-A827-32F597EBBD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F198:G198</xm:sqref>
        </x14:conditionalFormatting>
        <x14:conditionalFormatting xmlns:xm="http://schemas.microsoft.com/office/excel/2006/main">
          <x14:cfRule type="expression" priority="16151" stopIfTrue="1" id="{803CD455-4821-4FCE-811C-EBBBABF65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F197:G197</xm:sqref>
        </x14:conditionalFormatting>
        <x14:conditionalFormatting xmlns:xm="http://schemas.microsoft.com/office/excel/2006/main">
          <x14:cfRule type="expression" priority="16150" stopIfTrue="1" id="{FFE11763-9E5E-4CF8-8E5E-B8D0BCA9B0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F196:G196</xm:sqref>
        </x14:conditionalFormatting>
        <x14:conditionalFormatting xmlns:xm="http://schemas.microsoft.com/office/excel/2006/main">
          <x14:cfRule type="expression" priority="16149" stopIfTrue="1" id="{D5979685-DFF5-4D69-AFD2-D08DC5A590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F204:G204</xm:sqref>
        </x14:conditionalFormatting>
        <x14:conditionalFormatting xmlns:xm="http://schemas.microsoft.com/office/excel/2006/main">
          <x14:cfRule type="expression" priority="16148" stopIfTrue="1" id="{AFD1D81C-0752-480A-9271-F8EE6EC29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F191:G191</xm:sqref>
        </x14:conditionalFormatting>
        <x14:conditionalFormatting xmlns:xm="http://schemas.microsoft.com/office/excel/2006/main">
          <x14:cfRule type="expression" priority="16147" stopIfTrue="1" id="{1D50E95D-5F3D-42F2-8C95-8E848FCB2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F195:G195</xm:sqref>
        </x14:conditionalFormatting>
        <x14:conditionalFormatting xmlns:xm="http://schemas.microsoft.com/office/excel/2006/main">
          <x14:cfRule type="expression" priority="16146" stopIfTrue="1" id="{7B110AF4-EED7-4A43-8026-B0E6182DBA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F194:G194</xm:sqref>
        </x14:conditionalFormatting>
        <x14:conditionalFormatting xmlns:xm="http://schemas.microsoft.com/office/excel/2006/main">
          <x14:cfRule type="expression" priority="16145" stopIfTrue="1" id="{DEA974BC-785F-49B4-9060-C9B283DEF7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F197:G197</xm:sqref>
        </x14:conditionalFormatting>
        <x14:conditionalFormatting xmlns:xm="http://schemas.microsoft.com/office/excel/2006/main">
          <x14:cfRule type="expression" priority="16144" stopIfTrue="1" id="{5E318A47-E917-4C71-84CD-0B62619624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F192:G192</xm:sqref>
        </x14:conditionalFormatting>
        <x14:conditionalFormatting xmlns:xm="http://schemas.microsoft.com/office/excel/2006/main">
          <x14:cfRule type="expression" priority="16143" stopIfTrue="1" id="{1AE4740A-8417-4B91-8180-30F56FC731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F191:G191</xm:sqref>
        </x14:conditionalFormatting>
        <x14:conditionalFormatting xmlns:xm="http://schemas.microsoft.com/office/excel/2006/main">
          <x14:cfRule type="expression" priority="16142" stopIfTrue="1" id="{BA0E2497-BD1B-4149-A885-8602BB3F83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F196:G196</xm:sqref>
        </x14:conditionalFormatting>
        <x14:conditionalFormatting xmlns:xm="http://schemas.microsoft.com/office/excel/2006/main">
          <x14:cfRule type="expression" priority="16141" stopIfTrue="1" id="{43F76ED9-84FB-41BA-8B2C-BB3999E38A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F195:G195</xm:sqref>
        </x14:conditionalFormatting>
        <x14:conditionalFormatting xmlns:xm="http://schemas.microsoft.com/office/excel/2006/main">
          <x14:cfRule type="expression" priority="16140" stopIfTrue="1" id="{E70B3810-291C-4B7C-A5B3-3F756AC51C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F198:G198</xm:sqref>
        </x14:conditionalFormatting>
        <x14:conditionalFormatting xmlns:xm="http://schemas.microsoft.com/office/excel/2006/main">
          <x14:cfRule type="expression" priority="16139" stopIfTrue="1" id="{CACBC66B-CB4C-4A80-BC1B-7CC4F48D5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F201:G201</xm:sqref>
        </x14:conditionalFormatting>
        <x14:conditionalFormatting xmlns:xm="http://schemas.microsoft.com/office/excel/2006/main">
          <x14:cfRule type="expression" priority="16138" stopIfTrue="1" id="{CCD11186-3B39-4ADC-9A73-8B958CF0C3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F200:G200</xm:sqref>
        </x14:conditionalFormatting>
        <x14:conditionalFormatting xmlns:xm="http://schemas.microsoft.com/office/excel/2006/main">
          <x14:cfRule type="expression" priority="16137" stopIfTrue="1" id="{455D2D22-D53E-4D6F-BA5E-2B99CF0AA6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F199:G199</xm:sqref>
        </x14:conditionalFormatting>
        <x14:conditionalFormatting xmlns:xm="http://schemas.microsoft.com/office/excel/2006/main">
          <x14:cfRule type="expression" priority="16136" stopIfTrue="1" id="{1504BA72-DA6C-47D6-9898-B2A18EA8E7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F207:G207</xm:sqref>
        </x14:conditionalFormatting>
        <x14:conditionalFormatting xmlns:xm="http://schemas.microsoft.com/office/excel/2006/main">
          <x14:cfRule type="expression" priority="16135" stopIfTrue="1" id="{E4E843FB-2661-4D35-96CE-FE59FEA1E4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F193:G193</xm:sqref>
        </x14:conditionalFormatting>
        <x14:conditionalFormatting xmlns:xm="http://schemas.microsoft.com/office/excel/2006/main">
          <x14:cfRule type="expression" priority="16134" stopIfTrue="1" id="{7926F5DE-A709-4F73-85A2-AA5230E85C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F192:G192</xm:sqref>
        </x14:conditionalFormatting>
        <x14:conditionalFormatting xmlns:xm="http://schemas.microsoft.com/office/excel/2006/main">
          <x14:cfRule type="expression" priority="16133" stopIfTrue="1" id="{CBC01461-7569-4B79-9B68-19F35A561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F195:G195</xm:sqref>
        </x14:conditionalFormatting>
        <x14:conditionalFormatting xmlns:xm="http://schemas.microsoft.com/office/excel/2006/main">
          <x14:cfRule type="expression" priority="16132" stopIfTrue="1" id="{CC367B2A-06C1-42A9-AFF0-4BFDFFB8C7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F194:G194</xm:sqref>
        </x14:conditionalFormatting>
        <x14:conditionalFormatting xmlns:xm="http://schemas.microsoft.com/office/excel/2006/main">
          <x14:cfRule type="expression" priority="16131" stopIfTrue="1" id="{D6A38A5F-14DE-4F7C-97BC-2E83A734EC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F193:G193</xm:sqref>
        </x14:conditionalFormatting>
        <x14:conditionalFormatting xmlns:xm="http://schemas.microsoft.com/office/excel/2006/main">
          <x14:cfRule type="expression" priority="16130" stopIfTrue="1" id="{7BD895F6-17F7-474F-A83E-A52B6404A5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F196:G196</xm:sqref>
        </x14:conditionalFormatting>
        <x14:conditionalFormatting xmlns:xm="http://schemas.microsoft.com/office/excel/2006/main">
          <x14:cfRule type="expression" priority="16129" stopIfTrue="1" id="{773FFC23-6C59-4A86-B133-3C5DF1168B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F199:G199</xm:sqref>
        </x14:conditionalFormatting>
        <x14:conditionalFormatting xmlns:xm="http://schemas.microsoft.com/office/excel/2006/main">
          <x14:cfRule type="expression" priority="16128" stopIfTrue="1" id="{7C7E3613-54C5-4CB6-A20F-C46F112E44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F198:G198</xm:sqref>
        </x14:conditionalFormatting>
        <x14:conditionalFormatting xmlns:xm="http://schemas.microsoft.com/office/excel/2006/main">
          <x14:cfRule type="expression" priority="16127" stopIfTrue="1" id="{C578CE54-6078-4EB4-B1FC-2D8434E8E2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F197:G197</xm:sqref>
        </x14:conditionalFormatting>
        <x14:conditionalFormatting xmlns:xm="http://schemas.microsoft.com/office/excel/2006/main">
          <x14:cfRule type="expression" priority="16126" stopIfTrue="1" id="{800B6A2A-7BE0-4E1C-B18B-8A95A2DC46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F205:G205</xm:sqref>
        </x14:conditionalFormatting>
        <x14:conditionalFormatting xmlns:xm="http://schemas.microsoft.com/office/excel/2006/main">
          <x14:cfRule type="expression" priority="16125" stopIfTrue="1" id="{47AE4E8F-6C71-4C9A-B5DA-E2F3A12E64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F192:G192</xm:sqref>
        </x14:conditionalFormatting>
        <x14:conditionalFormatting xmlns:xm="http://schemas.microsoft.com/office/excel/2006/main">
          <x14:cfRule type="expression" priority="16124" stopIfTrue="1" id="{CBD15DB9-2380-4EB2-9E8C-C502989903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F191:G191</xm:sqref>
        </x14:conditionalFormatting>
        <x14:conditionalFormatting xmlns:xm="http://schemas.microsoft.com/office/excel/2006/main">
          <x14:cfRule type="expression" priority="16123" stopIfTrue="1" id="{E2A205B7-FB4D-487B-98D7-86BE6D19BF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F196:G196</xm:sqref>
        </x14:conditionalFormatting>
        <x14:conditionalFormatting xmlns:xm="http://schemas.microsoft.com/office/excel/2006/main">
          <x14:cfRule type="expression" priority="16122" stopIfTrue="1" id="{F43A0933-0BC2-4339-AC4D-754CA376F3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F195:G195</xm:sqref>
        </x14:conditionalFormatting>
        <x14:conditionalFormatting xmlns:xm="http://schemas.microsoft.com/office/excel/2006/main">
          <x14:cfRule type="expression" priority="16121" stopIfTrue="1" id="{605B12A8-D21D-46FF-9F0F-BBE99F1648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F198:G198</xm:sqref>
        </x14:conditionalFormatting>
        <x14:conditionalFormatting xmlns:xm="http://schemas.microsoft.com/office/excel/2006/main">
          <x14:cfRule type="expression" priority="16120" stopIfTrue="1" id="{AC322084-ED15-49E4-ABFB-85E298CB46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F193:G193</xm:sqref>
        </x14:conditionalFormatting>
        <x14:conditionalFormatting xmlns:xm="http://schemas.microsoft.com/office/excel/2006/main">
          <x14:cfRule type="expression" priority="16119" stopIfTrue="1" id="{9D68905D-BB07-4C80-A5DC-F0E8747DF0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F192:G192</xm:sqref>
        </x14:conditionalFormatting>
        <x14:conditionalFormatting xmlns:xm="http://schemas.microsoft.com/office/excel/2006/main">
          <x14:cfRule type="expression" priority="16118" stopIfTrue="1" id="{38113462-B916-4735-A276-6D658BCC6D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F197:G197</xm:sqref>
        </x14:conditionalFormatting>
        <x14:conditionalFormatting xmlns:xm="http://schemas.microsoft.com/office/excel/2006/main">
          <x14:cfRule type="expression" priority="16117" stopIfTrue="1" id="{019A5EA1-E74A-410E-8E12-D796DF5EFD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F196:G196</xm:sqref>
        </x14:conditionalFormatting>
        <x14:conditionalFormatting xmlns:xm="http://schemas.microsoft.com/office/excel/2006/main">
          <x14:cfRule type="expression" priority="16116" stopIfTrue="1" id="{CA75522E-D0B9-42DD-B651-6CBC082E5B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F199:G199</xm:sqref>
        </x14:conditionalFormatting>
        <x14:conditionalFormatting xmlns:xm="http://schemas.microsoft.com/office/excel/2006/main">
          <x14:cfRule type="expression" priority="16115" stopIfTrue="1" id="{FB846E28-A327-4711-9647-8989A318B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F202:G202</xm:sqref>
        </x14:conditionalFormatting>
        <x14:conditionalFormatting xmlns:xm="http://schemas.microsoft.com/office/excel/2006/main">
          <x14:cfRule type="expression" priority="16114" stopIfTrue="1" id="{FA4AE3B2-1CD9-4292-9369-67B4B0C3C9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F201:G201</xm:sqref>
        </x14:conditionalFormatting>
        <x14:conditionalFormatting xmlns:xm="http://schemas.microsoft.com/office/excel/2006/main">
          <x14:cfRule type="expression" priority="16113" stopIfTrue="1" id="{22A649A1-6DB6-4722-90D4-4621CABB78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F200:G200</xm:sqref>
        </x14:conditionalFormatting>
        <x14:conditionalFormatting xmlns:xm="http://schemas.microsoft.com/office/excel/2006/main">
          <x14:cfRule type="expression" priority="16112" stopIfTrue="1" id="{4CCDC714-CB5F-4D9A-B5D7-9EC403927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F208:G208</xm:sqref>
        </x14:conditionalFormatting>
        <x14:conditionalFormatting xmlns:xm="http://schemas.microsoft.com/office/excel/2006/main">
          <x14:cfRule type="expression" priority="16111" stopIfTrue="1" id="{8AFFA976-377B-4C87-BE4F-CBCB83603D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F210:G213</xm:sqref>
        </x14:conditionalFormatting>
        <x14:conditionalFormatting xmlns:xm="http://schemas.microsoft.com/office/excel/2006/main">
          <x14:cfRule type="expression" priority="16110" stopIfTrue="1" id="{2D7EB903-F291-48E1-AD85-5B3CE6D425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F215:G215</xm:sqref>
        </x14:conditionalFormatting>
        <x14:conditionalFormatting xmlns:xm="http://schemas.microsoft.com/office/excel/2006/main">
          <x14:cfRule type="expression" priority="16109" stopIfTrue="1" id="{B6FF3BEA-51AE-410D-91A7-CA579EE649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F216:G216</xm:sqref>
        </x14:conditionalFormatting>
        <x14:conditionalFormatting xmlns:xm="http://schemas.microsoft.com/office/excel/2006/main">
          <x14:cfRule type="expression" priority="16108" stopIfTrue="1" id="{7C5E8A75-8331-491E-9D76-E490E30400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F216:G216</xm:sqref>
        </x14:conditionalFormatting>
        <x14:conditionalFormatting xmlns:xm="http://schemas.microsoft.com/office/excel/2006/main">
          <x14:cfRule type="expression" priority="16107" stopIfTrue="1" id="{C4098C37-1E7F-4914-A7C9-AE972EC338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F216:G216</xm:sqref>
        </x14:conditionalFormatting>
        <x14:conditionalFormatting xmlns:xm="http://schemas.microsoft.com/office/excel/2006/main">
          <x14:cfRule type="expression" priority="16106" stopIfTrue="1" id="{61265CCC-40A9-4D9E-93E8-D4C023E63A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F222:G222</xm:sqref>
        </x14:conditionalFormatting>
        <x14:conditionalFormatting xmlns:xm="http://schemas.microsoft.com/office/excel/2006/main">
          <x14:cfRule type="expression" priority="16105" stopIfTrue="1" id="{678FCF98-81FD-4F00-A163-7A748A9302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F222:G222</xm:sqref>
        </x14:conditionalFormatting>
        <x14:conditionalFormatting xmlns:xm="http://schemas.microsoft.com/office/excel/2006/main">
          <x14:cfRule type="expression" priority="16104" stopIfTrue="1" id="{F6F9E982-202F-47ED-BBC2-7B2BA528CE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F222:G222</xm:sqref>
        </x14:conditionalFormatting>
        <x14:conditionalFormatting xmlns:xm="http://schemas.microsoft.com/office/excel/2006/main">
          <x14:cfRule type="expression" priority="16103" stopIfTrue="1" id="{963AF27A-5B2F-4626-9721-CF5DBF34E4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F223:G223</xm:sqref>
        </x14:conditionalFormatting>
        <x14:conditionalFormatting xmlns:xm="http://schemas.microsoft.com/office/excel/2006/main">
          <x14:cfRule type="expression" priority="16102" stopIfTrue="1" id="{FFC801CA-15C0-4A36-8337-1C8E0F6995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F228:G228</xm:sqref>
        </x14:conditionalFormatting>
        <x14:conditionalFormatting xmlns:xm="http://schemas.microsoft.com/office/excel/2006/main">
          <x14:cfRule type="expression" priority="16101" stopIfTrue="1" id="{D6D4962F-02AB-4264-9ADE-416D3DBF4D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F228:G232</xm:sqref>
        </x14:conditionalFormatting>
        <x14:conditionalFormatting xmlns:xm="http://schemas.microsoft.com/office/excel/2006/main">
          <x14:cfRule type="expression" priority="16100" stopIfTrue="1" id="{01B6C8C8-CCB2-49E1-9884-F509F73C05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F228:G228</xm:sqref>
        </x14:conditionalFormatting>
        <x14:conditionalFormatting xmlns:xm="http://schemas.microsoft.com/office/excel/2006/main">
          <x14:cfRule type="expression" priority="16099" stopIfTrue="1" id="{1803EE2C-344A-40C8-92E8-DD4C756FB4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F231:G231</xm:sqref>
        </x14:conditionalFormatting>
        <x14:conditionalFormatting xmlns:xm="http://schemas.microsoft.com/office/excel/2006/main">
          <x14:cfRule type="expression" priority="16098" stopIfTrue="1" id="{675A73A1-78C7-4ED0-A23B-0587EFE1AD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F230:G230</xm:sqref>
        </x14:conditionalFormatting>
        <x14:conditionalFormatting xmlns:xm="http://schemas.microsoft.com/office/excel/2006/main">
          <x14:cfRule type="expression" priority="16097" stopIfTrue="1" id="{0EFF8B02-DFD2-41FD-A492-03BFE9B53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F229:G229</xm:sqref>
        </x14:conditionalFormatting>
        <x14:conditionalFormatting xmlns:xm="http://schemas.microsoft.com/office/excel/2006/main">
          <x14:cfRule type="expression" priority="16096" stopIfTrue="1" id="{DA46355B-849E-4B1C-8C32-1B979FDC15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F229:G229</xm:sqref>
        </x14:conditionalFormatting>
        <x14:conditionalFormatting xmlns:xm="http://schemas.microsoft.com/office/excel/2006/main">
          <x14:cfRule type="expression" priority="16095" stopIfTrue="1" id="{7015EF91-B38E-484D-98F9-363D68F2E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F228:G228</xm:sqref>
        </x14:conditionalFormatting>
        <x14:conditionalFormatting xmlns:xm="http://schemas.microsoft.com/office/excel/2006/main">
          <x14:cfRule type="expression" priority="16094" stopIfTrue="1" id="{0AFB08A8-C65F-4A1D-858A-2E1B287D77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F228:G228</xm:sqref>
        </x14:conditionalFormatting>
        <x14:conditionalFormatting xmlns:xm="http://schemas.microsoft.com/office/excel/2006/main">
          <x14:cfRule type="expression" priority="16093" stopIfTrue="1" id="{2ED4EBD2-1665-4ED2-80C8-63521656BC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F229:G229</xm:sqref>
        </x14:conditionalFormatting>
        <x14:conditionalFormatting xmlns:xm="http://schemas.microsoft.com/office/excel/2006/main">
          <x14:cfRule type="expression" priority="16092" stopIfTrue="1" id="{EB523A21-CADD-442F-B1C9-AE38DEA65F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F232:G232</xm:sqref>
        </x14:conditionalFormatting>
        <x14:conditionalFormatting xmlns:xm="http://schemas.microsoft.com/office/excel/2006/main">
          <x14:cfRule type="expression" priority="16091" stopIfTrue="1" id="{A821CA40-799C-4E52-8FA9-35854622DC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F231:G231</xm:sqref>
        </x14:conditionalFormatting>
        <x14:conditionalFormatting xmlns:xm="http://schemas.microsoft.com/office/excel/2006/main">
          <x14:cfRule type="expression" priority="16090" stopIfTrue="1" id="{A3B2BAD5-A2D8-426B-8CCF-79E6BD399A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F230:G230</xm:sqref>
        </x14:conditionalFormatting>
        <x14:conditionalFormatting xmlns:xm="http://schemas.microsoft.com/office/excel/2006/main">
          <x14:cfRule type="expression" priority="16089" stopIfTrue="1" id="{925F8A54-D0EC-406D-8BA4-FC12D471CA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F230:G230</xm:sqref>
        </x14:conditionalFormatting>
        <x14:conditionalFormatting xmlns:xm="http://schemas.microsoft.com/office/excel/2006/main">
          <x14:cfRule type="expression" priority="16088" stopIfTrue="1" id="{2FF8D1A2-1D1A-4808-B914-6AF7EABED7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F229:G229</xm:sqref>
        </x14:conditionalFormatting>
        <x14:conditionalFormatting xmlns:xm="http://schemas.microsoft.com/office/excel/2006/main">
          <x14:cfRule type="expression" priority="16087" stopIfTrue="1" id="{E32CA7B8-3117-430D-92B5-B50402AD89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F228:G228</xm:sqref>
        </x14:conditionalFormatting>
        <x14:conditionalFormatting xmlns:xm="http://schemas.microsoft.com/office/excel/2006/main">
          <x14:cfRule type="expression" priority="16086" stopIfTrue="1" id="{9DC2D79F-B410-4FEC-B930-AF42C4253B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F228:G228</xm:sqref>
        </x14:conditionalFormatting>
        <x14:conditionalFormatting xmlns:xm="http://schemas.microsoft.com/office/excel/2006/main">
          <x14:cfRule type="expression" priority="16085" stopIfTrue="1" id="{9EDE5410-6813-429A-A267-1CE2B490C8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F228:G228</xm:sqref>
        </x14:conditionalFormatting>
        <x14:conditionalFormatting xmlns:xm="http://schemas.microsoft.com/office/excel/2006/main">
          <x14:cfRule type="expression" priority="16084" stopIfTrue="1" id="{DFB84F75-123C-41E3-8FFC-03DC1CDAE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F231:G231</xm:sqref>
        </x14:conditionalFormatting>
        <x14:conditionalFormatting xmlns:xm="http://schemas.microsoft.com/office/excel/2006/main">
          <x14:cfRule type="expression" priority="16083" stopIfTrue="1" id="{D5F1A241-63A0-4C46-ADEE-44C85AF25A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F230:G230</xm:sqref>
        </x14:conditionalFormatting>
        <x14:conditionalFormatting xmlns:xm="http://schemas.microsoft.com/office/excel/2006/main">
          <x14:cfRule type="expression" priority="16082" stopIfTrue="1" id="{B2F077D0-073D-4CC0-A889-16DEF49F9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F229:G229</xm:sqref>
        </x14:conditionalFormatting>
        <x14:conditionalFormatting xmlns:xm="http://schemas.microsoft.com/office/excel/2006/main">
          <x14:cfRule type="expression" priority="16081" stopIfTrue="1" id="{3F893580-D17C-40C0-85F4-78C5B255A9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F233:G233</xm:sqref>
        </x14:conditionalFormatting>
        <x14:conditionalFormatting xmlns:xm="http://schemas.microsoft.com/office/excel/2006/main">
          <x14:cfRule type="expression" priority="16080" stopIfTrue="1" id="{DA2CC700-904C-409B-A50D-93A940CEA9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F233:G233</xm:sqref>
        </x14:conditionalFormatting>
        <x14:conditionalFormatting xmlns:xm="http://schemas.microsoft.com/office/excel/2006/main">
          <x14:cfRule type="expression" priority="16079" stopIfTrue="1" id="{E7999CE3-4DFB-442A-960A-BABF186F84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F233:G233</xm:sqref>
        </x14:conditionalFormatting>
        <x14:conditionalFormatting xmlns:xm="http://schemas.microsoft.com/office/excel/2006/main">
          <x14:cfRule type="expression" priority="16078" stopIfTrue="1" id="{D4886AB7-BDA8-4F80-8CB4-2ADDB87DA4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F233:G233</xm:sqref>
        </x14:conditionalFormatting>
        <x14:conditionalFormatting xmlns:xm="http://schemas.microsoft.com/office/excel/2006/main">
          <x14:cfRule type="expression" priority="16077" stopIfTrue="1" id="{EF04734E-585B-4D8C-8FF5-D7E1EF106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F233:G233</xm:sqref>
        </x14:conditionalFormatting>
        <x14:conditionalFormatting xmlns:xm="http://schemas.microsoft.com/office/excel/2006/main">
          <x14:cfRule type="expression" priority="16076" stopIfTrue="1" id="{2E1AB543-AE2F-4838-A8A3-6D9EBB4312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F233:G233</xm:sqref>
        </x14:conditionalFormatting>
        <x14:conditionalFormatting xmlns:xm="http://schemas.microsoft.com/office/excel/2006/main">
          <x14:cfRule type="expression" priority="16075" stopIfTrue="1" id="{8FE4C969-BABA-4616-8DF9-327FB73BFA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F233:G233</xm:sqref>
        </x14:conditionalFormatting>
        <x14:conditionalFormatting xmlns:xm="http://schemas.microsoft.com/office/excel/2006/main">
          <x14:cfRule type="expression" priority="16074" stopIfTrue="1" id="{8EB7165E-DF56-43B5-A42F-F7E5427FB4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F233:G233</xm:sqref>
        </x14:conditionalFormatting>
        <x14:conditionalFormatting xmlns:xm="http://schemas.microsoft.com/office/excel/2006/main">
          <x14:cfRule type="expression" priority="16065" stopIfTrue="1" id="{BC377280-A55D-4813-A059-342F72A627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F235:G235</xm:sqref>
        </x14:conditionalFormatting>
        <x14:conditionalFormatting xmlns:xm="http://schemas.microsoft.com/office/excel/2006/main">
          <x14:cfRule type="expression" priority="16064" stopIfTrue="1" id="{05742B04-641C-4236-9744-2ADF9C9CC6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F235:G235</xm:sqref>
        </x14:conditionalFormatting>
        <x14:conditionalFormatting xmlns:xm="http://schemas.microsoft.com/office/excel/2006/main">
          <x14:cfRule type="expression" priority="16063" stopIfTrue="1" id="{008AF9AB-5387-40E7-A9F3-F8CED252AE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F235:G235</xm:sqref>
        </x14:conditionalFormatting>
        <x14:conditionalFormatting xmlns:xm="http://schemas.microsoft.com/office/excel/2006/main">
          <x14:cfRule type="expression" priority="16062" stopIfTrue="1" id="{852D3249-F227-4639-9CBA-A952DE127F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F235:G235</xm:sqref>
        </x14:conditionalFormatting>
        <x14:conditionalFormatting xmlns:xm="http://schemas.microsoft.com/office/excel/2006/main">
          <x14:cfRule type="expression" priority="16061" stopIfTrue="1" id="{708C47EC-2CD0-4C54-9771-94ACC44AC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F235:G235</xm:sqref>
        </x14:conditionalFormatting>
        <x14:conditionalFormatting xmlns:xm="http://schemas.microsoft.com/office/excel/2006/main">
          <x14:cfRule type="expression" priority="16060" stopIfTrue="1" id="{89BFD950-EC7B-4882-A9B4-D7F0E21BE1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F235:G235</xm:sqref>
        </x14:conditionalFormatting>
        <x14:conditionalFormatting xmlns:xm="http://schemas.microsoft.com/office/excel/2006/main">
          <x14:cfRule type="expression" priority="16059" stopIfTrue="1" id="{F9C36CB4-A5DB-4101-ABA0-25272BDAC6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F235:G235</xm:sqref>
        </x14:conditionalFormatting>
        <x14:conditionalFormatting xmlns:xm="http://schemas.microsoft.com/office/excel/2006/main">
          <x14:cfRule type="expression" priority="16058" stopIfTrue="1" id="{3AEBE188-B667-4677-9BF6-519139B47D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F235:G235</xm:sqref>
        </x14:conditionalFormatting>
        <x14:conditionalFormatting xmlns:xm="http://schemas.microsoft.com/office/excel/2006/main">
          <x14:cfRule type="expression" priority="16057" stopIfTrue="1" id="{358B8AAC-2804-4FD3-8F09-AEFE78C8C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F238:G238</xm:sqref>
        </x14:conditionalFormatting>
        <x14:conditionalFormatting xmlns:xm="http://schemas.microsoft.com/office/excel/2006/main">
          <x14:cfRule type="expression" priority="16056" stopIfTrue="1" id="{BA273631-0AE9-4E80-9F9B-02196E314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F238:G238</xm:sqref>
        </x14:conditionalFormatting>
        <x14:conditionalFormatting xmlns:xm="http://schemas.microsoft.com/office/excel/2006/main">
          <x14:cfRule type="expression" priority="16053" stopIfTrue="1" id="{FF5AC267-AE16-4B04-9BCC-16D7F50B85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F239:G242</xm:sqref>
        </x14:conditionalFormatting>
        <x14:conditionalFormatting xmlns:xm="http://schemas.microsoft.com/office/excel/2006/main">
          <x14:cfRule type="expression" priority="16052" stopIfTrue="1" id="{72E3BEBA-35DF-405C-897C-11B125CB45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F239:G242</xm:sqref>
        </x14:conditionalFormatting>
        <x14:conditionalFormatting xmlns:xm="http://schemas.microsoft.com/office/excel/2006/main">
          <x14:cfRule type="expression" priority="16049" stopIfTrue="1" id="{403395FA-6ACF-492B-806D-31898D3B3E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F243:G245</xm:sqref>
        </x14:conditionalFormatting>
        <x14:conditionalFormatting xmlns:xm="http://schemas.microsoft.com/office/excel/2006/main">
          <x14:cfRule type="expression" priority="16048" stopIfTrue="1" id="{B7AE46B5-2683-4FAB-8D5D-86DF82D647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F243:G245</xm:sqref>
        </x14:conditionalFormatting>
        <x14:conditionalFormatting xmlns:xm="http://schemas.microsoft.com/office/excel/2006/main">
          <x14:cfRule type="expression" priority="16047" stopIfTrue="1" id="{D5471C1B-344F-4798-9F45-49D9C1CA8F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F246:G248</xm:sqref>
        </x14:conditionalFormatting>
        <x14:conditionalFormatting xmlns:xm="http://schemas.microsoft.com/office/excel/2006/main">
          <x14:cfRule type="expression" priority="16046" stopIfTrue="1" id="{8649FC87-1F2E-42D9-A115-ACD362EAE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F246:G248</xm:sqref>
        </x14:conditionalFormatting>
        <x14:conditionalFormatting xmlns:xm="http://schemas.microsoft.com/office/excel/2006/main">
          <x14:cfRule type="expression" priority="16045" stopIfTrue="1" id="{9F857D92-3BFD-4EED-BFBE-1A20D0D6A9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F249:G251</xm:sqref>
        </x14:conditionalFormatting>
        <x14:conditionalFormatting xmlns:xm="http://schemas.microsoft.com/office/excel/2006/main">
          <x14:cfRule type="expression" priority="16044" stopIfTrue="1" id="{0864D5BD-2096-4285-96A8-148D0F520F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F249:G251</xm:sqref>
        </x14:conditionalFormatting>
        <x14:conditionalFormatting xmlns:xm="http://schemas.microsoft.com/office/excel/2006/main">
          <x14:cfRule type="expression" priority="16043" stopIfTrue="1" id="{291FAC01-0E44-4CE6-BD94-0EB24E22C1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F252:G254</xm:sqref>
        </x14:conditionalFormatting>
        <x14:conditionalFormatting xmlns:xm="http://schemas.microsoft.com/office/excel/2006/main">
          <x14:cfRule type="expression" priority="16042" stopIfTrue="1" id="{0DFBF752-A965-420F-A8E1-39D7D3AA0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F252:G254</xm:sqref>
        </x14:conditionalFormatting>
        <x14:conditionalFormatting xmlns:xm="http://schemas.microsoft.com/office/excel/2006/main">
          <x14:cfRule type="expression" priority="16041" stopIfTrue="1" id="{5A0D83F3-4323-4DE3-864A-76D4A9DB0E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F255:G257</xm:sqref>
        </x14:conditionalFormatting>
        <x14:conditionalFormatting xmlns:xm="http://schemas.microsoft.com/office/excel/2006/main">
          <x14:cfRule type="expression" priority="16040" stopIfTrue="1" id="{ABCD65CA-CC45-44D4-8DEA-36389E4542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F255:G257</xm:sqref>
        </x14:conditionalFormatting>
        <x14:conditionalFormatting xmlns:xm="http://schemas.microsoft.com/office/excel/2006/main">
          <x14:cfRule type="expression" priority="16037" stopIfTrue="1" id="{EA698938-C959-4355-80EC-A33CB0409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F273:G273</xm:sqref>
        </x14:conditionalFormatting>
        <x14:conditionalFormatting xmlns:xm="http://schemas.microsoft.com/office/excel/2006/main">
          <x14:cfRule type="expression" priority="16036" stopIfTrue="1" id="{5A97EC08-D215-4C06-9568-4CA0891252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F273:G273</xm:sqref>
        </x14:conditionalFormatting>
        <x14:conditionalFormatting xmlns:xm="http://schemas.microsoft.com/office/excel/2006/main">
          <x14:cfRule type="expression" priority="16035" stopIfTrue="1" id="{1D470A3A-9CEC-4E38-BA65-11D040861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F274:G274</xm:sqref>
        </x14:conditionalFormatting>
        <x14:conditionalFormatting xmlns:xm="http://schemas.microsoft.com/office/excel/2006/main">
          <x14:cfRule type="expression" priority="16034" stopIfTrue="1" id="{4873778B-A8CF-4147-A19A-3B849E1DDC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F274:G274</xm:sqref>
        </x14:conditionalFormatting>
        <x14:conditionalFormatting xmlns:xm="http://schemas.microsoft.com/office/excel/2006/main">
          <x14:cfRule type="expression" priority="16033" stopIfTrue="1" id="{F425E976-9E4A-4DDD-9A15-DDC8C18808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F275:G275</xm:sqref>
        </x14:conditionalFormatting>
        <x14:conditionalFormatting xmlns:xm="http://schemas.microsoft.com/office/excel/2006/main">
          <x14:cfRule type="expression" priority="16032" stopIfTrue="1" id="{0684324E-6613-41FF-82A8-7AE51820EA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F275:G275</xm:sqref>
        </x14:conditionalFormatting>
        <x14:conditionalFormatting xmlns:xm="http://schemas.microsoft.com/office/excel/2006/main">
          <x14:cfRule type="expression" priority="16025" stopIfTrue="1" id="{0E97CEA6-DACF-4E39-9A9D-C115BD8E82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6024" stopIfTrue="1" id="{A954C6A1-CB4D-4E59-9A85-B8DADEDCB6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6023" stopIfTrue="1" id="{44731EB4-3D93-4CB4-951E-3225D69AA0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6022" stopIfTrue="1" id="{96B0A967-63E6-4BCD-AFD2-A7EB1D2DA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6021" stopIfTrue="1" id="{A9D06D37-2773-4362-B6E3-45B9F0650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6020" stopIfTrue="1" id="{3CD346DE-3849-4325-9F33-348838531D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6019" stopIfTrue="1" id="{36A810E1-EFD2-48A2-960D-412B920C6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6018" stopIfTrue="1" id="{A4D23F73-074B-4012-8E59-9D665115B8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6017" stopIfTrue="1" id="{B628C55F-5C5B-4E6C-8115-58BC2DF8F6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016" stopIfTrue="1" id="{64067A90-3214-4CBC-A135-5C324BBD15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015" stopIfTrue="1" id="{A510FCCB-86BB-4470-9749-5D95C8196F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014" stopIfTrue="1" id="{DF320D5B-9992-44AE-980A-CB6668F354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013" stopIfTrue="1" id="{795CA3C0-EA38-47AF-92D4-C827F320E9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012" stopIfTrue="1" id="{AC5018A2-B3AE-4E70-B824-4F2129CAC2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007" stopIfTrue="1" id="{85136C61-02E4-4B47-A60B-1D137ACC72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6006" stopIfTrue="1" id="{2FB92B89-170E-4053-AE34-A5652A27F9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6005" stopIfTrue="1" id="{BFD02F34-409A-41FE-8CF0-2C0A9E0AEF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6004" stopIfTrue="1" id="{EF5A684E-3307-4D58-A04C-57C4598CF1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6003" stopIfTrue="1" id="{BFE44A15-B266-4EA2-BF71-59AA08B3E4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6002" stopIfTrue="1" id="{42C668C7-5538-42F3-8008-9665F6F97B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6001" stopIfTrue="1" id="{B766D4C0-485C-400D-A237-A571BCEAF4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000" stopIfTrue="1" id="{B0F186A7-3C23-4CED-A551-BB0F1E1325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5999" stopIfTrue="1" id="{5C18D94D-ED4A-43BC-9646-9BA6FA5B87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5998" stopIfTrue="1" id="{450463F7-DF49-4C6B-85ED-C100C1E44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5997" stopIfTrue="1" id="{011896E4-A6EB-4766-8B52-6A91B3909E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5996" stopIfTrue="1" id="{26BF789D-DBA8-4B26-B32A-939710E591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5995" stopIfTrue="1" id="{A383E91E-AC08-40E0-9900-8365B6DE8E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994" stopIfTrue="1" id="{5CF41273-91D7-4E26-A535-53EA27972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993" stopIfTrue="1" id="{C38861B3-6976-47D3-963F-267E8ED65F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992" stopIfTrue="1" id="{9A734429-1B42-4425-9E55-81609BAF97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991" stopIfTrue="1" id="{2574B077-6A73-48B8-B3CF-E70EA6311C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990" stopIfTrue="1" id="{E493203A-296D-445B-91BF-51C1B51EE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989" stopIfTrue="1" id="{E14F308D-D815-47EF-995B-F5818CF1E3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988" stopIfTrue="1" id="{0DB90B2D-DAF2-4DBC-A0EC-59CE5293E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987" stopIfTrue="1" id="{0048F2AA-B316-4ABA-9AEF-9BD220D52C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F243:G245</xm:sqref>
        </x14:conditionalFormatting>
        <x14:conditionalFormatting xmlns:xm="http://schemas.microsoft.com/office/excel/2006/main">
          <x14:cfRule type="expression" priority="15986" stopIfTrue="1" id="{D354E68B-3ED1-4B6A-A28D-05B003930B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F243:G245</xm:sqref>
        </x14:conditionalFormatting>
        <x14:conditionalFormatting xmlns:xm="http://schemas.microsoft.com/office/excel/2006/main">
          <x14:cfRule type="expression" priority="15985" stopIfTrue="1" id="{CB172825-32CC-4323-B5C0-D2976C80E0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F246:G248</xm:sqref>
        </x14:conditionalFormatting>
        <x14:conditionalFormatting xmlns:xm="http://schemas.microsoft.com/office/excel/2006/main">
          <x14:cfRule type="expression" priority="15984" stopIfTrue="1" id="{98E6C99C-4FBC-4A4E-AE2D-4424B69C3E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F246:G248</xm:sqref>
        </x14:conditionalFormatting>
        <x14:conditionalFormatting xmlns:xm="http://schemas.microsoft.com/office/excel/2006/main">
          <x14:cfRule type="expression" priority="15983" stopIfTrue="1" id="{875429BE-D4B3-4885-8DEB-8D3B053843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F249:G251</xm:sqref>
        </x14:conditionalFormatting>
        <x14:conditionalFormatting xmlns:xm="http://schemas.microsoft.com/office/excel/2006/main">
          <x14:cfRule type="expression" priority="15982" stopIfTrue="1" id="{6F9E9604-FA2A-4BF9-984E-C951E7841C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F249:G251</xm:sqref>
        </x14:conditionalFormatting>
        <x14:conditionalFormatting xmlns:xm="http://schemas.microsoft.com/office/excel/2006/main">
          <x14:cfRule type="expression" priority="15981" stopIfTrue="1" id="{58F96065-DC7A-45EB-B8D2-478FF23C7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F252:G254</xm:sqref>
        </x14:conditionalFormatting>
        <x14:conditionalFormatting xmlns:xm="http://schemas.microsoft.com/office/excel/2006/main">
          <x14:cfRule type="expression" priority="15980" stopIfTrue="1" id="{68054BDC-45BA-4A66-AF9A-C84F18430D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F252:G254</xm:sqref>
        </x14:conditionalFormatting>
        <x14:conditionalFormatting xmlns:xm="http://schemas.microsoft.com/office/excel/2006/main">
          <x14:cfRule type="expression" priority="15979" stopIfTrue="1" id="{BFEAA425-136B-4C4F-893B-3D899FA341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F255:G257</xm:sqref>
        </x14:conditionalFormatting>
        <x14:conditionalFormatting xmlns:xm="http://schemas.microsoft.com/office/excel/2006/main">
          <x14:cfRule type="expression" priority="15978" stopIfTrue="1" id="{F286294C-D3D0-4C99-8E85-3353FB5819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F255:G257</xm:sqref>
        </x14:conditionalFormatting>
        <x14:conditionalFormatting xmlns:xm="http://schemas.microsoft.com/office/excel/2006/main">
          <x14:cfRule type="expression" priority="15977" stopIfTrue="1" id="{8F65357E-06AE-4B45-90EA-55C574486D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F258:G260</xm:sqref>
        </x14:conditionalFormatting>
        <x14:conditionalFormatting xmlns:xm="http://schemas.microsoft.com/office/excel/2006/main">
          <x14:cfRule type="expression" priority="15976" stopIfTrue="1" id="{2BB0A81B-065F-46F3-88BD-0DFDD5AA4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F258:G260</xm:sqref>
        </x14:conditionalFormatting>
        <x14:conditionalFormatting xmlns:xm="http://schemas.microsoft.com/office/excel/2006/main">
          <x14:cfRule type="expression" priority="15975" stopIfTrue="1" id="{0C5ACE11-4811-4150-86C8-747E089B07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5974" stopIfTrue="1" id="{11441AFA-D0B9-4E9C-9F48-2DEF459114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5973" stopIfTrue="1" id="{5EB7B589-453C-42F2-A226-D2A8BDF16A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5972" stopIfTrue="1" id="{0EE9F2F9-FCC6-4418-A607-A124C4FA3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5971" stopIfTrue="1" id="{3D5228C6-F85D-49C8-9137-F91CA3EA17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5970" stopIfTrue="1" id="{76560EED-C17E-4F03-85C5-F522AAABE8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5969" stopIfTrue="1" id="{92C91A76-5B2C-47D6-9627-78F8D1557F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5968" stopIfTrue="1" id="{6B0015A8-4656-44D8-93E7-B2F656438A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5967" stopIfTrue="1" id="{1913775C-132D-4FC4-8F6A-1FC5902B42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5966" stopIfTrue="1" id="{35F7037B-D316-4E9D-8C6E-E4D554F31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5965" stopIfTrue="1" id="{D489B7B5-76FA-4339-BF1D-AFB55C267A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5964" stopIfTrue="1" id="{09148657-8226-4C49-A77A-924791B179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5963" stopIfTrue="1" id="{EA599C06-E5A7-45E9-948A-D671E5B7C2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962" stopIfTrue="1" id="{5270ABFF-0338-4252-9AA7-7071B1B255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961" stopIfTrue="1" id="{0C916C1F-834A-490B-9502-2CB71072A5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960" stopIfTrue="1" id="{31584DBD-DB08-47E4-BBCF-D712BD6C5F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959" stopIfTrue="1" id="{7CF355BE-E0E8-49AF-9BB5-8F3866931C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958" stopIfTrue="1" id="{4E7B8CBB-0E50-46A3-B777-E7FCABE5D2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957" stopIfTrue="1" id="{E4C2107F-85BF-4937-9272-CF9D41FFD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956" stopIfTrue="1" id="{C71BCD74-716E-442F-9003-CFA6D71E09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955" stopIfTrue="1" id="{67113CCC-8640-4BD6-B10F-7FB83DDD0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5954" stopIfTrue="1" id="{CCEBBF4B-193A-4971-B30B-A88D49DD71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5953" stopIfTrue="1" id="{6826B51E-055A-4395-864E-471D29604F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5952" stopIfTrue="1" id="{94F15BA4-E682-4356-8C3C-BAD1503E72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5951" stopIfTrue="1" id="{CFB95554-4759-4C12-9FF1-D2EFBEF94C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5950" stopIfTrue="1" id="{93931F9A-60AE-401F-A3CD-4AEAA296E0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5949" stopIfTrue="1" id="{53F50735-24E7-4040-AC66-E1F60A4239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948" stopIfTrue="1" id="{14B45EE4-5CFB-407C-83A9-C8280CB5E5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947" stopIfTrue="1" id="{5400B192-FAFA-41FC-831F-D7FDB8009D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946" stopIfTrue="1" id="{75BF7FC8-850D-49E1-8C5B-2094C22060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945" stopIfTrue="1" id="{AC7A9941-04E5-4515-91F8-A65D401920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944" stopIfTrue="1" id="{863C953C-FFCE-4CB4-8ECA-BDF8BB57D4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943" stopIfTrue="1" id="{C144B5CD-CE12-47BC-8958-4214969BB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942" stopIfTrue="1" id="{AC6F2D16-9007-40A6-AC69-B0A80CBE67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935" stopIfTrue="1" id="{78A00FFE-5782-4B53-8288-F9E1C29C56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F252:G254</xm:sqref>
        </x14:conditionalFormatting>
        <x14:conditionalFormatting xmlns:xm="http://schemas.microsoft.com/office/excel/2006/main">
          <x14:cfRule type="expression" priority="15934" stopIfTrue="1" id="{A71814B9-4AAF-473A-9C94-22E98491EA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F252:G254</xm:sqref>
        </x14:conditionalFormatting>
        <x14:conditionalFormatting xmlns:xm="http://schemas.microsoft.com/office/excel/2006/main">
          <x14:cfRule type="expression" priority="15933" stopIfTrue="1" id="{EB5FBC80-E12A-442B-9B29-CD2D1ECF1F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F255:G257</xm:sqref>
        </x14:conditionalFormatting>
        <x14:conditionalFormatting xmlns:xm="http://schemas.microsoft.com/office/excel/2006/main">
          <x14:cfRule type="expression" priority="15932" stopIfTrue="1" id="{057D825C-F116-46DF-BF8A-BBDC2071DB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F255:G257</xm:sqref>
        </x14:conditionalFormatting>
        <x14:conditionalFormatting xmlns:xm="http://schemas.microsoft.com/office/excel/2006/main">
          <x14:cfRule type="expression" priority="15931" stopIfTrue="1" id="{40EF1DDA-F56D-46B9-B0A0-24E5215605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F258:G260</xm:sqref>
        </x14:conditionalFormatting>
        <x14:conditionalFormatting xmlns:xm="http://schemas.microsoft.com/office/excel/2006/main">
          <x14:cfRule type="expression" priority="15930" stopIfTrue="1" id="{92C584D0-0BC6-4837-9037-0B27E691D9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F258:G260</xm:sqref>
        </x14:conditionalFormatting>
        <x14:conditionalFormatting xmlns:xm="http://schemas.microsoft.com/office/excel/2006/main">
          <x14:cfRule type="expression" priority="15929" stopIfTrue="1" id="{E35BC702-221C-47CA-A8A6-875E110E63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5928" stopIfTrue="1" id="{02214E4F-5487-4D1D-BF50-49D21F72E1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5927" stopIfTrue="1" id="{65485A77-77D8-4269-9EE8-E310F17AEF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5926" stopIfTrue="1" id="{6CDDA099-27E6-4AB6-BA99-83E154A4CB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5925" stopIfTrue="1" id="{9DE25E1B-B7C3-4494-B659-82D2084C11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5924" stopIfTrue="1" id="{C4B313C0-1C33-4ACA-81F5-394687DCC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5923" stopIfTrue="1" id="{5C2E4BEF-C0E2-4942-867F-19CAF8CE81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5922" stopIfTrue="1" id="{5F8E6912-1F3B-400A-BD20-985E9E7B73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5921" stopIfTrue="1" id="{6A33C326-5A22-446A-ACCF-EB201A8046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5920" stopIfTrue="1" id="{7CB8BDB0-275F-4F1A-9244-833CC7CC29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5919" stopIfTrue="1" id="{E1ADB007-09FC-47E7-BA37-F7C348D890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5918" stopIfTrue="1" id="{A6F150AC-A996-4FE4-BFA4-55F42CA174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5917" stopIfTrue="1" id="{A6666246-A6DC-49EA-BA22-92B572445C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916" stopIfTrue="1" id="{E541B540-2C87-4748-ACA6-FF9EECF8FF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915" stopIfTrue="1" id="{C96E258D-B17F-443E-AE92-BBC0D83343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914" stopIfTrue="1" id="{34FAE31D-4E8F-46C3-ADDB-BEFF8ABFB5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913" stopIfTrue="1" id="{C6BA6048-BB31-49F0-B6AC-DA6F2E3F86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912" stopIfTrue="1" id="{71CCFCA2-142B-4FD6-B291-28F098FC5D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911" stopIfTrue="1" id="{0C711F37-18B6-458C-8D11-E92085660F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910" stopIfTrue="1" id="{D8B428DD-B093-43C1-A18F-A399E3E2D2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909" stopIfTrue="1" id="{E55F9881-FAA6-4C9E-8909-1C8707F1E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5908" stopIfTrue="1" id="{8CB2296D-E99D-451F-802A-4357DAFC17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5907" stopIfTrue="1" id="{A7A7D7A1-1CF3-4922-93FB-012A4F2AF8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5906" stopIfTrue="1" id="{CFF14D63-E28F-4B89-AD27-07786E9834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5905" stopIfTrue="1" id="{6B7545E6-B88B-41CB-9C3D-28028BDA2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5904" stopIfTrue="1" id="{3917F458-4718-43FC-B711-0FC3D238BC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5903" stopIfTrue="1" id="{FBED15E2-B52C-4995-9E08-AB9946C9FE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902" stopIfTrue="1" id="{52F0F87C-A1B1-4C46-949D-CB48F738B7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901" stopIfTrue="1" id="{ACED8570-2BD5-4D07-AA40-732F4D5B31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900" stopIfTrue="1" id="{0985D6CB-5D43-4B8C-9371-5C505E392A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899" stopIfTrue="1" id="{DD821F75-B389-470A-B89C-EECC5BAE81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898" stopIfTrue="1" id="{CDAE7EB9-CF94-40A7-A7BD-2DFAE3E28D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897" stopIfTrue="1" id="{C1FF0506-FAD3-4737-9D15-ECDCE0018B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96" stopIfTrue="1" id="{91CD6167-D144-4681-9639-5FA143078B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89" stopIfTrue="1" id="{FC7B2C5E-4045-472D-AB28-C417DCB0FE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F252:G254</xm:sqref>
        </x14:conditionalFormatting>
        <x14:conditionalFormatting xmlns:xm="http://schemas.microsoft.com/office/excel/2006/main">
          <x14:cfRule type="expression" priority="15888" stopIfTrue="1" id="{BD682F6A-A94B-4A96-972D-8F64B0C623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F252:G254</xm:sqref>
        </x14:conditionalFormatting>
        <x14:conditionalFormatting xmlns:xm="http://schemas.microsoft.com/office/excel/2006/main">
          <x14:cfRule type="expression" priority="15887" stopIfTrue="1" id="{30D1E86D-B7CC-49F5-B7E9-D0A121707B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F255:G257</xm:sqref>
        </x14:conditionalFormatting>
        <x14:conditionalFormatting xmlns:xm="http://schemas.microsoft.com/office/excel/2006/main">
          <x14:cfRule type="expression" priority="15886" stopIfTrue="1" id="{95FB33FF-6CF8-4EBF-9F34-A4C4D8D5B0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F255:G257</xm:sqref>
        </x14:conditionalFormatting>
        <x14:conditionalFormatting xmlns:xm="http://schemas.microsoft.com/office/excel/2006/main">
          <x14:cfRule type="expression" priority="15885" stopIfTrue="1" id="{5C633FAA-753A-4EEC-814B-812971ED45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F258:G260</xm:sqref>
        </x14:conditionalFormatting>
        <x14:conditionalFormatting xmlns:xm="http://schemas.microsoft.com/office/excel/2006/main">
          <x14:cfRule type="expression" priority="15884" stopIfTrue="1" id="{6563CF46-8F2A-4A18-9131-DA2E2EFF61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F258:G260</xm:sqref>
        </x14:conditionalFormatting>
        <x14:conditionalFormatting xmlns:xm="http://schemas.microsoft.com/office/excel/2006/main">
          <x14:cfRule type="expression" priority="15883" stopIfTrue="1" id="{2632E2A6-0A58-4666-A382-ACD227394F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F261:G263</xm:sqref>
        </x14:conditionalFormatting>
        <x14:conditionalFormatting xmlns:xm="http://schemas.microsoft.com/office/excel/2006/main">
          <x14:cfRule type="expression" priority="15882" stopIfTrue="1" id="{32AEE5F0-3874-4607-A1C7-8C32C5426A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F261:G263</xm:sqref>
        </x14:conditionalFormatting>
        <x14:conditionalFormatting xmlns:xm="http://schemas.microsoft.com/office/excel/2006/main">
          <x14:cfRule type="expression" priority="15881" stopIfTrue="1" id="{E0199940-F2AF-4263-B78C-22B2C5FD4D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5880" stopIfTrue="1" id="{2957BECE-0BA3-429D-B013-49C89A346E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5879" stopIfTrue="1" id="{9B39BD9D-8942-4104-8A3D-7A6FD2EFF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5878" stopIfTrue="1" id="{2FD671DF-8EF5-454F-8137-35CCC5F5DC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5877" stopIfTrue="1" id="{B8FAFC71-DC11-4DFC-A88A-189395F78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5876" stopIfTrue="1" id="{385D0196-117A-4CF3-9AEA-C577BE139F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5875" stopIfTrue="1" id="{E855458C-0C6C-4EEE-A42C-902EE9DE9D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874" stopIfTrue="1" id="{817924F7-D08F-4732-905E-C5997D6F4B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5873" stopIfTrue="1" id="{A364B825-CDEB-49D2-8905-23C9B544BB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872" stopIfTrue="1" id="{74286C0F-68B2-4498-9FD8-3CCE119FB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5871" stopIfTrue="1" id="{A81D7BEF-FCC6-4879-A363-6B7C287DAC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870" stopIfTrue="1" id="{6659B0E1-5FA1-4E82-9E9D-023DE00A0D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5869" stopIfTrue="1" id="{DF983F71-AC78-43A6-ACC9-655BD22298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68" stopIfTrue="1" id="{FF7DAE1C-C6C0-4719-AB7E-7C88364D71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61" stopIfTrue="1" id="{15750DE3-AB34-458E-A58D-0FE577E92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5860" stopIfTrue="1" id="{B5B4DB93-2120-4374-97C3-A149560443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5859" stopIfTrue="1" id="{DE5FC2E2-BF8E-4BF2-9420-58F193F0F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5858" stopIfTrue="1" id="{8FB0C225-C0A3-46F8-AE33-BBCC2F3989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5857" stopIfTrue="1" id="{13C409B1-5CFC-4751-841E-34DD80EF19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5856" stopIfTrue="1" id="{7080FA22-9FBF-4BFB-B479-BC18DCD557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5849" stopIfTrue="1" id="{114175E7-EFD4-4C3C-B8B2-15735C7B57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48" stopIfTrue="1" id="{FB8707C5-D200-4776-99B4-BBCF67BF9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47" stopIfTrue="1" id="{61F6C53F-0B44-485F-B9B5-A6D5CFB9D9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846" stopIfTrue="1" id="{6544E8DF-BDFE-4E93-9B90-7C348403E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845" stopIfTrue="1" id="{DCCD5183-CEBC-4DF9-B0AC-DE87EC1DC0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844" stopIfTrue="1" id="{3D6D7AA1-03A7-457B-A9B0-7AE36FCC33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843" stopIfTrue="1" id="{FDA8A01E-7145-40D6-AB0F-306D5471ED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842" stopIfTrue="1" id="{A5A3CC89-D2EF-48A7-BF32-F99B0509E6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841" stopIfTrue="1" id="{AEB62D67-DFAE-49F0-84E0-890534A43C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840" stopIfTrue="1" id="{7A6002C3-CBA8-48BA-9121-270DCE56E8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839" stopIfTrue="1" id="{ABD05506-7FB0-497E-A424-AA1EACF302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38" stopIfTrue="1" id="{EADE8D86-FD75-49B5-8AA3-569F9F2C51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31" stopIfTrue="1" id="{6429ED6F-FF99-47D2-ABAC-761D1CCBD1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30" stopIfTrue="1" id="{B793F46A-23D4-45B0-937F-5CB2D86B52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17" stopIfTrue="1" id="{7B1ABF33-F37A-41AD-9225-08404425D5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16" stopIfTrue="1" id="{5BCC5437-8B5F-463B-8356-3F7553EE2D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15" stopIfTrue="1" id="{C4AA31E4-8D37-446A-998B-9CAA3D9DF5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814" stopIfTrue="1" id="{59739DA0-633D-4B51-AA32-0577938EF8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813" stopIfTrue="1" id="{917C565E-DC92-420C-B9A2-C815ED0FC2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812" stopIfTrue="1" id="{695A8608-5707-4200-911B-56347B33A1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811" stopIfTrue="1" id="{99EC94E6-10B2-4496-BCD3-3C2F825FFC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810" stopIfTrue="1" id="{DC9BA229-23FD-4124-878B-132A2184A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809" stopIfTrue="1" id="{34F96594-633E-4E58-804D-89576E9011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08" stopIfTrue="1" id="{9ACB0378-5F10-43B0-9C84-7E5DBA959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795" stopIfTrue="1" id="{951D629C-BAA4-404E-9FFE-1097E257B4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94" stopIfTrue="1" id="{AC4DE659-C86E-4EF0-AFEF-95898D7C80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93" stopIfTrue="1" id="{BDC1A033-6B59-41DF-979B-3987EB4227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92" stopIfTrue="1" id="{9A6E979F-813E-45DD-ACF1-043B5B9177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91" stopIfTrue="1" id="{231C4B30-0271-4935-99B8-84816F7587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90" stopIfTrue="1" id="{A0FFC336-6A19-4ED0-86C1-6838DCE679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89" stopIfTrue="1" id="{57011D9F-58D0-4FFC-B740-F6DBD2CE21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88" stopIfTrue="1" id="{0BBFEFCC-F552-474C-88BC-C8A0AA76B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81" stopIfTrue="1" id="{3BB370C7-43D8-4D3A-968A-08299CC67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80" stopIfTrue="1" id="{B5A1025D-0931-4F8E-8666-9E8108F4B2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79" stopIfTrue="1" id="{9F0C7E26-CA3A-4EE6-B818-2E34D16456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78" stopIfTrue="1" id="{1C2FB08F-DF59-4414-AEF8-D3604A06C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77" stopIfTrue="1" id="{684C5860-F1F8-4138-83AD-128CF7C24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76" stopIfTrue="1" id="{19582A6C-43FE-40FE-87D4-A6DCF3FA22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75" stopIfTrue="1" id="{212DEAF6-C11F-497D-A3C4-1530AEA365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74" stopIfTrue="1" id="{5713B387-A535-4A3D-B85B-DB4CE2847E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73" stopIfTrue="1" id="{EAB34E18-8CC8-4B4D-B3A3-3905624C20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72" stopIfTrue="1" id="{5B28C8C5-5278-4900-B8AF-F72284BA5C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71" stopIfTrue="1" id="{9C93B94B-430B-47C5-9E1C-BF4445F097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70" stopIfTrue="1" id="{54E5F0A2-C84F-40BD-962E-B1BE6868D9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69" stopIfTrue="1" id="{6905B5B8-AC58-4941-847E-3A5F06AF56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68" stopIfTrue="1" id="{8EC13E33-7F52-4258-BE1D-A01018B6F9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67" stopIfTrue="1" id="{83F43DF1-4B04-46A6-AB6E-14230E1DD5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66" stopIfTrue="1" id="{14C04F76-D95D-4EF7-9F96-1B3AF41A08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65" stopIfTrue="1" id="{F3E68C52-9071-4B6A-BD1F-B01B7944EF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764" stopIfTrue="1" id="{9665BFD0-5319-4333-AB33-F465E83305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763" stopIfTrue="1" id="{E87DB0C7-FB8E-4934-B31E-8A143D5AD6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762" stopIfTrue="1" id="{ECFB15DD-A2D7-4225-B296-F9ED34D12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761" stopIfTrue="1" id="{15942B89-8812-49C8-866E-127B475A28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760" stopIfTrue="1" id="{FAE684E8-8A42-49D9-B6DD-FF760BE58D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759" stopIfTrue="1" id="{650B7955-AC81-4807-838B-168C680318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758" stopIfTrue="1" id="{52829133-8FF0-462B-B2DD-0107F66DA4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757" stopIfTrue="1" id="{56209757-B4CE-433A-BFAA-7D2DD95161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56" stopIfTrue="1" id="{AC55DF14-65FB-407D-9F14-5BA8474A2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55" stopIfTrue="1" id="{BF0F64B6-1102-4121-9D7B-6FD60432C2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54" stopIfTrue="1" id="{BD0AFE08-205F-40AB-B2CA-E0089E1BAB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53" stopIfTrue="1" id="{EEA09BB2-F415-43ED-BF85-A8193048C2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52" stopIfTrue="1" id="{4246BFB4-06B1-44D2-8A3D-BF12978439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51" stopIfTrue="1" id="{8A7E1D17-0300-4D2D-9766-BEBB77A9AE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50" stopIfTrue="1" id="{EA756CBD-8980-41F0-A7EE-1471EB1591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49" stopIfTrue="1" id="{96F46B17-603F-449E-9CED-766CF5E6C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48" stopIfTrue="1" id="{6B14EFC1-041F-4F3C-901A-B03033BC05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47" stopIfTrue="1" id="{F5F1E113-B86E-45A9-A898-99F0366857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46" stopIfTrue="1" id="{DBD63F02-8C60-4B20-A16E-87AF66D651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45" stopIfTrue="1" id="{79C2E979-195B-4DB0-B689-DBCC53C49D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44" stopIfTrue="1" id="{7946B537-BD4D-45C6-8A63-8C3BAB891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43" stopIfTrue="1" id="{AC945E70-CB6D-4D38-A1B0-4F31130FD5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42" stopIfTrue="1" id="{5CF8FEF0-BC79-4096-A4DF-31B0502AAE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41" stopIfTrue="1" id="{9E316896-C33A-4BCF-9B4A-3A3669ABE9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40" stopIfTrue="1" id="{C439F294-B3F2-4359-B65D-C949B98D37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39" stopIfTrue="1" id="{5913DF3D-C631-4407-A78B-4BA38521F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38" stopIfTrue="1" id="{BEDDD2A9-A762-48D7-91B8-B6B2A6E6A0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37" stopIfTrue="1" id="{25882218-7D65-4B83-A6E8-FB808D41F4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36" stopIfTrue="1" id="{E7230265-3F06-410B-BE75-4CC8DF649A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35" stopIfTrue="1" id="{29AD6186-84D7-45DA-81AA-B5EAEF0839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34" stopIfTrue="1" id="{E64E133D-4DBE-4829-A9D1-36E6C04952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33" stopIfTrue="1" id="{64B2FA5D-1C48-4637-99F0-19447D8883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732" stopIfTrue="1" id="{7C2A2824-C1E0-4FF4-BEAD-7B9CC580C0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731" stopIfTrue="1" id="{4E45BE5A-8923-4C6E-B95F-8D1391C225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730" stopIfTrue="1" id="{ABE35FE9-C267-4A61-996F-30350F5855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729" stopIfTrue="1" id="{23659602-AC6B-46F7-956E-23A6D8FDEF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728" stopIfTrue="1" id="{5C337B0D-E874-4433-888B-F90566FD1B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727" stopIfTrue="1" id="{4EC0B402-D18C-4D9A-AECC-15CAF1E779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26" stopIfTrue="1" id="{70FCE880-8199-4C7A-BFF8-C5FCE5F0CE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25" stopIfTrue="1" id="{C5FFE263-F40A-4162-99ED-ADDE214DCB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24" stopIfTrue="1" id="{0F95DF68-FEB9-4538-93A5-429E50680E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23" stopIfTrue="1" id="{A585DB02-05B0-4E1A-AF08-7342DF4C53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22" stopIfTrue="1" id="{66B72F37-13D7-4788-B8FE-3C7C3475F9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21" stopIfTrue="1" id="{8E419AB5-8CD6-4035-B079-918E273F18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20" stopIfTrue="1" id="{69FBC897-8931-4E88-BB21-EA7E7ACCC4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19" stopIfTrue="1" id="{9AE18501-DB3B-4662-A3A8-36B4B17180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18" stopIfTrue="1" id="{F7FF105E-BA5C-4EC8-B6FF-DD670F8D6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17" stopIfTrue="1" id="{52F63E84-935F-4B88-B371-1634378B5C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16" stopIfTrue="1" id="{A030E242-D737-4BA0-9D4E-AF1F13B907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15" stopIfTrue="1" id="{02211397-12A5-4BDA-AE11-739B85A86E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14" stopIfTrue="1" id="{435D77CD-C516-4972-8DC4-B2B5E50986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13" stopIfTrue="1" id="{A2C4CBFE-E467-4E38-9CC1-39A344D1DC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12" stopIfTrue="1" id="{021F4584-53B4-4D7F-B0DE-EED5FA330F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11" stopIfTrue="1" id="{64972238-7418-45A0-B8F0-4F2495DB44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710" stopIfTrue="1" id="{0758BD67-B131-4BEB-8D04-C6BA56AC54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709" stopIfTrue="1" id="{78E8846E-9B3F-4146-9C5D-81E97EEA08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708" stopIfTrue="1" id="{860391E2-985B-4DA7-9AAB-778613BD23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707" stopIfTrue="1" id="{7FC4E531-29B8-4815-A51A-941889A51F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706" stopIfTrue="1" id="{C8907A44-55D0-428A-A602-CCE84DFAD3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705" stopIfTrue="1" id="{3369BCDF-CBAD-4ABE-8C73-1614A07FC2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04" stopIfTrue="1" id="{E7D7DC31-E000-4F31-BF33-4319EB29F3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5703" stopIfTrue="1" id="{82BB45CF-4ADD-4541-BBD2-4387775363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02" stopIfTrue="1" id="{A21B408D-A3E0-40A9-BBCD-05A435472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5701" stopIfTrue="1" id="{208679CA-14C4-4BBE-93D3-54BE70F23D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700" stopIfTrue="1" id="{CEFA6CC5-1C61-4566-93B1-80DEC46321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5699" stopIfTrue="1" id="{71AE8618-F9AE-4457-80E5-F07ED1B21D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698" stopIfTrue="1" id="{274D44F4-37CD-4AE9-B75A-2CD414A4DE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697" stopIfTrue="1" id="{DE60BEE3-3C2B-47B8-B7B1-F4A179888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96" stopIfTrue="1" id="{A67E3557-4880-442D-933A-9C033B65F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95" stopIfTrue="1" id="{24CD0924-252D-4A40-B21A-9CB6F07314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94" stopIfTrue="1" id="{16AB241D-D7C7-4865-AB0F-8279CD7FDD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93" stopIfTrue="1" id="{1B6E1C98-D039-4016-9016-5DE187635A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92" stopIfTrue="1" id="{173A5B4A-60F9-485D-9B3E-D26604FD37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91" stopIfTrue="1" id="{C232958B-CC7B-451B-82DB-4B5674B0F7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90" stopIfTrue="1" id="{A51A0DAE-8427-4B0A-ADE2-D7A06ECCA3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89" stopIfTrue="1" id="{9BCCFC36-44B3-4AA0-BE40-516DE8124C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88" stopIfTrue="1" id="{92558296-E1AB-4ADF-977D-1113A0BD5A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87" stopIfTrue="1" id="{4B22EB24-89D6-4285-85DF-768B4B8CE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86" stopIfTrue="1" id="{BAF1D203-67B8-4634-B667-3DA17DF8FA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85" stopIfTrue="1" id="{ECAAD4FE-A131-4F66-89A9-56FA7BA37C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684" stopIfTrue="1" id="{435B27BE-399E-466F-9D69-E27F604D4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683" stopIfTrue="1" id="{58C98CFD-A38C-44FF-8583-F6458A69B2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682" stopIfTrue="1" id="{130EEC8F-907D-49D3-8024-9405477724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681" stopIfTrue="1" id="{E6D0F413-301B-4FEB-9796-52628C20B2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680" stopIfTrue="1" id="{C9492583-9A48-4D7B-8990-2DF0084868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679" stopIfTrue="1" id="{E378635C-298B-4A19-B227-ED07CA4637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678" stopIfTrue="1" id="{90D9142F-96D2-4F95-B9D0-894A16C059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677" stopIfTrue="1" id="{7CC36BD0-F191-4DB5-BE44-E7E3918FC3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676" stopIfTrue="1" id="{22F6177D-A35C-4BB8-9C23-28684476B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675" stopIfTrue="1" id="{048EDC40-41C3-4E19-82B4-F4D74FCB71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674" stopIfTrue="1" id="{A0A19B10-F2FF-4C8C-8D30-E8AC8E86D1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673" stopIfTrue="1" id="{C8DB04A9-F614-4D60-B635-A4344C16C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72" stopIfTrue="1" id="{D25D2BCE-BCE3-4E26-BDDE-E6C9BADBDA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71" stopIfTrue="1" id="{D1E33AF1-4369-445C-8BD0-5C816D2337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70" stopIfTrue="1" id="{C28F6A78-2BC8-46D2-B05A-86D70BA872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69" stopIfTrue="1" id="{15DC8DBF-3971-4E36-AFCA-85500B8FCD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68" stopIfTrue="1" id="{BEE2AD09-86B1-4E7D-B546-A46C78ACE7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67" stopIfTrue="1" id="{28AEE692-E7FE-4BA8-9FFC-87B8EEFD9C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666" stopIfTrue="1" id="{586261EA-378B-43A7-8EE2-7FBD80E0EA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665" stopIfTrue="1" id="{3B89CBF1-9863-407B-B7F8-1F060C1855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64" stopIfTrue="1" id="{8DEEFF38-5546-4B50-92FA-5B5F201B1D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63" stopIfTrue="1" id="{50DD37AD-A884-4CF8-A651-23E3036CE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62" stopIfTrue="1" id="{05D8EE58-B15C-45A5-AE5C-799DA5052E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61" stopIfTrue="1" id="{792B5171-817D-4D25-976E-F644E8701B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60" stopIfTrue="1" id="{2F844802-32FA-44DF-AC7F-38755852F5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59" stopIfTrue="1" id="{52865004-CAA8-4F2C-A6D3-4570CD3030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58" stopIfTrue="1" id="{323A9497-4846-4692-B688-5E1753F697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57" stopIfTrue="1" id="{59169F84-2D13-451A-9D72-48E8D7002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56" stopIfTrue="1" id="{D53E06CB-82EE-4F6C-BEFF-4004501663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55" stopIfTrue="1" id="{C2DF9EE5-40FC-4EEE-A15C-E1949B752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54" stopIfTrue="1" id="{72CB5CF2-5312-4502-B11F-B163AC2B4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53" stopIfTrue="1" id="{4D64D76C-7F98-4CB9-9E12-F662D776E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652" stopIfTrue="1" id="{2A5EE6D5-B9A8-4617-AB63-D63EBA37F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651" stopIfTrue="1" id="{B4C1A467-4CB4-4245-8FC0-CB9DEEB3EC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650" stopIfTrue="1" id="{2CDE3840-9E4C-4F1F-9A0D-A5542B60BF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649" stopIfTrue="1" id="{531AFB16-453F-4457-ACF0-4430B1A840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648" stopIfTrue="1" id="{244A4597-7C4C-4E38-AEBD-2BDD4665B4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647" stopIfTrue="1" id="{F2223CD5-8A2D-4999-A14B-E586C79916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646" stopIfTrue="1" id="{D4AFE651-7675-49D4-A74E-5A20797319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645" stopIfTrue="1" id="{5E80582C-4609-4379-B164-FBC1E2DCA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644" stopIfTrue="1" id="{0BDF88E6-86EA-41DC-8B4F-8979BEBE1E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643" stopIfTrue="1" id="{CE2B238E-C563-43DD-B02D-5FC296094D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42" stopIfTrue="1" id="{3333FE78-5B3B-4B62-B737-79C9E284CB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41" stopIfTrue="1" id="{E2FEF05F-C397-4FB2-BE06-47C1B675B2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40" stopIfTrue="1" id="{F5A353CA-5325-4B6B-B462-E7C383F437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39" stopIfTrue="1" id="{50C5D506-AB47-48DB-8D8E-4118F74774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38" stopIfTrue="1" id="{1E59ADCF-252A-4C6F-AB71-269181539A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37" stopIfTrue="1" id="{E85E33EF-085B-43C2-9F35-50747216C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36" stopIfTrue="1" id="{3243D55E-3BD6-4E26-B245-02C1C154DE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35" stopIfTrue="1" id="{8E5A212F-9FE9-4089-9A28-C4806979B8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34" stopIfTrue="1" id="{FD5D652D-EA5F-47DF-8568-C0644F1A62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33" stopIfTrue="1" id="{67666DBC-9351-4F1A-AB07-9B8CB6ABDF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32" stopIfTrue="1" id="{C22800C6-235C-4ABC-BF88-690CBBCA1C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31" stopIfTrue="1" id="{F125D689-8B2F-4EA8-AC3D-466C457C5A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630" stopIfTrue="1" id="{F395F2AA-41CD-4E7C-A482-3A19BA0C38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629" stopIfTrue="1" id="{7AB30613-3C62-4962-9D67-F6D92FBFB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628" stopIfTrue="1" id="{DB4C595D-0518-49EB-9FE5-E23E723BB3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627" stopIfTrue="1" id="{DF8D11F6-69C4-4023-AADB-E9E27573E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626" stopIfTrue="1" id="{3FFEA721-7ABE-4D5D-A98E-3679ECF481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625" stopIfTrue="1" id="{99030C19-2E5C-477F-852A-EC81B13CE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624" stopIfTrue="1" id="{C2491169-B83C-4F7E-9856-A0AF3257D2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623" stopIfTrue="1" id="{D7472A00-D47F-47E8-84B7-1E998DC4F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22" stopIfTrue="1" id="{2225525C-F206-40F6-80EF-14D19D514A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621" stopIfTrue="1" id="{439E9088-5367-414C-80A4-C89207B859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20" stopIfTrue="1" id="{E9494247-F44C-4850-A70E-6094FCE4A1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619" stopIfTrue="1" id="{F1F43C1B-E750-4E7B-9448-51D7E14EB2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18" stopIfTrue="1" id="{EBA27222-15E3-4E2C-8A6C-2030FDE117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617" stopIfTrue="1" id="{F4B04D61-81DF-4464-A8FC-9F5F9D5476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616" stopIfTrue="1" id="{7572D8C7-F513-4029-A848-4654DA392D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615" stopIfTrue="1" id="{31FCA0DE-8AC2-4915-923D-C0B590A4E8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614" stopIfTrue="1" id="{94BB75BF-1E8E-4E69-87E2-3A302AA2E3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613" stopIfTrue="1" id="{CBEF0364-05AF-4F0D-B89A-030B58DB5D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612" stopIfTrue="1" id="{82172181-6531-418C-8A98-1AACE888C3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611" stopIfTrue="1" id="{33304162-2E18-47BA-9571-83AB8121A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610" stopIfTrue="1" id="{B2B9316F-9926-45A0-AAD8-D7A0B07522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609" stopIfTrue="1" id="{B990CF7F-3B55-42DF-AAA6-0E5F43134B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608" stopIfTrue="1" id="{2F2A958F-A76D-4DE5-87B1-A761FB9440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607" stopIfTrue="1" id="{3CF77792-4A71-42EC-AC7F-90B4BE0BA5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606" stopIfTrue="1" id="{58B88625-CDE6-46E3-9221-C84CA5DA14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605" stopIfTrue="1" id="{204A378C-0BC4-4B27-8C4B-0F0DD3A335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604" stopIfTrue="1" id="{BF7524CD-1EF1-4E95-8F74-59FC40FB5F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601" stopIfTrue="1" id="{B1EC7EFA-321E-4CCE-9EC5-19C08C27C4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00" stopIfTrue="1" id="{6D6CA90C-085F-4BA7-97C2-29928EC715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599" stopIfTrue="1" id="{7AFCBB04-7797-427B-8FBB-ED646B7861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598" stopIfTrue="1" id="{5CFB29C3-B1FF-4D27-94E9-0ED0F1DDA0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597" stopIfTrue="1" id="{4857A080-3FCA-45F7-9896-DFE5AABD4C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596" stopIfTrue="1" id="{7CCA82DF-100E-4F5E-B933-15426FEAE8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595" stopIfTrue="1" id="{70261097-716A-4511-9C59-7B5483809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594" stopIfTrue="1" id="{4B169A03-E154-4D41-8028-D7B6954E9E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593" stopIfTrue="1" id="{41F1A447-7B57-4154-B30D-13A4D84920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92" stopIfTrue="1" id="{86C578F4-2E15-4A23-82A5-AA64633B79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91" stopIfTrue="1" id="{8E403966-1C32-49D4-B9AC-22AF21C424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90" stopIfTrue="1" id="{E7DF425F-F71F-4B72-A2E7-B40700F578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89" stopIfTrue="1" id="{0E5829E6-7DD3-4773-98A4-DAD7B0B2F3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88" stopIfTrue="1" id="{C197D808-A842-490D-83D8-648D915EE2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87" stopIfTrue="1" id="{8600D713-D953-491D-A544-5D4C27806B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86" stopIfTrue="1" id="{65EC447E-5D4C-451C-9D9C-9415301F5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85" stopIfTrue="1" id="{F9EADB82-3042-4480-A466-5E0FA5C07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84" stopIfTrue="1" id="{4A4D481A-7783-491F-BBC0-C2FB69CFD4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83" stopIfTrue="1" id="{5C45F454-2C90-4B9B-8A96-12358D6A98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82" stopIfTrue="1" id="{4DDC25FA-660E-40FE-9E40-38A904E4E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81" stopIfTrue="1" id="{34B2406E-5C1D-4CFE-9A1A-78135C9535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80" stopIfTrue="1" id="{6E37812E-CAF2-468C-9B97-05D7A83582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79" stopIfTrue="1" id="{87154F86-7CBF-4392-8AEA-6468674E4E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78" stopIfTrue="1" id="{AA5C4BF2-A4D6-46AD-B2E6-FFF2318504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77" stopIfTrue="1" id="{BC36615C-C07A-4E64-B55A-E9B68E8E07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76" stopIfTrue="1" id="{6086B3A4-080B-4DD8-8C21-152175CDAD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75" stopIfTrue="1" id="{E8878FED-D3FF-44F0-A18A-F60F8A57FE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74" stopIfTrue="1" id="{610D9EA1-D223-4167-A6D7-61F8CF9F63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73" stopIfTrue="1" id="{62BD124B-8309-494F-82C7-4A342FB628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72" stopIfTrue="1" id="{CE8026C4-0706-43F4-9F02-38ADD55C7A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71" stopIfTrue="1" id="{CD55F04F-80A6-4461-909E-3DD3945964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70" stopIfTrue="1" id="{5F1FB558-123D-4570-9014-7183BFB14E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69" stopIfTrue="1" id="{DEE4767D-ACB3-4BD5-91DF-C2395158DB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68" stopIfTrue="1" id="{342EF895-8033-4BAB-BF85-29328AA0D3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67" stopIfTrue="1" id="{C3ED6FC9-0660-457A-856F-E1924AF065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66" stopIfTrue="1" id="{48B516D9-0D43-4D15-8A29-AEA16539BB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65" stopIfTrue="1" id="{697EB2CF-DED5-49FD-97B9-3850709A9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64" stopIfTrue="1" id="{AF2C58E7-25EA-40EE-9108-0817A68B8B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63" stopIfTrue="1" id="{00C8395D-173A-499B-8FCE-2BEEF5692E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62" stopIfTrue="1" id="{3C504C40-78EA-4527-B1F3-D4F71F9C9D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61" stopIfTrue="1" id="{BF58AE96-A2EE-45D3-BEA2-F49D4DA166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60" stopIfTrue="1" id="{C32E7FDA-92B0-4E82-8EAF-D8EBE88174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59" stopIfTrue="1" id="{BC117D16-0B6C-47F8-B645-1278DFDDE4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58" stopIfTrue="1" id="{ECE34EC4-6581-4BAD-AE37-C65F645F5F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57" stopIfTrue="1" id="{ED9B3B78-8BA2-49B8-8D44-17C1B4A21F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56" stopIfTrue="1" id="{72376BA6-64B5-4141-8F61-A709615503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55" stopIfTrue="1" id="{BE696219-0569-4758-8468-01017B68AC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54" stopIfTrue="1" id="{A5759323-5604-4FCF-8664-519A5B0D95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53" stopIfTrue="1" id="{70CF8CF2-3BC2-4DF9-BD85-F74E7581D0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52" stopIfTrue="1" id="{5E92FB59-3120-492E-92F4-73D22B1E4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51" stopIfTrue="1" id="{A8D87BA8-6563-4C5F-BFA1-4EFF891483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50" stopIfTrue="1" id="{0C5D1B7F-5E08-4E8D-8BF4-3F0EA618C7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49" stopIfTrue="1" id="{9D3FCBC2-FC3A-4BFE-820D-554F713BB5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48" stopIfTrue="1" id="{451533AC-C998-431E-9B73-4A9DE6E203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47" stopIfTrue="1" id="{4C35ADFF-ED3C-4B89-AAAA-D0B8E8797E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46" stopIfTrue="1" id="{467F209B-F69A-4566-B87C-0CA7CC6A4B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45" stopIfTrue="1" id="{47F324DA-8874-4936-BA1C-C1A7FD2C84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44" stopIfTrue="1" id="{21084E2A-6D62-452C-A09C-9851868627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43" stopIfTrue="1" id="{818A8C09-3278-4B10-864D-F2240BB51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42" stopIfTrue="1" id="{99624D73-B5C9-4409-A68E-D91EF3764A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41" stopIfTrue="1" id="{3E55C378-2835-472E-B71C-ED914CB2A5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40" stopIfTrue="1" id="{5010F6C6-A206-4CE0-B80E-B53B7D7379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39" stopIfTrue="1" id="{731A76C4-155C-4DC7-879D-E6F8A52321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38" stopIfTrue="1" id="{B84328BE-EC91-42EF-B4A7-2A884A6A1D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37" stopIfTrue="1" id="{67041BD2-C336-4387-BCE0-398C32CEF7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36" stopIfTrue="1" id="{0542BCAC-DC88-4708-94FC-476367D34D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35" stopIfTrue="1" id="{ED8C3C6B-8CDA-4371-A915-B92E4CD5B9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34" stopIfTrue="1" id="{12D8AA53-4E4F-46F5-9466-299998325B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33" stopIfTrue="1" id="{239744DD-175D-4BB7-A130-7495BE970A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532" stopIfTrue="1" id="{FC741659-970D-4CDA-9636-C41064DE5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531" stopIfTrue="1" id="{845C6E0B-B217-49B2-A116-83B2597D87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530" stopIfTrue="1" id="{394709A8-95E3-49A6-B2B6-7BACD88C72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529" stopIfTrue="1" id="{1318E912-505E-4AD2-93C7-CCB30DD9C8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528" stopIfTrue="1" id="{1CA8671B-A482-4624-BD3B-D653330FCA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527" stopIfTrue="1" id="{96CC8C44-6668-4180-BD15-5D52B2253D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26" stopIfTrue="1" id="{4AE6AD01-FFC4-4A2E-BDD7-094AE9E386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25" stopIfTrue="1" id="{18FB04E1-833D-4387-A7EE-33C4E28A8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24" stopIfTrue="1" id="{D6D240E6-77E6-422A-BF7D-E706A786D9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23" stopIfTrue="1" id="{3EF4D37E-D652-460C-8D2A-5619A0A1E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22" stopIfTrue="1" id="{643BF091-003D-43CD-89A1-D44415DFE5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21" stopIfTrue="1" id="{61D62142-6102-494E-AF5D-AC8DC56FCD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20" stopIfTrue="1" id="{5B00E006-2A07-4B10-8772-09F915EB0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19" stopIfTrue="1" id="{4AB49C31-31CA-4038-8BD4-5ABD05506D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18" stopIfTrue="1" id="{42A6E5C5-5B83-4467-8DF6-66C9B3BA3B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17" stopIfTrue="1" id="{FE089182-9E0C-4331-A1D0-532A2E8377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16" stopIfTrue="1" id="{A480A622-7BB8-4010-8252-B484B5826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15" stopIfTrue="1" id="{692596EA-E38B-4429-898E-BA2C197EC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14" stopIfTrue="1" id="{44241B45-9374-4D68-A723-E93DDD04E7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13" stopIfTrue="1" id="{A5C30002-CEE2-401A-A278-3CE38B9DD8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12" stopIfTrue="1" id="{D8434276-BCAB-4149-9E0F-3F59EF89EA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11" stopIfTrue="1" id="{8DD9ACA9-0860-4C74-A29D-F4FFB0EEB4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10" stopIfTrue="1" id="{179F5B23-25E4-44BB-BA33-0D74B74478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09" stopIfTrue="1" id="{4F9E8969-3856-4065-93D2-CCD55D102E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08" stopIfTrue="1" id="{4B99D8ED-BED4-4885-9E0D-F43184B26E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507" stopIfTrue="1" id="{393EB934-5C34-47CB-88B7-87B27849F7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06" stopIfTrue="1" id="{D1E51FC3-03C8-4A50-8296-335A56EA5F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505" stopIfTrue="1" id="{2F7A1F0D-C50B-48CA-96CD-C9A34126DC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04" stopIfTrue="1" id="{42E23675-BC68-4751-A09A-48D270A42E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503" stopIfTrue="1" id="{849E7283-4DFF-49A4-9845-198BE93E65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02" stopIfTrue="1" id="{271A47E1-76BA-44CB-892E-B3BAB94CB8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01" stopIfTrue="1" id="{9E10AF6D-B6A7-4DB5-BF9E-ADA48F2EE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500" stopIfTrue="1" id="{86CDA1B4-8AA5-4DFA-A80E-BE8168297F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99" stopIfTrue="1" id="{8B9CB49C-39F4-4192-9DD1-72D3677880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98" stopIfTrue="1" id="{967960C7-88FB-459D-A022-8AF502B21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97" stopIfTrue="1" id="{D8222148-58EA-47D7-9D05-65D2E8353B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96" stopIfTrue="1" id="{3E01870A-A18E-4A5E-AAA6-918040F84D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95" stopIfTrue="1" id="{6A5B1394-3C4F-4B81-8FDC-CACF0B9953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94" stopIfTrue="1" id="{8D1A0976-82A9-48E7-8CBF-4694E5823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93" stopIfTrue="1" id="{8264C407-76FD-4ADA-89A2-D076D060E9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492" stopIfTrue="1" id="{F33B244E-2F94-4E90-8F20-7C23582DE7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491" stopIfTrue="1" id="{FC9A3685-8EC1-4061-895A-664FB411A3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490" stopIfTrue="1" id="{62EA185E-60DB-472D-998D-9E7FBCC814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489" stopIfTrue="1" id="{6F2A0275-410F-454D-8D82-13D7E8077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488" stopIfTrue="1" id="{DD902528-C3C5-4E5D-A277-A564DF0AB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487" stopIfTrue="1" id="{8A5A5D96-22A4-4807-B569-A321EE5674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486" stopIfTrue="1" id="{B86ACD85-BDAF-47C3-BB69-0BA3416941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485" stopIfTrue="1" id="{4C66BE1A-95A9-4DD6-97F4-2363C58A3A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484" stopIfTrue="1" id="{39C71AB7-56EF-4816-A37B-56A34F444A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483" stopIfTrue="1" id="{ED1963EB-31DA-4D42-812F-7A943E818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482" stopIfTrue="1" id="{5589D07C-1030-4949-BCDC-0AA8354284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481" stopIfTrue="1" id="{43643151-ECDB-4A90-838F-D4E780635A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80" stopIfTrue="1" id="{C9EB892B-6861-4BAA-A929-482BE316F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79" stopIfTrue="1" id="{F4EEA776-DA89-4547-AC1E-FDCED0AEB5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78" stopIfTrue="1" id="{2713B408-87DB-458F-A6BF-6998D4AC09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77" stopIfTrue="1" id="{39A8610A-23EC-4B84-A0FA-071CE4FA87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76" stopIfTrue="1" id="{971572BF-DE82-4646-942E-7EC7A13F2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75" stopIfTrue="1" id="{242564A2-42DD-4C34-B35C-EB1F83FC5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74" stopIfTrue="1" id="{1D8CB760-FE0C-4A18-B9C7-4B98A5179F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73" stopIfTrue="1" id="{D4EB4807-55C0-4335-93C5-BBD209E1F5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472" stopIfTrue="1" id="{EEB55F7D-40F1-40CA-8B0F-1B76C973F9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471" stopIfTrue="1" id="{2C456B9F-6241-4220-85F3-856A50EFBD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470" stopIfTrue="1" id="{801D646A-7392-4296-B0DF-FFA3339722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469" stopIfTrue="1" id="{4AA3181A-A88C-4FB9-983F-463230AE06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468" stopIfTrue="1" id="{23BF1BA7-3305-47D1-99FC-EE5886E2CA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467" stopIfTrue="1" id="{1CACF562-E2E3-4FCE-A0AA-2C5C6D57F3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66" stopIfTrue="1" id="{B65C640E-F2E8-426B-B317-11D6C100A9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65" stopIfTrue="1" id="{E3758D36-8AF2-4363-BFCD-1FAD03FC3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64" stopIfTrue="1" id="{397CA76D-79CD-486C-A47D-2621A93007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63" stopIfTrue="1" id="{D17997FE-3F4D-49EF-9935-95A6B3A7C5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62" stopIfTrue="1" id="{FF989172-9431-425B-8E34-46B5D832D2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61" stopIfTrue="1" id="{8C354CE0-7E32-4137-B08F-FE541F339B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60" stopIfTrue="1" id="{AE5078A2-7BA7-4354-BBDC-9A0E63ADCC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59" stopIfTrue="1" id="{590A4D73-3E04-45DD-9683-15884B4FAB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58" stopIfTrue="1" id="{8B936319-6896-4904-B55E-D511E895CB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57" stopIfTrue="1" id="{06C87EE4-5A13-4621-8A5A-EE01C69A87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55" stopIfTrue="1" id="{4BC8A90E-D66B-41EF-8F00-53BE988E95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54" stopIfTrue="1" id="{245F8A2F-37D9-4975-92BB-B6C5E64B98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53" stopIfTrue="1" id="{394A233E-565D-4688-9552-A9D71BB300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50" stopIfTrue="1" id="{63D6AF8B-6245-465A-A087-601815B007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449" stopIfTrue="1" id="{92766947-881A-4B8E-BF91-ACE99AC7D8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448" stopIfTrue="1" id="{00258722-49C7-4EA3-8DE4-C0A557AECF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447" stopIfTrue="1" id="{9F2352D4-E59F-4700-AB2E-9CE6093DEA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446" stopIfTrue="1" id="{567457FB-6627-46CF-B5F4-972691C6F3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445" stopIfTrue="1" id="{611D90A6-8E84-44F0-919C-26E46B7C3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444" stopIfTrue="1" id="{AF54E736-6FF8-497E-9FC2-8AE4A3607A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43" stopIfTrue="1" id="{36899E61-8BCE-4267-9AB2-FE2ED081C6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42" stopIfTrue="1" id="{A115914C-ED56-4F84-8C97-C8C0E18418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41" stopIfTrue="1" id="{C667BCE7-5D2F-4AFF-8A15-CEA74D49C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40" stopIfTrue="1" id="{45F3E1C1-601A-4BAB-AD86-5A79DFB01F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39" stopIfTrue="1" id="{28EEABFA-85C1-490D-8C70-F63F70D9D5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38" stopIfTrue="1" id="{61D6C13C-2D38-4C79-A762-2AB65BF20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37" stopIfTrue="1" id="{8AB4E248-1D53-4553-ADDE-69465DCEFF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36" stopIfTrue="1" id="{F538BEBC-B2D3-426B-B79F-559977505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35" stopIfTrue="1" id="{9C8946CE-AEEE-4F03-840D-01BB83895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34" stopIfTrue="1" id="{288D807D-E14F-40B8-AB05-5DA41E4CBB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33" stopIfTrue="1" id="{B5B85551-B718-4A70-8C58-DD8BD00C7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32" stopIfTrue="1" id="{51E9E1F6-351B-4459-AEC7-AE7FBB05EB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31" stopIfTrue="1" id="{3CB2A946-B823-487C-9D00-0789DB941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30" stopIfTrue="1" id="{785B00B3-E5A5-4448-BCB7-B4326DC049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29" stopIfTrue="1" id="{9B73AE1E-C754-497C-9CA5-85813E0839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28" stopIfTrue="1" id="{3AAAA3A9-8605-48E2-B7D5-429070F407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27" stopIfTrue="1" id="{DC8F60E0-B418-4EC1-A0CE-650607D186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26" stopIfTrue="1" id="{5844109B-F2D4-4236-9211-468CFE2EA3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25" stopIfTrue="1" id="{B7A6D52D-F50B-41C3-838A-7DA692A5D2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24" stopIfTrue="1" id="{A375AD06-EEF5-4B8C-B8B9-CEF639C37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23" stopIfTrue="1" id="{828F259F-0C83-42D1-AA50-7E5E3D6DF7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22" stopIfTrue="1" id="{D6ADA656-37FE-4B1D-BC9B-118D77104F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21" stopIfTrue="1" id="{097C44FF-B8C7-42C7-8D0E-919425D25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18" stopIfTrue="1" id="{546B807C-D8CA-486B-8F51-668449065D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417" stopIfTrue="1" id="{F56CD37E-22B5-44DF-A4A3-C35DA37649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416" stopIfTrue="1" id="{5C970858-BB48-4C0C-A164-B97E095DF9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415" stopIfTrue="1" id="{905FCF17-8C77-4ED4-8496-2A76660D6F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414" stopIfTrue="1" id="{8207C6C5-D577-4C59-AEB7-A4AD700B6F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413" stopIfTrue="1" id="{131F40BB-15EE-4F6B-9B0E-48673EE87F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412" stopIfTrue="1" id="{3C9381E2-17E6-4D15-B6CE-B2B3DC1AE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11" stopIfTrue="1" id="{46E386C4-0799-41E7-8864-E429E5CB4A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10" stopIfTrue="1" id="{7DE3EEAB-19E3-467A-9AB7-004E0F9EC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09" stopIfTrue="1" id="{0CF39C18-746D-496A-86F9-720B8F136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08" stopIfTrue="1" id="{E3DF7844-06DB-4086-89F8-3E25EF510C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07" stopIfTrue="1" id="{3553F103-2E48-44FC-8DF9-552A4C95BB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06" stopIfTrue="1" id="{657E8F12-1646-405C-916A-61C32BA588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05" stopIfTrue="1" id="{A78D8CF3-68DD-4316-8B6B-8937BB1C73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404" stopIfTrue="1" id="{DE831BF8-A78C-4A66-9CAE-D4C76B604F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03" stopIfTrue="1" id="{9C494103-D6E4-40C3-A72C-4E2C4A8AC4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402" stopIfTrue="1" id="{F1E6583C-23ED-4EDA-9448-EAF0941BC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01" stopIfTrue="1" id="{9AE832B5-CB8B-499D-B469-06BBCAED3A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400" stopIfTrue="1" id="{306B3516-71E8-486A-BDD5-AAD993F595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399" stopIfTrue="1" id="{B0D3C48E-9040-4854-A2A5-AA061D6AD3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396" stopIfTrue="1" id="{097C6CCB-EEE6-45D4-ADF5-EC2EED8DDD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395" stopIfTrue="1" id="{2B4B57BF-F75A-422C-9B6C-8487366AB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394" stopIfTrue="1" id="{62640B92-DEA4-461D-8689-B76186DF9E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393" stopIfTrue="1" id="{52B897C7-6EEA-4A82-94D8-379F705C3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392" stopIfTrue="1" id="{08F05F68-78E2-4B54-9AAF-19D2819ACC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391" stopIfTrue="1" id="{EBAC2F15-C1F3-4130-989A-E800E18436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390" stopIfTrue="1" id="{1F850BFE-37D0-4071-B8C2-893AD3BB03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389" stopIfTrue="1" id="{E1D71737-B062-4286-AA43-4A5702A7B8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388" stopIfTrue="1" id="{1F404096-089C-48C6-8C3D-81BB59A64F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387" stopIfTrue="1" id="{AE0D4F04-A6DF-423F-B86F-D1904C312D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386" stopIfTrue="1" id="{3DCF63A8-525E-485E-8CF7-A69D1837D0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385" stopIfTrue="1" id="{2BF230D3-BD70-4C5C-9DD1-998A8AF685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382" stopIfTrue="1" id="{E39D5B3E-8291-4BA5-9CEF-73AB26696E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381" stopIfTrue="1" id="{1BFDC15F-4F79-4EF3-BD61-447986A49A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380" stopIfTrue="1" id="{CE840BB7-63D9-416B-847A-9B47EB45B1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379" stopIfTrue="1" id="{9D2342F6-3AEA-4A65-8431-B34638E7EC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378" stopIfTrue="1" id="{E10EB504-D54F-4401-9BB1-6A9F550E1B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377" stopIfTrue="1" id="{D7B109D0-F68D-465B-9620-FF959CF345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376" stopIfTrue="1" id="{0D0EF048-F014-462C-AA8E-0C840E7317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375" stopIfTrue="1" id="{C057A164-2E87-4D38-AAE2-6897FD92EB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374" stopIfTrue="1" id="{92C87C1C-BDCE-497D-8C0D-7710B7510F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373" stopIfTrue="1" id="{01F717F9-7017-4BB6-BA33-61427B5E3D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372" stopIfTrue="1" id="{DEA12DF8-4EF3-425C-8360-BF23372749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371" stopIfTrue="1" id="{D2001A76-C01C-4F97-8C54-A1BFE66AFE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368" stopIfTrue="1" id="{041BDBAE-E09F-49CC-B886-BB7444891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67" stopIfTrue="1" id="{5C36BD8D-FFBA-42B7-BDEF-D257DABFD5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66" stopIfTrue="1" id="{19E6DCAA-82E9-494F-A0B4-AB48BBEE06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65" stopIfTrue="1" id="{5BD776DD-7629-41C9-B0F9-745B85D8F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64" stopIfTrue="1" id="{F412A2A4-6199-4951-A1E7-BACBF13AB2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63" stopIfTrue="1" id="{41EFB544-A915-48A5-A8B9-F77F22932D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62" stopIfTrue="1" id="{CFBC2B78-111B-4866-9865-312E0F9DA9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361" stopIfTrue="1" id="{C4ED5736-D068-41F4-B07B-8945D2B26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360" stopIfTrue="1" id="{8F080717-5BF6-4EC2-91C0-C30CBD52A2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359" stopIfTrue="1" id="{4599330E-BB5A-4CD7-A584-A36A5C3F36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358" stopIfTrue="1" id="{D654D10F-D3CD-4E72-9E7B-C876ACC375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357" stopIfTrue="1" id="{C313B468-9E7A-4DF0-8706-6EE4D8759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356" stopIfTrue="1" id="{1FB63A22-EF28-45FA-BCD7-0DDFF3D06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55" stopIfTrue="1" id="{22581FC8-D9ED-41F8-B45A-7B01400007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54" stopIfTrue="1" id="{C11E53FF-975D-463D-8C37-49AD20F5A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353" stopIfTrue="1" id="{9C2ECC76-8A47-40E2-85DA-161AD07960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352" stopIfTrue="1" id="{009C3944-D443-4461-95BE-8A3F52F102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51" stopIfTrue="1" id="{3022A2F3-A5A1-4FAA-A06C-2B59AD2FB6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50" stopIfTrue="1" id="{46D566CA-D692-48FD-BBED-D7E009D476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49" stopIfTrue="1" id="{7EC357DB-3E86-4C2C-A03F-33CB2C19BE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48" stopIfTrue="1" id="{7C4889DB-C80E-4A5E-A911-12C82F16D0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47" stopIfTrue="1" id="{2796F551-DE49-46F2-A453-1D47BB9EF9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46" stopIfTrue="1" id="{68496716-8114-492F-A11B-AFE2E7F0E0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345" stopIfTrue="1" id="{D1C228F7-5C47-454B-9A53-6FEC73891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344" stopIfTrue="1" id="{D64CC7DE-07A4-4F6A-A246-88F716B520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43" stopIfTrue="1" id="{CDD90B7B-AC7B-4BBC-B7DB-EEB5FAFBB4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42" stopIfTrue="1" id="{7CEE47A0-3285-428E-98C5-038450C715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41" stopIfTrue="1" id="{FD41A0A9-BBB1-4826-B13A-F7FD17895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40" stopIfTrue="1" id="{459AC03B-2FCB-4043-8EA1-40999DE207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39" stopIfTrue="1" id="{E267003E-84E5-42BE-BB55-B91A09938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38" stopIfTrue="1" id="{39CF91AB-C97C-4271-BD6C-41E7E0CA75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37" stopIfTrue="1" id="{7A0C4D36-C449-46BD-AEA3-2FB1B079B6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36" stopIfTrue="1" id="{ED497750-55C0-490A-9B4D-1B007F67A3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35" stopIfTrue="1" id="{4B2B70C3-BB10-4464-9636-6F47F32FF5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34" stopIfTrue="1" id="{91688CC2-38CE-466E-97CD-04BAF7E7A6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33" stopIfTrue="1" id="{51B10326-FFDA-400B-ACB9-F2907C513C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32" stopIfTrue="1" id="{FF5FD090-237C-48F1-832B-6155CAAD35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31" stopIfTrue="1" id="{C8BDAF0D-552C-4075-B64F-ADB31A694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30" stopIfTrue="1" id="{EA742923-B609-4484-A32B-A41328541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29" stopIfTrue="1" id="{E2B8A486-7E7C-44EE-965B-A6B0838F84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28" stopIfTrue="1" id="{C92148B2-7677-4D3E-AF0D-ADC72EF17D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27" stopIfTrue="1" id="{D811BC7D-2379-4BB0-909D-B6E453194D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26" stopIfTrue="1" id="{901A237D-7CBA-408B-B08D-34443334E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25" stopIfTrue="1" id="{BE80E171-705E-4B3B-B4D3-D58995338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24" stopIfTrue="1" id="{7C3CA8A6-8FF0-47F0-BF3D-8333E9B301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23" stopIfTrue="1" id="{1F3AFFCC-102F-441A-9F31-6673D24726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22" stopIfTrue="1" id="{C2314A57-A81D-4CDF-A702-0FEBA0D7F2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21" stopIfTrue="1" id="{BD886FFB-2C0F-4E40-8A5C-047F49248F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20" stopIfTrue="1" id="{13D0A236-BF0C-4307-83E2-92B4432A20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19" stopIfTrue="1" id="{F717FBCA-0450-4548-85EE-D2822BC82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18" stopIfTrue="1" id="{31BE84E8-5BEA-49D8-A161-A9FB9DB05E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17" stopIfTrue="1" id="{2F2A1CED-8E37-4636-BD06-84AD885FF7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14" stopIfTrue="1" id="{59368088-B6F2-4672-A8CA-225250ACC5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313" stopIfTrue="1" id="{49FC4069-8E90-410C-9CA4-8CE54886E5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312" stopIfTrue="1" id="{07C720EC-1F08-422C-B43B-50259F8276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311" stopIfTrue="1" id="{C0704369-7E33-4177-A351-E51412CA48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310" stopIfTrue="1" id="{BF3FF7D8-765B-4940-BB3C-1CF463A312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309" stopIfTrue="1" id="{45DC5692-AFDD-4F85-A6B4-917A554455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308" stopIfTrue="1" id="{C6D77581-0F20-4E84-8338-AE018D19B0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07" stopIfTrue="1" id="{4707AF68-46F1-4419-8C22-B88D8B99FE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06" stopIfTrue="1" id="{B4FD87D6-C8F7-4D64-BB4F-0D0176935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05" stopIfTrue="1" id="{9E80EE79-A335-408D-AB0A-C2452C920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04" stopIfTrue="1" id="{8340A82A-64F7-43C8-BA83-4B745E7733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03" stopIfTrue="1" id="{F5128038-BACB-4D4F-B639-3B5D9999C3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00" stopIfTrue="1" id="{F8C7E2ED-2D6D-4A42-93B4-B9CEB93136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99" stopIfTrue="1" id="{CAE794A7-B3F3-4431-A5A4-2397B3F0B3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98" stopIfTrue="1" id="{310D9A14-90A5-4801-BD77-EBC0A5C4C5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97" stopIfTrue="1" id="{E8B9862E-C388-44C5-8AFA-D7259C3670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96" stopIfTrue="1" id="{01C02171-47F5-4E1B-9A7A-C14F419A92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95" stopIfTrue="1" id="{EB65B092-8E06-421C-AEA7-FD880461CB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94" stopIfTrue="1" id="{0705D6D9-9338-49D0-943A-9215514211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93" stopIfTrue="1" id="{716AD2DF-C071-4E1E-93D6-74F5A6A4C3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90" stopIfTrue="1" id="{EF0EAD79-F42A-452A-B1FA-B6108371F8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89" stopIfTrue="1" id="{4FC3DD21-44C5-4999-BDA2-C101F5284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88" stopIfTrue="1" id="{28BB9149-E908-43E3-A181-EF935B32F4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87" stopIfTrue="1" id="{130876DD-01E5-4BD0-8AE5-EBA7460A1E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86" stopIfTrue="1" id="{58FD4441-7BA9-4535-9C70-9F1A53E22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85" stopIfTrue="1" id="{D1491094-0505-4945-BD6F-336D212C97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82" stopIfTrue="1" id="{1F5E427B-EC1C-4B46-9B34-E1C60163D2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81" stopIfTrue="1" id="{BD3DDF58-EA4D-4492-97B7-00EF8C05C3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80" stopIfTrue="1" id="{4594F9BA-00CC-4052-A667-DA33D8D4CE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79" stopIfTrue="1" id="{E7C71AE3-8105-4552-B0C2-8C04EF541A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78" stopIfTrue="1" id="{B9F938D8-65C7-4331-9B19-868208ABDC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77" stopIfTrue="1" id="{C81B5FA1-3ADE-4222-85E8-03F15297B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76" stopIfTrue="1" id="{169E5670-509A-4755-ABA9-31178CD3FD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75" stopIfTrue="1" id="{EF64DADB-33BC-4AFE-9D8B-9A06AD9025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74" stopIfTrue="1" id="{BD98C578-1A88-494B-BAA8-561E9A3BC4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73" stopIfTrue="1" id="{10195014-4357-475B-905E-C24C8687A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72" stopIfTrue="1" id="{3DCEF32C-4B9F-4566-82E0-09CDE79F5A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71" stopIfTrue="1" id="{6E9A93E9-E78F-4C25-B545-D842AD6CF4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68" stopIfTrue="1" id="{C72568C5-9A50-4E88-A0E9-7915CD9C38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67" stopIfTrue="1" id="{C48FF998-8FC9-4706-9CA4-06C9E5D309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66" stopIfTrue="1" id="{77EC4B82-5A21-43EE-BAA3-3D694E9785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65" stopIfTrue="1" id="{1A834BC9-CF73-413E-9432-D5D7503F3F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64" stopIfTrue="1" id="{BC50443F-6665-42C1-8E4F-E9EC3ED9D0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63" stopIfTrue="1" id="{1C3CEABD-5CFE-4263-8F0A-83F49BE272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62" stopIfTrue="1" id="{7A6921FE-8028-49EB-9786-85923D1FD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261" stopIfTrue="1" id="{DCA54A88-A9EB-423E-87B5-3794C9FCBC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260" stopIfTrue="1" id="{94354B80-2EE2-4FE1-BFC5-A2A279E90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259" stopIfTrue="1" id="{435A782A-775D-4922-B4E4-1AD22D74FE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258" stopIfTrue="1" id="{231D9459-4D1A-44A1-B575-10E0DFA68D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257" stopIfTrue="1" id="{C889DB0E-D45C-490D-9CED-EDE441D76C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256" stopIfTrue="1" id="{01CE8192-2856-4189-96A7-9D196C7C7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55" stopIfTrue="1" id="{C5DA61CC-E8BF-4316-A5AB-B6C32637A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54" stopIfTrue="1" id="{C417811C-11CB-4862-9D06-F3FE41555C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253" stopIfTrue="1" id="{4D2E58D1-2EBF-4A18-82D9-B7FCA1A8AC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252" stopIfTrue="1" id="{6862547D-6EAC-47E1-A147-3D4CF71EFE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51" stopIfTrue="1" id="{CB785242-DDB4-465E-8A63-FABECE424A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50" stopIfTrue="1" id="{6EE32B19-BC5F-4297-93EF-2D14DFA7A4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49" stopIfTrue="1" id="{ECC3FB84-D085-4AA6-B004-886091AA8B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48" stopIfTrue="1" id="{5BC76F4C-AE10-4CDA-825C-1CFB3FCCAE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47" stopIfTrue="1" id="{E2C94EA9-583B-4D58-B89E-5DF2D3D4F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46" stopIfTrue="1" id="{362C8D66-8957-4CA6-B8D7-0523115B50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245" stopIfTrue="1" id="{4A5C5681-DF71-4487-A36B-918BAE0693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244" stopIfTrue="1" id="{72425A28-A666-430A-A06A-827F2AF54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43" stopIfTrue="1" id="{961D4B3F-52E6-4870-B990-968C49C6FD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42" stopIfTrue="1" id="{CF1F292B-56AE-4264-8136-64BDFFE02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41" stopIfTrue="1" id="{4B3BBDAE-4069-4F6D-91F3-46E87BD336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40" stopIfTrue="1" id="{A55F4201-21A5-43F7-BDDA-CA50AD92EF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39" stopIfTrue="1" id="{AEDDD069-1D12-49CB-928B-6143322A64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38" stopIfTrue="1" id="{D658D4C5-91EE-4592-9E4B-8AB852C4D4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37" stopIfTrue="1" id="{72E028A1-D439-47C3-AC3F-EE6FE8F725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36" stopIfTrue="1" id="{88B091C8-0B32-4900-BB38-1BBE881332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35" stopIfTrue="1" id="{5067B3B0-2E39-4E84-A672-63AE6BB18D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34" stopIfTrue="1" id="{DF6EE26D-59BC-4D47-BECB-DFE74CDAA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33" stopIfTrue="1" id="{493B998F-84D9-4E03-8B55-ED1131ECFC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30" stopIfTrue="1" id="{4D0698DE-6675-4258-9115-0151DDEFE2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29" stopIfTrue="1" id="{5CA37417-B4D8-435C-830D-BC252613F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28" stopIfTrue="1" id="{CEB4B383-6082-4BC6-9EBF-F5502672FA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27" stopIfTrue="1" id="{72023B22-F87B-4C84-AAAE-9C0ABCADCE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26" stopIfTrue="1" id="{E9125E89-67F0-45CF-A82F-09520FF4DB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25" stopIfTrue="1" id="{B69D4672-2D02-406D-B30A-B9A28F9C77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24" stopIfTrue="1" id="{724B4AA5-E75B-4CCA-B1B5-D29121FF1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23" stopIfTrue="1" id="{BF5BF158-3D00-4590-8BEF-B0BA402296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222" stopIfTrue="1" id="{F5212D5F-2185-4775-B9BF-620B1F04E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21" stopIfTrue="1" id="{D0C306D2-F131-41FF-B946-A532F54CF6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20" stopIfTrue="1" id="{21A26D18-3888-471E-995B-0ED5A8E6F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19" stopIfTrue="1" id="{34E6A5FC-5667-4F9F-B6E0-EDA3F58B1C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16" stopIfTrue="1" id="{E2A8FB37-6E2B-4E11-B9CD-2094370C68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15" stopIfTrue="1" id="{97DA5CCF-6AC1-4B49-B67F-D581C934E0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14" stopIfTrue="1" id="{03A5F38B-27BA-4A57-A987-034157E6A9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13" stopIfTrue="1" id="{2DCEE9AE-AC12-4373-9B52-3E96590544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12" stopIfTrue="1" id="{BAD27AFB-CA47-40ED-895B-9583A718BE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11" stopIfTrue="1" id="{0E57EA3E-E433-494D-B697-92034349C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10" stopIfTrue="1" id="{747954E4-8D6E-4EB2-8022-9AD2969544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09" stopIfTrue="1" id="{19351C00-74FA-41A8-A26F-B80B817B4E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06" stopIfTrue="1" id="{A7FB4724-A059-498E-8DF2-25A4A372EE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05" stopIfTrue="1" id="{0397D933-4969-4974-8AC4-BB39395A10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204" stopIfTrue="1" id="{4311CFD8-B9B5-4BE5-9CEF-825A280382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03" stopIfTrue="1" id="{AA55F86D-B527-48C3-802C-A5B6D159D3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202" stopIfTrue="1" id="{450BD019-0282-422A-AFF4-5D44A8482E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201" stopIfTrue="1" id="{5B8C3D7C-6F2A-4BCC-A718-CDDF0A9EC6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98" stopIfTrue="1" id="{71C341DD-61B1-4461-995D-78A3C93BC8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97" stopIfTrue="1" id="{79475A97-BC17-4E9D-BEC8-89F470CB93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96" stopIfTrue="1" id="{600BA237-1F1C-4A2D-A9DC-1719E0C15D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95" stopIfTrue="1" id="{A08A4455-F5F4-49B9-B82B-73F3719D20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94" stopIfTrue="1" id="{34AA63CF-0A66-4D83-A8CF-62BA549DE2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93" stopIfTrue="1" id="{4CFFF640-1E05-4C2A-85BE-7640931310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92" stopIfTrue="1" id="{99BB05B2-0C48-4DAA-9419-63798D222F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91" stopIfTrue="1" id="{F49275F3-99D0-481E-92FB-B77A9028B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90" stopIfTrue="1" id="{C1D04C54-16BB-45F6-BC7C-295C7693AB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89" stopIfTrue="1" id="{B4580541-9282-436D-93D7-E34DA17FC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88" stopIfTrue="1" id="{165356AB-A7EA-47EB-B5E7-BAF1D910DC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87" stopIfTrue="1" id="{29A4F8E5-D80C-4929-8FC1-43DDEA69AE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84" stopIfTrue="1" id="{0C35BDF2-3D7B-41E4-A7CC-324995D135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183" stopIfTrue="1" id="{775025CE-89E2-4F36-9113-346F4C5A3C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182" stopIfTrue="1" id="{2CD378C3-DCF8-48E5-92B5-80C16133FC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181" stopIfTrue="1" id="{88B78FD3-0BDA-44D1-B42B-F953D804A5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180" stopIfTrue="1" id="{11710D6D-2EAF-4F95-920B-AE66EAA03D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79" stopIfTrue="1" id="{511EB2E4-7C85-4F68-BAE0-A0597423F3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78" stopIfTrue="1" id="{5766FF7F-62A5-4BC4-9165-BCD4E2AF2C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77" stopIfTrue="1" id="{008CE27A-43D9-4D99-9693-98C2561A63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74" stopIfTrue="1" id="{0B179480-9151-417E-BCCB-007F29366B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73" stopIfTrue="1" id="{E69AC274-D713-4013-A06C-4F9D6185A7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72" stopIfTrue="1" id="{5090ACB9-89A2-4337-94E2-E3848B7871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71" stopIfTrue="1" id="{4DA7AFC2-433A-4131-A579-F9A97AD755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70" stopIfTrue="1" id="{097BC1C8-4276-4999-80F2-C79C45D4EF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69" stopIfTrue="1" id="{2CED7740-9ACC-4CC6-9A03-A6931251B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66" stopIfTrue="1" id="{CF96CB66-8F68-4966-BC8B-146C3EA39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65" stopIfTrue="1" id="{F333312A-5315-46F2-9375-D240EC97E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64" stopIfTrue="1" id="{F1E1F3A2-27B0-4557-80F4-BEBE81552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63" stopIfTrue="1" id="{7E13B3D4-4C2E-4D90-8247-66CB9B05A9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62" stopIfTrue="1" id="{C51116AE-37D8-468E-AD02-19A771E4BB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61" stopIfTrue="1" id="{A3F9CD67-5942-4FE5-9B7E-578ADE926E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60" stopIfTrue="1" id="{3D95A923-BBA4-4E27-A450-72A5AD1527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59" stopIfTrue="1" id="{BEAE49FB-9945-4223-810F-0CE64635CF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58" stopIfTrue="1" id="{89A1468F-56C7-450E-BD44-41E47AFE44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57" stopIfTrue="1" id="{B1355EA2-5DF8-4684-83A6-514B0DE6F6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56" stopIfTrue="1" id="{A51E2CCB-71CA-440B-8D69-C43F7F864B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55" stopIfTrue="1" id="{083F7C0D-0616-4C00-86A4-E299D548E1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52" stopIfTrue="1" id="{B31D68D5-4AB0-4695-BBD9-B38F1D4CFC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151" stopIfTrue="1" id="{CD970072-A2D8-425D-941B-06D2623627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150" stopIfTrue="1" id="{E8848ADF-54CD-4B64-B7C4-3CB5DF3E76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149" stopIfTrue="1" id="{1B3CB0B1-7919-4112-A701-CD9D50E30E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148" stopIfTrue="1" id="{039ED5E3-2B04-4CEC-B2BB-206EE12443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47" stopIfTrue="1" id="{24C8E9B9-83B4-4BD9-B52E-65C9ED5AD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44" stopIfTrue="1" id="{006FE8FA-326C-418F-8A08-4FD032EC6A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43" stopIfTrue="1" id="{4FAEED45-979E-4FDB-9050-A5F0613172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42" stopIfTrue="1" id="{022A03BF-C858-42DE-BD91-F1E592BFF3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41" stopIfTrue="1" id="{3BAD8357-471C-4146-84EC-9974B4A16D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40" stopIfTrue="1" id="{FD45DC84-96AE-4E9F-8CC9-F1454BBF09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39" stopIfTrue="1" id="{70E2048F-D696-4765-A405-B31C605F56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38" stopIfTrue="1" id="{F5526842-7E99-4D0C-8889-AB1D07D0B0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37" stopIfTrue="1" id="{1F9540F0-8ABA-42EC-A5EE-9A66623917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36" stopIfTrue="1" id="{DE4154C3-9935-4E2D-8690-262BAEF605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35" stopIfTrue="1" id="{65FE99E3-A6DC-4758-84B3-924C9C2A62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34" stopIfTrue="1" id="{AF0080F3-147D-4A4C-8191-532A384F3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33" stopIfTrue="1" id="{1FBD2886-B1DF-48F3-92FF-E2236897F4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30" stopIfTrue="1" id="{AE706A22-2115-44BC-865D-1C93A500C5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129" stopIfTrue="1" id="{1E756732-E653-4976-A3E7-041AEDA4E7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128" stopIfTrue="1" id="{1D2ECC02-9CCF-47B6-B06F-B1F71F90E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127" stopIfTrue="1" id="{74F6847C-F21B-4DD1-8942-4256A8536F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126" stopIfTrue="1" id="{BA3123D8-783C-4DF0-ABE3-378C54B8DA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25" stopIfTrue="1" id="{E58417C8-FC0D-4D31-AB57-B42C42C2B2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24" stopIfTrue="1" id="{4D026A83-1757-4F3E-A211-30A26ADA2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23" stopIfTrue="1" id="{F49A4831-15A2-448B-A43B-68506CC656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122" stopIfTrue="1" id="{285A90E0-70E7-4ECA-95DA-E5F5C1ECDB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21" stopIfTrue="1" id="{2CBC8BC3-E903-4E42-B1CB-98A0D1AD07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120" stopIfTrue="1" id="{7B8E02D1-6F4B-43AA-A7F8-02EB461867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19" stopIfTrue="1" id="{669C9FCF-C26E-4E87-B912-B6E0EF82D3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116" stopIfTrue="1" id="{2DA57CA6-3F26-4675-9D5B-3C6BEE20F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115" stopIfTrue="1" id="{0B527B05-6DE5-4AB5-A1E5-BC64C46BEA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114" stopIfTrue="1" id="{A0AAAE0A-C5F7-4E76-A94F-B0B32EB790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113" stopIfTrue="1" id="{2078A5C2-40DD-485B-8123-4DABF1F0D8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112" stopIfTrue="1" id="{86618849-4767-4F99-8823-36CC53277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11" stopIfTrue="1" id="{BE31D232-9798-428A-8396-5EB59AF0C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10" stopIfTrue="1" id="{5396DE47-F198-42C5-AA4A-12D4C9C375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109" stopIfTrue="1" id="{1D012C48-0170-4CA2-BF12-03A54D036F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108" stopIfTrue="1" id="{F0BF6D02-F0DE-4EBD-B8F3-523BE5BA49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107" stopIfTrue="1" id="{25A0C966-B94E-41E1-8B52-23BA82C390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106" stopIfTrue="1" id="{9C786B04-492C-4E0F-9803-FAFF98F48F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05" stopIfTrue="1" id="{B4A058B4-7983-4FFC-9EEB-232482052C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02" stopIfTrue="1" id="{B727D844-C8B7-47FE-817F-82B7D83B87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101" stopIfTrue="1" id="{209A3998-CAA2-4B9A-94D3-70D72AA7A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100" stopIfTrue="1" id="{800E49BC-D2B4-4921-BD14-9E0D6AFAE7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099" stopIfTrue="1" id="{879E9A0A-8088-47BA-B604-9A2EA28CD9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098" stopIfTrue="1" id="{40AF8EAA-C3DC-48EE-A2C3-EC472D29A6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097" stopIfTrue="1" id="{932D2978-5F6D-4716-A634-923F4C1C05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096" stopIfTrue="1" id="{AD339C48-94B1-488F-8C5B-885DE8F02C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095" stopIfTrue="1" id="{1C928B47-2AAB-4142-8687-078E1CB59E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094" stopIfTrue="1" id="{7A126C16-AC3A-4176-8E7B-7793DB6897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93" stopIfTrue="1" id="{DF2EBC7E-CCEA-48FC-80BF-DD94FF60E0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92" stopIfTrue="1" id="{B72F1BA2-8780-41DF-BE4C-A849E42A1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91" stopIfTrue="1" id="{A1E58122-4241-416A-BCA3-F23A3CA91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90" stopIfTrue="1" id="{E0CF6E7F-6D56-4DA1-B1FC-8CBEDF8B78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89" stopIfTrue="1" id="{7D6FD987-FC4B-4631-B24C-FB3F457AA2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88" stopIfTrue="1" id="{FF3DBAE0-B3B2-41A4-8689-C5B9BB91FC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87" stopIfTrue="1" id="{913EEECA-104C-4BDD-A2E4-61388B4916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86" stopIfTrue="1" id="{78706785-17C3-4082-B9A6-5CE7B764C4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85" stopIfTrue="1" id="{4FE1D5E4-B3E0-4FC9-AD6D-47BB690A90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84" stopIfTrue="1" id="{5FE0F0A4-C2B5-4AE3-A5C1-4BCE9799FD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83" stopIfTrue="1" id="{FDCD3EAA-037E-4BC9-BDE3-4B87D43820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82" stopIfTrue="1" id="{56995AE7-C820-43DE-8508-D1468DDDF3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81" stopIfTrue="1" id="{9877E794-00A4-4217-B650-D43BEDE33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80" stopIfTrue="1" id="{4B99433F-DC6C-453B-95FF-91BBC536F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79" stopIfTrue="1" id="{27405C22-BDC5-4837-B0AA-4122D9A19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78" stopIfTrue="1" id="{C49842B2-705B-4FDC-9C11-46C1ACDA3F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77" stopIfTrue="1" id="{BEEE90F0-8E96-4C92-8694-7D04857169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76" stopIfTrue="1" id="{BF5E52BB-AF58-4033-A8FC-3E8A1CF4F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75" stopIfTrue="1" id="{CCBC63EB-B958-47D4-A32E-8CDFF97CB8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74" stopIfTrue="1" id="{FB586763-967E-475C-A2EB-DA47E548BB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73" stopIfTrue="1" id="{7C24FD0E-504A-48E9-949F-61D88E5D3D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72" stopIfTrue="1" id="{AD1F1BDB-0585-4DAD-B1DA-0FF8ABCA11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71" stopIfTrue="1" id="{897D32D5-A555-43C8-830F-A18E83211F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70" stopIfTrue="1" id="{A2215C1A-A9B7-49BA-B4C0-55CD15E6A6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69" stopIfTrue="1" id="{0EA0A926-8F33-45B9-8E51-27CE28E48C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68" stopIfTrue="1" id="{D22318FB-6BC3-46AF-88D7-DA964B09C8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67" stopIfTrue="1" id="{B687EB8E-F600-486C-B5F7-F412E3F20E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66" stopIfTrue="1" id="{61F97C7D-EA49-48C3-BE06-C31810BBB7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65" stopIfTrue="1" id="{6F735340-DDAC-4BA6-BAFC-E22CEFDF0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64" stopIfTrue="1" id="{DFB6FB90-3137-46B1-93C3-0BBBCF543C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63" stopIfTrue="1" id="{A1B1EF1D-B3F4-4FC0-9EDE-DA30A2F64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62" stopIfTrue="1" id="{C8CFE935-2A61-4AD2-A777-F1A51787B7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61" stopIfTrue="1" id="{D61B0674-FE6A-4CCA-B3A3-D81EF26062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60" stopIfTrue="1" id="{086FEDD4-7EC0-42F1-B5DE-D140D9561E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59" stopIfTrue="1" id="{9DB94543-3F47-466B-BA86-9498E7A5CA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58" stopIfTrue="1" id="{E2002276-D1F0-4D96-8A4A-D863E15FB2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57" stopIfTrue="1" id="{2989C140-D51F-441B-9A75-7B17EF26D9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56" stopIfTrue="1" id="{D843DA05-BAC6-4C86-986A-C70EFB1AB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55" stopIfTrue="1" id="{FB14A408-E166-4988-B3C1-6C205134E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54" stopIfTrue="1" id="{231C48FA-8D46-4E72-804C-18377518A9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53" stopIfTrue="1" id="{E1BABE2A-6F3A-460A-A5D1-3D992EB977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52" stopIfTrue="1" id="{489FEAA2-5146-403D-A269-AC8DAF8178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51" stopIfTrue="1" id="{9339D750-F33C-4E22-8AAA-C6D6D27B94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48" stopIfTrue="1" id="{CBDB9BAB-A02F-4E31-B3BA-707A34E060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47" stopIfTrue="1" id="{25B2BB81-87DB-4358-8403-FF7147C9CE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46" stopIfTrue="1" id="{886E9F60-8C2B-4EEE-A01D-268E79E399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45" stopIfTrue="1" id="{FBCBE4CE-0DAF-43BB-857C-B0B71A2F1A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44" stopIfTrue="1" id="{622C6760-0967-4C10-8493-6480E02620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43" stopIfTrue="1" id="{88034BE9-3B79-4362-9CBA-BC35769212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40" stopIfTrue="1" id="{2A4A7575-1262-4229-BC90-6F16C0E185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39" stopIfTrue="1" id="{FDAFB0C9-894C-4C23-80AC-0B7BB3335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32" stopIfTrue="1" id="{CC2F4EDC-47CF-4FDF-9E2A-893F8C5C0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031" stopIfTrue="1" id="{4EE4B876-6F37-45C1-B858-21EDD5B45A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030" stopIfTrue="1" id="{CAE9DDA3-A460-4BA8-AACF-7E972AC8ED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029" stopIfTrue="1" id="{89CE6507-B8D2-44BE-A3F2-0681E6DA62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028" stopIfTrue="1" id="{051A1F16-E56B-4F3F-80F9-4DCCF12D11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027" stopIfTrue="1" id="{A501D2C6-F818-41F1-9339-EF29081B34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026" stopIfTrue="1" id="{9F42D1C3-60E8-4324-87A8-A77AC2330A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25" stopIfTrue="1" id="{D92BFE08-A37A-4018-9675-B5F36E6D8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24" stopIfTrue="1" id="{02FBC81D-48D6-4AB8-BB71-26C86EBF23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23" stopIfTrue="1" id="{7E8638AF-13FF-4F12-9A66-46001ACCCE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22" stopIfTrue="1" id="{32E553E6-D9BF-45F9-9A7B-F058EF4162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21" stopIfTrue="1" id="{5EA245D2-6682-436B-AAD6-418F5A5B34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20" stopIfTrue="1" id="{47EDC2EA-4385-4F24-9293-FC879DBFCD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19" stopIfTrue="1" id="{8C6173EC-7794-4A0C-9F2D-1AFFE61335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18" stopIfTrue="1" id="{E2B46B8D-E6F5-4D44-92B4-EF79EF7EEC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17" stopIfTrue="1" id="{B6D2EADA-874D-4CE7-9D5F-5AF4A1193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16" stopIfTrue="1" id="{50B4342A-2E60-4142-B8AC-2A87001FA3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15" stopIfTrue="1" id="{6D1FAA80-5312-4450-B4B5-982FC0B604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14" stopIfTrue="1" id="{ACE3A3B1-1D05-458E-A752-23DA4760F5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13" stopIfTrue="1" id="{5FE5D665-0645-4A6B-A773-AE19DAF397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12" stopIfTrue="1" id="{E1D3E812-0B84-44A2-BA99-7F3E499C1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11" stopIfTrue="1" id="{9B727DB2-9429-44FE-A3EB-E0E2B409ED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10" stopIfTrue="1" id="{13383C8D-22F1-4781-9D88-5DADE5511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09" stopIfTrue="1" id="{9C98E978-F601-41D5-889A-72A61F3875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08" stopIfTrue="1" id="{AF68A4C3-417D-4570-B796-48E6388874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07" stopIfTrue="1" id="{D6E7B519-0278-4864-986B-776D33B6FB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06" stopIfTrue="1" id="{8D9FAAFE-531C-4520-84B8-F750497BAE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05" stopIfTrue="1" id="{AEBAC2E1-FB5C-473A-A942-DB69B8F97B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04" stopIfTrue="1" id="{C28A7FE6-622D-44D6-AEE9-3C69CE64CA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03" stopIfTrue="1" id="{D34D3980-7CB9-4BA2-92A8-86E155C99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02" stopIfTrue="1" id="{517971F2-F187-4A14-B50B-0CE88E418C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01" stopIfTrue="1" id="{881FBF35-D114-4E30-8DF6-054FF2291D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00" stopIfTrue="1" id="{BC0BE078-F62E-41DE-975C-ABCEF27049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99" stopIfTrue="1" id="{1A65EA6D-ABC4-4AE5-B3A4-D466E701C4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98" stopIfTrue="1" id="{E32FB74E-A573-4968-BD23-D9D23FB707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97" stopIfTrue="1" id="{AF833A6D-60DA-4D4F-8847-DB16B7F40A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94" stopIfTrue="1" id="{1F9032F0-E8CF-4E9C-91EC-C615818E0C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93" stopIfTrue="1" id="{7387F9AF-A8B4-4B83-85E1-CCB01E7AAC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92" stopIfTrue="1" id="{A8434F32-4A34-4B84-A787-B594EF3EA3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91" stopIfTrue="1" id="{BCC9EFF9-513F-4F7C-B3C3-01AEA7A0B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90" stopIfTrue="1" id="{0919DF5B-A92B-4EFE-A473-BC38977F86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89" stopIfTrue="1" id="{D95F6D58-DDD4-4522-B6CE-C6634C7F0E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86" stopIfTrue="1" id="{6F42E093-ADD2-4F9E-B425-57E6CED7C9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85" stopIfTrue="1" id="{10512248-0B4D-431E-B9E6-0DD89A04C9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78" stopIfTrue="1" id="{6B3BBCF0-86CF-4BB8-87D9-0B7C3735BC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977" stopIfTrue="1" id="{8C682E8F-81CC-4FD4-835A-9B7FBB1DEE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976" stopIfTrue="1" id="{2575BA3A-026C-43FC-891B-B8D84DF8F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975" stopIfTrue="1" id="{F0065D66-06B5-4778-9CDC-A5BA3C1006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974" stopIfTrue="1" id="{FCC2F908-2AEE-4C62-B1C8-60D9A1228F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973" stopIfTrue="1" id="{3F1216B2-0782-4FB8-AED2-359D5B798E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972" stopIfTrue="1" id="{15250CF8-6E97-4CDB-9038-EA2D2BE202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71" stopIfTrue="1" id="{779F9F3E-974B-4990-BDFC-42A1A93B48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64" stopIfTrue="1" id="{E16AF2DA-1B77-419A-AF57-EBC569B087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963" stopIfTrue="1" id="{79727620-CD74-4A1A-BF31-B8736045BA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962" stopIfTrue="1" id="{BEEF7C54-18F3-4AC7-B7D0-AEC40544D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961" stopIfTrue="1" id="{981512E5-9CCD-4F2D-987A-E83F883A0F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960" stopIfTrue="1" id="{7EADF511-F52C-438D-A8E2-BF4764CEB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959" stopIfTrue="1" id="{D944CDB7-F473-4411-A646-ADB496AFF8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954" stopIfTrue="1" id="{50338D00-E9E8-4BCA-9763-7119DC26C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953" stopIfTrue="1" id="{FC24BF71-2321-422C-9A5A-7F031F7D8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952" stopIfTrue="1" id="{F7CAAD66-A7FD-4681-B5C3-44024D351F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951" stopIfTrue="1" id="{8E0382A6-9348-47AF-9ED5-62E208A3AF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950" stopIfTrue="1" id="{D1D2B66E-893E-4A2F-A474-4FEC9BCCD9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949" stopIfTrue="1" id="{95E1BAC4-AA3E-4737-BCFC-B9F74E441D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946" stopIfTrue="1" id="{4DE20210-E3AD-4300-A9B2-7E01216B71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945" stopIfTrue="1" id="{1DBA4F3A-38F5-4F72-A209-135FC1350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944" stopIfTrue="1" id="{ED1E33AC-C8C3-4C04-92EE-9A987382C4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943" stopIfTrue="1" id="{3EAF9FE9-6553-4F05-BCC7-2C8EC0B9EE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942" stopIfTrue="1" id="{35B6B3C9-F7ED-4032-81AD-AEDBC576DE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941" stopIfTrue="1" id="{87B706BA-52AC-46C8-9082-28A284F116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940" stopIfTrue="1" id="{304E966F-C3E5-4948-BCC3-EA3B338A06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939" stopIfTrue="1" id="{3AA344F0-C401-420F-8372-5D95135B2E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938" stopIfTrue="1" id="{3E6E0F54-B9DC-47EB-B666-17B284A330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937" stopIfTrue="1" id="{2507AFF4-3913-49F6-A0BB-A30E7660C6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936" stopIfTrue="1" id="{A31070A7-04D6-48D7-B832-8D48342BF9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935" stopIfTrue="1" id="{DCDB1B15-D5DF-434C-A065-29D7E1B1F1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932" stopIfTrue="1" id="{EDE59868-C19E-4C9A-A4B2-0B25ED860D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931" stopIfTrue="1" id="{1D22AEBC-08CF-48B4-8D74-160826859B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930" stopIfTrue="1" id="{138E5712-73CC-475B-94AF-074D50D2B0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929" stopIfTrue="1" id="{9270D98F-CF5C-4585-9F7B-BA9714C7B8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928" stopIfTrue="1" id="{35C75052-676F-4F07-A63B-AE1DB28037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927" stopIfTrue="1" id="{ABCBBD63-13BB-4F58-803A-8DC070FEE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926" stopIfTrue="1" id="{7BED7541-1AC1-4C65-A5A8-C64DE003CD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925" stopIfTrue="1" id="{56980121-3EDF-44E0-8F9A-48F2CABA94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924" stopIfTrue="1" id="{B93BDE41-5006-477C-BBAD-FDA61D2F00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923" stopIfTrue="1" id="{6A8F8B28-7FBC-4E54-B1F6-4179BAC58B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922" stopIfTrue="1" id="{5B5889EF-E28E-482C-9297-775C88C88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921" stopIfTrue="1" id="{A5ACBE8A-235F-4E6A-8D38-32108957B7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920" stopIfTrue="1" id="{D0A7B677-D5A4-4A02-BDBD-8EDB28C3A7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19" stopIfTrue="1" id="{4A5871FF-3A99-4BDD-8B98-C60A726D15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18" stopIfTrue="1" id="{F96E5BC5-D619-4031-AD10-5B43BA8ADA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917" stopIfTrue="1" id="{A404F422-2519-4960-A6E1-D9E5FA9BAB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916" stopIfTrue="1" id="{F6D36063-23BD-46D1-AB33-297B1175F8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15" stopIfTrue="1" id="{DD6892EB-7DBB-4D3B-949C-0C5CF6E96B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14" stopIfTrue="1" id="{3EA293EA-7D13-4BA0-AA2A-1BA768334E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13" stopIfTrue="1" id="{A3C8714F-9CF9-4800-9FA3-FBEBC7D83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12" stopIfTrue="1" id="{7CF9A364-EFBE-4C00-AFB8-E476008D1F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11" stopIfTrue="1" id="{BEB6C81D-2073-4E0B-9EE9-BC3712BE2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10" stopIfTrue="1" id="{0E5CABF1-90E3-4E8F-A611-550998CF66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909" stopIfTrue="1" id="{4CADF3EC-AE85-4B42-B701-391A0044C5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908" stopIfTrue="1" id="{AFB14A9C-4EEC-4A5F-886F-E03D1B8860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07" stopIfTrue="1" id="{A9660F16-88A1-40B5-86DA-850DD3EA28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06" stopIfTrue="1" id="{BCC6D557-DF6F-4E47-85B4-95932DAB36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05" stopIfTrue="1" id="{A17C7167-BB57-40C9-ABBB-A06017B8D9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04" stopIfTrue="1" id="{0C432A12-367B-4F7F-9F1F-0A327C6AA2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03" stopIfTrue="1" id="{6413A889-6654-4FEE-8AD0-1A5E7FD85D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02" stopIfTrue="1" id="{080ED542-CF21-47BF-AA08-840D483A8B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01" stopIfTrue="1" id="{09AF567F-A8F2-4417-83C7-5B8C1F511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00" stopIfTrue="1" id="{D4D51CB3-2994-4FC5-9B6D-CB4947378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99" stopIfTrue="1" id="{E76F0B73-9B6E-44F3-A8A9-EC89DFA33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98" stopIfTrue="1" id="{1C3BF5CC-9586-4955-988A-987CCF22DF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97" stopIfTrue="1" id="{A6B88A5F-AB29-4C11-B636-C3C577132D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94" stopIfTrue="1" id="{19E1DAE1-685E-4B8F-9420-2C08FBA0B3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93" stopIfTrue="1" id="{9C2D3F8D-32B1-408F-8C5F-72414EA1F3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92" stopIfTrue="1" id="{6439CA71-0E74-4230-A4C9-E64B7C217A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91" stopIfTrue="1" id="{016A0773-2061-4044-95E9-D1FBD99A00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90" stopIfTrue="1" id="{F6627D8B-F4A2-42B7-86B8-1914F419A1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89" stopIfTrue="1" id="{5EF2CB10-5451-4B9B-A948-FE7907E96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86" stopIfTrue="1" id="{002F5B5B-B94F-460D-B4CC-B90EFC3A60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85" stopIfTrue="1" id="{C5284F87-B2CB-4578-8742-EB3B458B30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78" stopIfTrue="1" id="{F5D2F9F2-F19F-441C-BED7-8662F4642F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877" stopIfTrue="1" id="{4180E7F8-2B7C-4FCF-800D-8225A79814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876" stopIfTrue="1" id="{0F80BFDE-BB45-47E3-A48F-6D95FFF27D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875" stopIfTrue="1" id="{2D466FD4-CDFE-4689-A0C3-47D57EE7F0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874" stopIfTrue="1" id="{F60099CC-7F83-458C-9299-251FA1FC10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873" stopIfTrue="1" id="{88DC4F12-5F66-4523-8593-C5E770E64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872" stopIfTrue="1" id="{C2B33152-E23D-457F-8ADE-2855CAE77D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71" stopIfTrue="1" id="{27EBF66C-1DE2-4B9D-A5BA-41051489E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64" stopIfTrue="1" id="{A9820017-8F74-435E-B359-37E91A3D82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863" stopIfTrue="1" id="{24F071D8-2105-429B-BDA4-F6506A8D32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862" stopIfTrue="1" id="{F4E1AA64-DDB6-4F98-B6FB-EBAED5C2DE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861" stopIfTrue="1" id="{B7F4C9D6-F190-472E-8563-B598962262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860" stopIfTrue="1" id="{47CA83C5-43CE-4F99-8F4D-3A70D7B657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859" stopIfTrue="1" id="{29476C73-2B10-42C4-B28D-23A6A0FCBF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854" stopIfTrue="1" id="{A70BCE7C-5DC2-49DA-8C6F-EAC2F245B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853" stopIfTrue="1" id="{35F36B04-E242-48F9-9A51-D2AF6B11E7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852" stopIfTrue="1" id="{8DA54D21-309B-429A-A1E5-841F8125C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851" stopIfTrue="1" id="{F07BC692-7B72-4963-A145-344DAA7FAE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850" stopIfTrue="1" id="{7AB0E56D-6CF1-47C1-8E24-B0BDB7FFC6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849" stopIfTrue="1" id="{A1981A1A-0F08-4E1F-8A15-E1964B9FE3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846" stopIfTrue="1" id="{D6B8A285-82AF-4C78-84C7-B8F97C944B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845" stopIfTrue="1" id="{A48A4FB2-02B6-4EFD-9527-E030C5322D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844" stopIfTrue="1" id="{E5DF0811-7B95-48F4-9982-4252E993F1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843" stopIfTrue="1" id="{E87A654B-80A8-4018-AEF7-DF9257916D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842" stopIfTrue="1" id="{E539908C-3176-43C5-BCD9-6C80D7ADB9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841" stopIfTrue="1" id="{020CD784-5E9F-42B7-B26D-CFE8F97E69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840" stopIfTrue="1" id="{476754EC-C708-4FBC-9CE0-04FC9BDDC6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839" stopIfTrue="1" id="{0532B5D8-2B64-42DD-AA98-5F4F7C522D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838" stopIfTrue="1" id="{A06685F6-DACF-45FC-8C1D-F15B55D281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837" stopIfTrue="1" id="{E8520C73-33EA-487E-8392-E0E24A9B70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836" stopIfTrue="1" id="{BBCED57E-1A52-4D76-88DC-2CBEDE7225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835" stopIfTrue="1" id="{99774CBB-2C54-48DE-866B-2AF5D281DC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832" stopIfTrue="1" id="{E0BD78E9-1A7F-43E8-8784-EC2E511CFF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831" stopIfTrue="1" id="{B7635010-07BD-416F-9CD7-2D1FA864D6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830" stopIfTrue="1" id="{8A4E6A6B-CC1C-4C86-8F84-6D2C044016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829" stopIfTrue="1" id="{20521CA7-D7CF-42B7-8207-A6B72680CF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828" stopIfTrue="1" id="{5F537CA3-EF71-43CD-BB56-22D366BC61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827" stopIfTrue="1" id="{A5C18D62-9300-43AF-8A24-37E8A5D43C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826" stopIfTrue="1" id="{7ECE2E4F-FDC9-4C53-9C55-88B0E076A0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25" stopIfTrue="1" id="{6FFA9504-A8EC-4895-8EA0-CE95B56914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24" stopIfTrue="1" id="{9C832E48-6611-47F2-8F56-27242A5FB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23" stopIfTrue="1" id="{EC7BD967-6F66-4700-B56D-C62DAF5CAF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22" stopIfTrue="1" id="{328F0D64-7DE0-450E-A8DA-E4157C8771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21" stopIfTrue="1" id="{39177DE1-4265-4830-AA5A-8511AAC40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20" stopIfTrue="1" id="{F25EDB1F-C5F3-42D5-BA6F-95DC4F6F2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19" stopIfTrue="1" id="{1DB10658-D3BF-460E-8739-61EE28151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18" stopIfTrue="1" id="{54A3094A-D703-47B2-99DD-0EE3A0C30C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17" stopIfTrue="1" id="{14957D26-DDD8-4449-AF6E-4FAB25DD8F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16" stopIfTrue="1" id="{1A9FEB32-6B83-466B-A46B-2C5F3A64B2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15" stopIfTrue="1" id="{20432D38-12FE-453E-BF0B-2FBF26A58E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14" stopIfTrue="1" id="{194FF2EF-2929-403A-AF94-A3814F265B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13" stopIfTrue="1" id="{9AC92F36-9454-4757-A628-74A0C0EE1A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10" stopIfTrue="1" id="{D4CC0182-CB89-40EE-917A-F7888557DF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09" stopIfTrue="1" id="{28429C41-8A99-4F15-92B7-AEDE73911A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08" stopIfTrue="1" id="{49B34936-8A52-4B31-A893-2F03B40E43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07" stopIfTrue="1" id="{46D27764-DDD8-4BB2-AE14-83431ADBB0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06" stopIfTrue="1" id="{ACE3D94D-299D-41E1-9022-7197EF3DF7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05" stopIfTrue="1" id="{DE6FFADF-177E-4B32-832B-7086DB5133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02" stopIfTrue="1" id="{C7B9E50D-289D-433C-B9D7-856853CE00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01" stopIfTrue="1" id="{C4EA4A7F-F207-4132-8A7C-9DEEF4BAC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94" stopIfTrue="1" id="{A40F8B64-B220-4725-A689-B5CC823068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93" stopIfTrue="1" id="{83AF7BF6-0044-438B-9E0F-859CE6CB04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92" stopIfTrue="1" id="{9695D007-DEA7-471B-8BCB-2783E390E7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91" stopIfTrue="1" id="{66DA1033-570E-472A-B2E8-345D8DDD1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90" stopIfTrue="1" id="{0A9F4338-AD54-4B2B-A2A6-5FEDC9B8A8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89" stopIfTrue="1" id="{5058BB6B-1B4B-4ECB-A3C8-8F34EB3FEB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88" stopIfTrue="1" id="{5BAB6566-29F7-40FC-9781-957F0BA16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87" stopIfTrue="1" id="{5372AC3F-1320-494A-A3D4-EC3859647C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80" stopIfTrue="1" id="{9DEAB390-FF8C-49CF-BF56-8C8E768A9E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79" stopIfTrue="1" id="{73F6E210-0FA0-489A-877D-1AE1ECAE12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78" stopIfTrue="1" id="{8B0E62C5-8C7B-49B4-ACAC-9AAD8308CD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77" stopIfTrue="1" id="{24BE1FCC-849B-4924-BE05-35C49E003A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76" stopIfTrue="1" id="{44113FAE-67DB-4CDA-ACC8-7243AD0BDE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75" stopIfTrue="1" id="{AF800575-D7B7-4324-A5AA-76543DF46A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70" stopIfTrue="1" id="{A46EA6FB-0060-465E-B148-EBFEAB7E28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69" stopIfTrue="1" id="{7CCB2B97-F5AC-43C6-AE81-7050925FDB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68" stopIfTrue="1" id="{34CFB418-6203-4067-B161-D0F0506CD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67" stopIfTrue="1" id="{87A6FD65-E52F-4E8D-A2A3-690CB715DB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66" stopIfTrue="1" id="{AADE3058-E855-4E21-A855-38396F97D4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65" stopIfTrue="1" id="{D32DCD1D-84E6-4C89-AD75-857966833E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62" stopIfTrue="1" id="{2A3C7EE5-C74C-49CD-8EF2-C539D1E19F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61" stopIfTrue="1" id="{314FD6DF-1622-4859-A7F4-7232F55207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60" stopIfTrue="1" id="{5F4A818A-790F-450C-BBF1-82D2C9C696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59" stopIfTrue="1" id="{9A811F00-3BA0-4C3F-9C99-8895C1DC1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58" stopIfTrue="1" id="{0F474882-32BD-4567-A9E5-3E95AF0DE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57" stopIfTrue="1" id="{60A37F84-1AA8-4242-81B7-6B3BF8CECD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56" stopIfTrue="1" id="{41448E11-C89B-4422-A826-BD0319592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55" stopIfTrue="1" id="{24E8D09F-0577-4572-B907-201AA0C1B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54" stopIfTrue="1" id="{F991B447-190B-48B7-AA8E-C87E1A2788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53" stopIfTrue="1" id="{0F27258B-1B9D-4B58-894A-895866F318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52" stopIfTrue="1" id="{F7D1538E-48FA-4C2E-9AE1-9CDDA53EF4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51" stopIfTrue="1" id="{99A1B3E6-3E1B-4CDF-8FDF-AD387D20D5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48" stopIfTrue="1" id="{B9CD2A21-EB02-4A4D-9E12-B3FA9FD3B6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47" stopIfTrue="1" id="{B98910D5-404D-4850-8998-D680C4F5AC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46" stopIfTrue="1" id="{E8F438B5-DF92-4B96-88CD-D7E0BBB9F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45" stopIfTrue="1" id="{F124CE26-50A2-4372-8ED2-59EC05C050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44" stopIfTrue="1" id="{4DE98D95-2726-4AA3-B81A-AD55A57921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43" stopIfTrue="1" id="{EE8DD648-15F1-48AA-B4BA-339F53F3AD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38" stopIfTrue="1" id="{67A333D1-3127-4FE2-B7A1-B740EC705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37" stopIfTrue="1" id="{20CFB47B-1357-49EB-8059-D0AC29167F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36" stopIfTrue="1" id="{2DD6314A-4D12-46E9-A095-AFC7481C45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35" stopIfTrue="1" id="{13046ADA-7A5F-4A36-83B4-C6E194D25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34" stopIfTrue="1" id="{01D0410B-4A04-4C89-A07E-023EA74B11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33" stopIfTrue="1" id="{713A2401-DFC9-43BA-A27A-E3EC158CF9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30" stopIfTrue="1" id="{4628EA79-9051-42A9-835D-313DF3F936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29" stopIfTrue="1" id="{713E0AD4-4EC3-4EFA-A1FB-50961F2287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28" stopIfTrue="1" id="{6FD853FC-5A9D-4471-91CB-5DF566DD78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27" stopIfTrue="1" id="{28AE600E-ECAC-46F5-A3EA-DC8D9F4FC8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26" stopIfTrue="1" id="{88BDD0DC-532F-4FD1-8ACF-03AC74BD9E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25" stopIfTrue="1" id="{3C3B2F84-F91B-4D65-B2F7-6DA48B5504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24" stopIfTrue="1" id="{53E067C8-32E9-42B3-9380-350DC859F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23" stopIfTrue="1" id="{18FEF0B5-DE73-422D-BBE3-27EF6D122A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22" stopIfTrue="1" id="{B5684190-A8F5-40B3-B5C6-4389944D81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21" stopIfTrue="1" id="{F32C5938-84E0-4F62-BB98-267FE2EF71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20" stopIfTrue="1" id="{2C62EFC6-F1E7-40AD-AAA1-2D3AEB0DD9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19" stopIfTrue="1" id="{BBB2CD23-E4B4-418B-99B4-BB602371AE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16" stopIfTrue="1" id="{BF46EFA4-21DC-42F6-9F2C-8DF7332F35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15" stopIfTrue="1" id="{CC45F116-D976-4A6C-B7FC-DF3FB60E29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14" stopIfTrue="1" id="{E01BA24D-0368-4401-9759-8A735F0A9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13" stopIfTrue="1" id="{42388C45-9BF2-4A00-A887-7DA198162C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12" stopIfTrue="1" id="{FCCF69FC-F4A7-4D59-8DF4-5E8107C043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11" stopIfTrue="1" id="{FBA984EA-97DF-486E-81C5-3AD09FA629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08" stopIfTrue="1" id="{A606CC76-EF33-42E3-983B-4CA3906C7F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07" stopIfTrue="1" id="{E278FDAF-22BA-45BF-8AA4-A6E06E739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06" stopIfTrue="1" id="{7CE71B51-9DCB-4604-980A-76806F3F45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05" stopIfTrue="1" id="{0986251E-0F18-4B8D-A7DB-95C946B98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704" stopIfTrue="1" id="{0C670AF4-B8FE-4DDE-9F77-B6F4699E66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03" stopIfTrue="1" id="{E227274B-0E14-440F-B8DE-278475FB80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702" stopIfTrue="1" id="{DF65ED75-39A5-45B0-A16F-005B259E49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01" stopIfTrue="1" id="{FFE44CE2-C583-439D-9287-F4EC10EADD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700" stopIfTrue="1" id="{1F22167D-4551-47DC-9224-188E3A88D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699" stopIfTrue="1" id="{8731EDFA-8410-4B3B-80DA-C3B52F8A88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698" stopIfTrue="1" id="{DEC51196-5222-4743-A210-5C14E864B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697" stopIfTrue="1" id="{C0623431-6915-4879-8818-486BAD2EA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694" stopIfTrue="1" id="{F96295D8-07E2-4CCF-A724-C9EF8815F3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93" stopIfTrue="1" id="{71C4EBDE-845C-4337-B8A6-25B4D8A49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92" stopIfTrue="1" id="{FEFE38D2-5CF7-4922-98B1-0649CF5365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91" stopIfTrue="1" id="{CF2CBC54-FB73-481F-A5D0-BBDA9F9387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90" stopIfTrue="1" id="{9B9F8AF5-5560-478B-A0EB-265B392BE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89" stopIfTrue="1" id="{B5D177BA-B042-46F3-98C4-1D691BB0D9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88" stopIfTrue="1" id="{3940015C-AAA5-4033-839A-FBD7E1FA76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687" stopIfTrue="1" id="{5B3486A5-E862-418D-8EA9-4F398F1352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4686" stopIfTrue="1" id="{E9E9E205-5843-4E52-99A2-F54161A0F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685" stopIfTrue="1" id="{E009C061-DDCD-4F8B-9D3B-C9F06144D9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4684" stopIfTrue="1" id="{A66D84D2-A9FA-4495-BF4E-2AD3A01D75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683" stopIfTrue="1" id="{5F55135A-5FEF-4C37-B15D-2295CD3158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4680" stopIfTrue="1" id="{E797F083-BAC4-460D-9AD8-13BA2C8C24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79" stopIfTrue="1" id="{5071671D-70F2-4001-A553-975B9A10AC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78" stopIfTrue="1" id="{F74664B3-848C-4664-B9CD-9FE62B5D1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77" stopIfTrue="1" id="{A25F4F26-07EE-4E67-BE69-052D944743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76" stopIfTrue="1" id="{B432C8A3-D562-4B3C-980D-D403B876DB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75" stopIfTrue="1" id="{A07CCAEA-891D-443B-A5A0-52EB00E771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74" stopIfTrue="1" id="{11DDE6DF-A61A-4B2B-9636-5BD3D40D33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73" stopIfTrue="1" id="{67372B92-77EF-4BC6-8C4E-6260CFEE51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72" stopIfTrue="1" id="{64A334D9-8D17-4C38-8881-248A04028B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71" stopIfTrue="1" id="{AD89C5FD-620B-4DAD-9E1C-8150686E5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70" stopIfTrue="1" id="{9CA5B8D1-7F14-41B1-B351-7346E22A08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69" stopIfTrue="1" id="{BE1F85D9-E62F-428F-BD6C-9E124621D8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66" stopIfTrue="1" id="{AB3AD2B1-3645-4D7A-966F-2A553F5708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65" stopIfTrue="1" id="{AF5CEEA6-F260-46CE-9346-F5C292007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64" stopIfTrue="1" id="{A4533D71-F9AA-4B4E-A945-EA521C246D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663" stopIfTrue="1" id="{3A3BB703-FCB7-4945-8232-F9C8F5A9CB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662" stopIfTrue="1" id="{BC6E1093-1818-4613-BEBB-7AF50B5FA7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661" stopIfTrue="1" id="{9FD20487-7BE0-472D-B6C5-CCF1FAF32B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660" stopIfTrue="1" id="{D9C50D0C-27C4-4DC4-84D1-06EF12B55E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59" stopIfTrue="1" id="{EF49AEB5-B18D-4A25-B75A-9A8CC84AB7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58" stopIfTrue="1" id="{18FC348B-8F44-433F-ABC4-E4FAA768A8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57" stopIfTrue="1" id="{E815601A-CCD0-4950-B8AE-E1C110A91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56" stopIfTrue="1" id="{679496EA-D31E-4EC9-91F9-A3C3049C6F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55" stopIfTrue="1" id="{D37FE73C-3941-4557-A22C-A1D3892405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54" stopIfTrue="1" id="{456085D2-F20E-4564-A154-74E968D7DE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53" stopIfTrue="1" id="{67A15394-A1EF-4C13-9FE1-DB4BCFC378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52" stopIfTrue="1" id="{DD79F374-9354-46F1-A960-10DC27E690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51" stopIfTrue="1" id="{D1C35E7E-2FA3-429E-B161-B290BDD471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50" stopIfTrue="1" id="{422EB337-6033-42FC-B825-96271F8559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49" stopIfTrue="1" id="{6724ACF8-60F5-4BFC-85B9-2C12D7DE2E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48" stopIfTrue="1" id="{70594D9F-045F-4D91-9B34-A9B11D7CA9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47" stopIfTrue="1" id="{E2D98094-876C-4BCB-8902-0CA3E81AC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46" stopIfTrue="1" id="{BC24735C-363E-4940-B8DB-1FCE1AA91E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45" stopIfTrue="1" id="{2E269A6D-E170-4C39-BD2A-B56DE9B358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44" stopIfTrue="1" id="{6011E946-EDAB-4625-A38F-DF8B802CDC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43" stopIfTrue="1" id="{CCF36895-F4CF-491E-9938-80F8A79DF1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42" stopIfTrue="1" id="{9E9DEEE5-D6F9-459A-BBCB-004A5D694D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41" stopIfTrue="1" id="{66DF6224-A005-49DF-BE00-E8A8DE3F0B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40" stopIfTrue="1" id="{D4F43FF2-B60F-4D23-910E-002480F5C0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39" stopIfTrue="1" id="{6D3FC8B5-A69A-4651-8E4D-B927CC1592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38" stopIfTrue="1" id="{3A35FF1F-67CE-470C-AADB-FD0CD69053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37" stopIfTrue="1" id="{688FB457-6C5A-49A7-90F9-8A882B7858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36" stopIfTrue="1" id="{8D0922DE-7098-4076-B07F-2EC06C6DEA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35" stopIfTrue="1" id="{9180E6F1-F34A-49C5-A1BA-78214590E4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34" stopIfTrue="1" id="{45D6944B-0B5D-4935-8BC9-0254D23DB4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33" stopIfTrue="1" id="{206AFE6F-7213-4D5D-AC06-D5A92F3F80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32" stopIfTrue="1" id="{870FBCD3-A213-4DE6-A328-C9340600C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31" stopIfTrue="1" id="{A4C87AEA-02B3-499B-AD8A-90A076F983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30" stopIfTrue="1" id="{FE983CE1-E0CF-4A24-9934-A9D41488A4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29" stopIfTrue="1" id="{1684AD2B-0505-4CFB-A896-FD81ED987B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28" stopIfTrue="1" id="{BAEF1DC5-5C06-4276-B90E-F78DEA1936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27" stopIfTrue="1" id="{1A8755B5-4F52-4A2F-B88C-C155005BA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626" stopIfTrue="1" id="{44F48D34-C652-4E49-A65F-C0EB34DC7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25" stopIfTrue="1" id="{CBAA1E6E-D723-40B1-86A5-B9E62876A3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24" stopIfTrue="1" id="{83CCC937-9A8E-47D8-8BC8-255B38E23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23" stopIfTrue="1" id="{913A39AF-4ACC-4F8B-B6E2-8409454EE2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22" stopIfTrue="1" id="{056E20B7-C4D9-45B6-8B4D-27F0D2B9B1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21" stopIfTrue="1" id="{985457ED-A7C8-4F89-A36D-C29BF7ED01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20" stopIfTrue="1" id="{8830B304-E37D-43E7-B414-BAD9024E38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19" stopIfTrue="1" id="{DB7D2D5A-14DD-4236-8C63-012331422A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18" stopIfTrue="1" id="{F2A7A989-453A-4DFA-B32E-E2FF391A9F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17" stopIfTrue="1" id="{80FF4C6B-BE98-447A-B36A-892D0C6C0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16" stopIfTrue="1" id="{5BD29192-C23C-4E1A-B2D8-DE2AB52FE0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15" stopIfTrue="1" id="{C2BF98A6-A8E2-48C8-8B55-F77009ED23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12" stopIfTrue="1" id="{685F6D30-B537-4663-9B9A-25F6832864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11" stopIfTrue="1" id="{0EB65200-3AC0-44F0-9F95-31240BA1D7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10" stopIfTrue="1" id="{9BFBEF6C-999D-4F12-8AAD-D871E12AA4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09" stopIfTrue="1" id="{A00AC3A8-1620-4EC4-BF0E-AA68D68FAF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08" stopIfTrue="1" id="{3574D44D-7485-4DA5-A2FD-336E9AD818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07" stopIfTrue="1" id="{5CE70EB3-66D7-4061-BA3A-71D2718C6E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04" stopIfTrue="1" id="{3753230D-5C71-4087-A1A8-05C9ACB04C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03" stopIfTrue="1" id="{B0CFF35B-F9D2-4B84-809F-EE35A2994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96" stopIfTrue="1" id="{8C55FA1F-9C2E-4663-8AE9-492A19EAD0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595" stopIfTrue="1" id="{4E75E13A-5968-4800-9E4B-2EACCED98C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594" stopIfTrue="1" id="{B8180220-E5B6-42E0-972A-E5B2CE0106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93" stopIfTrue="1" id="{F952BF4A-C4A7-40B1-BE22-4104D18432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92" stopIfTrue="1" id="{043F6E23-A126-47F6-9C01-24BC6D0260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91" stopIfTrue="1" id="{4D25CE86-6026-46F9-A1CF-B41CEBA946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90" stopIfTrue="1" id="{B2010FBF-BEC4-450B-8399-EC4C9DCCD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89" stopIfTrue="1" id="{A1EBBC20-1BFD-410D-8918-F65F5E7202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88" stopIfTrue="1" id="{FA7A1E7E-1290-4F7B-8F01-01AD886416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87" stopIfTrue="1" id="{DAB7012E-88EE-446E-878D-7BDE4F7B2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86" stopIfTrue="1" id="{41F251EE-77AB-4A62-BBE8-09CC7DEFC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85" stopIfTrue="1" id="{74BB4623-AA42-472D-9D43-A2CE6A8B4B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84" stopIfTrue="1" id="{65E6A4D9-0ADC-4D7A-9650-2C49014845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83" stopIfTrue="1" id="{3E773C11-7103-402D-90EE-FC7282FFA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82" stopIfTrue="1" id="{77A860B2-568A-49BE-B075-51D31B2E7B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81" stopIfTrue="1" id="{091B0CB8-DCDA-4264-8B35-27CC760A55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80" stopIfTrue="1" id="{BC2BF4D4-09A1-4BA2-92F5-B687980B38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79" stopIfTrue="1" id="{7017BB06-D558-4A59-8C35-22AA212467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78" stopIfTrue="1" id="{52B6580F-B43D-472F-BF5B-98A9C8D8B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77" stopIfTrue="1" id="{4D40D2AD-855E-4FC7-9B3C-A03AC5D2AC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76" stopIfTrue="1" id="{AF4EBBCD-A956-458D-B4C6-A9086010E0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75" stopIfTrue="1" id="{5DC89121-F7E2-4AEE-ACF6-1190F82804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74" stopIfTrue="1" id="{E12061D7-92BC-4897-914A-9DB638EB96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73" stopIfTrue="1" id="{CA45E5FA-0EF2-4252-82A5-32FF9EA2D7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72" stopIfTrue="1" id="{95964B81-2BE9-418D-ABF8-13BE2E04B4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71" stopIfTrue="1" id="{202C3EFE-2185-4E73-955A-CDB23DA189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70" stopIfTrue="1" id="{B4F5B692-E518-4B07-831F-9A294C7E7C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69" stopIfTrue="1" id="{15C35E31-B379-4DBF-9FA6-5F0ECE6BB6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68" stopIfTrue="1" id="{9784A8E4-F294-4784-821A-386F4324CF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67" stopIfTrue="1" id="{DC2AB3B7-3A8B-40F7-A9F0-4DF5DB29F9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64" stopIfTrue="1" id="{01D30178-A088-4C3A-8F39-4FA695D2E7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63" stopIfTrue="1" id="{E17E4DD3-262F-4C5E-86AE-A77D7D3D33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62" stopIfTrue="1" id="{9ADB88DD-D2EF-4C60-87FB-D3475EEBE7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61" stopIfTrue="1" id="{1D00DA1D-71E6-4C7F-852D-D0760C94E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60" stopIfTrue="1" id="{550562FD-E007-4D47-87F1-4D95AEA5AC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59" stopIfTrue="1" id="{C139AF05-4DEE-44C7-9CB6-49F45E8192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56" stopIfTrue="1" id="{6F1BE51D-D821-459D-A1A7-30F33A0880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55" stopIfTrue="1" id="{68217183-BE45-4243-A5E2-9519390BA1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48" stopIfTrue="1" id="{CB31D849-A55C-46D1-A421-02A644FF0B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47" stopIfTrue="1" id="{66B11D99-E391-494F-8D94-60B630CC63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32" stopIfTrue="1" id="{345CCFD1-6079-4103-9120-E5B26184BF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31" stopIfTrue="1" id="{500747C4-5001-451D-B200-E298DDC7F0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30" stopIfTrue="1" id="{B63C9317-E9CF-47BB-933A-38A5DE93F6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29" stopIfTrue="1" id="{FB887AF9-EC2D-4ABD-8B47-A0D5BC264A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28" stopIfTrue="1" id="{E0D3C69B-9E21-4EF4-8E98-3A470E7CC0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27" stopIfTrue="1" id="{928B09FC-2F4C-4943-A97C-C9EE3E2470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26" stopIfTrue="1" id="{5F3ED32A-F26E-4C02-9BE1-09931708E9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525" stopIfTrue="1" id="{9422A9AB-FC3C-47B7-9BEB-FC3F6AF9CB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524" stopIfTrue="1" id="{DDAFDBA8-1F3B-43C7-BC12-42E459D3E2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23" stopIfTrue="1" id="{C0436548-167B-41DB-973F-1B96750B27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22" stopIfTrue="1" id="{C35C64C8-9D99-43AF-B96D-0563B34B40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21" stopIfTrue="1" id="{850F936C-F10C-419D-B8B9-ED1C695F61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20" stopIfTrue="1" id="{35A8F99E-88B8-495F-9437-F79F31D18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19" stopIfTrue="1" id="{6D8F2E0F-D3DB-408D-A58B-B71667A477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18" stopIfTrue="1" id="{00CBC873-D13D-4E54-AE3B-6187EF13CC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17" stopIfTrue="1" id="{A54DB2F0-3C4D-459A-A132-222F56C4B5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16" stopIfTrue="1" id="{D6697FA0-8C56-4801-B467-065464679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15" stopIfTrue="1" id="{5E41ECAF-7778-4DB4-BC94-A2A0894EEF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14" stopIfTrue="1" id="{A3462830-DEF6-4AAF-8FB3-F5692044E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13" stopIfTrue="1" id="{80A4D777-4B9A-4E09-97D8-E29A02E43E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12" stopIfTrue="1" id="{A8DDCED8-9F19-4FC4-A758-78BF08C8E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11" stopIfTrue="1" id="{639989B3-9CF4-45E4-BB6E-3851F4E779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10" stopIfTrue="1" id="{ECC683BF-7857-4C12-A236-9C912D7B30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09" stopIfTrue="1" id="{F2E621AC-BDCF-4833-9805-6C7AC3C796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508" stopIfTrue="1" id="{0BA85C68-920A-4D99-A2F0-0E3E52E4D7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07" stopIfTrue="1" id="{23F6AFFA-5981-40A6-AD2D-DAA053DFE6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06" stopIfTrue="1" id="{E76D975A-D34A-49C9-AFCD-BA3EF31D32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05" stopIfTrue="1" id="{0039C592-04A6-49C7-A4DB-1CFB3B2134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04" stopIfTrue="1" id="{E8551C9B-106C-42AC-B922-7A6A690262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03" stopIfTrue="1" id="{B4095C42-875E-4321-A48D-06D7CDF1F9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02" stopIfTrue="1" id="{62E85E2A-387B-4561-8E84-B2182BDEE6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01" stopIfTrue="1" id="{0FB1F7DB-EBC7-4033-AFE3-B30896515C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500" stopIfTrue="1" id="{856BAE41-D1F0-4B25-B186-257B343AA6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99" stopIfTrue="1" id="{A35E2DCB-A910-47B8-B9AE-D37F64BBBA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98" stopIfTrue="1" id="{88739EDD-8637-4D59-B1F1-B37B3C59CC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97" stopIfTrue="1" id="{30AB0D4F-077B-4932-ADF8-EC24E895C3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94" stopIfTrue="1" id="{C5C2027A-3D3C-4ED5-98AA-C9FDDDB53A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93" stopIfTrue="1" id="{2AF1AD71-7664-496E-B49B-5B9CAC2147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92" stopIfTrue="1" id="{3C5909F5-E637-4A2D-AE62-835B18A420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91" stopIfTrue="1" id="{969A5941-5091-4CDE-98D2-E9AC3F95A3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90" stopIfTrue="1" id="{A300C6C8-1F59-43DB-BA41-ADE82003C6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89" stopIfTrue="1" id="{B52EFCEF-F534-414F-A8B6-A7834C714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86" stopIfTrue="1" id="{66D9E1EA-E3DA-45C6-85D7-C35F28571C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85" stopIfTrue="1" id="{6456FA05-9C76-4A7A-9188-4BC842F03F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78" stopIfTrue="1" id="{2BF613C4-DDF2-44C6-9B79-3A1A20206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77" stopIfTrue="1" id="{B5ECE8BA-5CFD-4D20-A10B-F6DBC7EA02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62" stopIfTrue="1" id="{4C665B87-7363-426C-88E9-BFA68A664D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461" stopIfTrue="1" id="{8E20DF0C-7743-499B-BA59-5B6DF670F6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460" stopIfTrue="1" id="{76E545EE-7370-4226-A633-0965148231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59" stopIfTrue="1" id="{E6CAD926-4E27-42AB-A73B-7793A1F89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58" stopIfTrue="1" id="{17CC822C-E38E-489C-917A-348F80C997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57" stopIfTrue="1" id="{DDF8EA3B-3875-4023-97D9-FA2DBF4BB1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56" stopIfTrue="1" id="{DEEE8D32-B59A-46A3-B9EF-367E53A175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55" stopIfTrue="1" id="{FDC85A63-D187-49C6-B968-54D8096FEF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54" stopIfTrue="1" id="{66F15059-1B73-4FBF-B1EC-792347B82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53" stopIfTrue="1" id="{3EBC89E3-BF92-49C9-B475-D75A062571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52" stopIfTrue="1" id="{A7628CDB-091B-4FBE-824E-A7DFE6582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51" stopIfTrue="1" id="{D9426E0C-B399-4B76-A451-0925337180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50" stopIfTrue="1" id="{464A5536-BED4-4D23-B7BC-809D9A2EF4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49" stopIfTrue="1" id="{16E40FA1-9795-4A5A-B8FE-97DFFFAA51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48" stopIfTrue="1" id="{06665C6C-0AF5-4BAF-B363-FBCAFDA750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47" stopIfTrue="1" id="{FC227600-F04A-48DE-8561-A6A5A8352C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46" stopIfTrue="1" id="{C2E8F7E2-85FB-408C-AFE9-CB112E55F3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45" stopIfTrue="1" id="{03CBFA0B-68CA-45B2-8512-CF07820480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44" stopIfTrue="1" id="{0C7E4A38-74EB-44DA-A841-78E0727B53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43" stopIfTrue="1" id="{0EBDCFF5-6CD5-4111-B457-135FDECE3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40" stopIfTrue="1" id="{BF44B0FA-92B3-4E62-9345-20FBBAAF04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39" stopIfTrue="1" id="{C091156E-4DE0-4954-AB3B-FD6E5D010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38" stopIfTrue="1" id="{2AF40C68-FEE6-4B02-A44A-50F4B2DE29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37" stopIfTrue="1" id="{014262BA-EA28-4913-94BB-163466F13B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36" stopIfTrue="1" id="{B355CA3D-DC28-404D-8947-D48CDD6DD3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35" stopIfTrue="1" id="{60D61F8F-DA4A-4053-9B32-BE0A9BFCA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32" stopIfTrue="1" id="{DE704C76-A4B5-43A7-8DA7-CB519FD5DF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31" stopIfTrue="1" id="{4CD541FD-034A-486A-9FE6-4A3E71BE59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24" stopIfTrue="1" id="{520D6BAA-3621-4AFD-8EA9-F87AC6C1B6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23" stopIfTrue="1" id="{3B465E09-1D62-41B5-A742-06CDEDCD33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08" stopIfTrue="1" id="{268897AE-A2BD-4995-B83F-72971BD33C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407" stopIfTrue="1" id="{34A591B2-A383-4E42-807E-E6443B45C8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406" stopIfTrue="1" id="{1BE39281-A0EB-4A38-B08F-3A00008EBD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05" stopIfTrue="1" id="{FFECE1D6-EA3B-4E5F-A837-4DEF621302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04" stopIfTrue="1" id="{5D4776CD-DC5F-43EF-BC05-388F9DC993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03" stopIfTrue="1" id="{C278589F-E4F4-49AD-BFF3-B2193C3826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394" stopIfTrue="1" id="{604C40E3-50FF-44BA-9BE9-69BCF249B3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393" stopIfTrue="1" id="{8C7F9F61-A8EC-4E48-904E-69709620D1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392" stopIfTrue="1" id="{124D5E9E-66AF-4602-BCE0-27B10569B0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391" stopIfTrue="1" id="{28CF4333-7E9A-4096-AE84-17C74D1D3B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390" stopIfTrue="1" id="{7AEED17C-D202-4A5E-B41E-43AA8877BD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389" stopIfTrue="1" id="{5E061528-AE4B-4D02-8085-79603F957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384" stopIfTrue="1" id="{3C97F5D8-0762-4CE2-8939-D3CD874188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383" stopIfTrue="1" id="{AAC9BE38-511E-493F-8F26-3DA3DCD642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382" stopIfTrue="1" id="{86613A31-AF76-4900-84B5-01BF528C93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381" stopIfTrue="1" id="{4904411E-8E19-4165-885F-6514B29820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380" stopIfTrue="1" id="{C6D00A61-0EBE-4749-88C9-11383B490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379" stopIfTrue="1" id="{5B520D98-11BE-4F86-A19E-DC9AC409F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376" stopIfTrue="1" id="{3AA0BB12-E2F1-4C7E-9245-35D40D97AC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375" stopIfTrue="1" id="{A9B7EE81-BDD8-4D87-8C52-BDE6C19259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374" stopIfTrue="1" id="{24A1C0B5-86F7-4B8C-875A-97C9660E34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373" stopIfTrue="1" id="{D7915CEC-A2F6-491B-B80C-A772A27FCC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372" stopIfTrue="1" id="{D12C0658-B9F9-4EF3-B2E3-E80BBC1174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371" stopIfTrue="1" id="{CBFAEFEF-17AB-4C7D-B2B6-2C826AAA0B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370" stopIfTrue="1" id="{CC7214D2-9D42-45AB-AAFB-E37BE9A3B7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369" stopIfTrue="1" id="{BAFDFAD3-4B1D-4A6A-82C6-8BB54F05E4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368" stopIfTrue="1" id="{0E755423-9CFC-45F2-A784-EC4DC44F1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367" stopIfTrue="1" id="{0477CFAA-F1CC-4446-8D66-BA196BA7E7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366" stopIfTrue="1" id="{92FE4914-9FE4-4BCC-9FFC-39A2D7422E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365" stopIfTrue="1" id="{2D6CCBA5-7F4B-4583-8EFC-B638C8F656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362" stopIfTrue="1" id="{61A9E5C0-A22A-4B1D-AE19-B5C39381DD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361" stopIfTrue="1" id="{FF73FE33-F021-4CAD-A246-2B23566ABC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360" stopIfTrue="1" id="{EFCFBCA9-C154-434B-B1FC-793B201CE3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359" stopIfTrue="1" id="{2791BA49-9074-4F29-9198-5258064D4B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358" stopIfTrue="1" id="{51F43DF2-270B-4945-8841-949050E78D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357" stopIfTrue="1" id="{B0741DFB-B742-46F4-A04C-6442A427F0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356" stopIfTrue="1" id="{737FE9B6-C9DA-45D9-BFAC-291D4718DC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355" stopIfTrue="1" id="{B907FAE7-B407-4FF1-AE15-DF670151E1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354" stopIfTrue="1" id="{677B78CA-DB05-407E-864F-71EBB650C7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53" stopIfTrue="1" id="{A6267920-C12C-445B-B94C-CA93925D0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52" stopIfTrue="1" id="{CF66D2E2-5A5E-4C90-8E89-9D9BDAFDB3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51" stopIfTrue="1" id="{CDE06FBC-C5BC-415B-A81F-A977BA8FB2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50" stopIfTrue="1" id="{208C4EBC-6D65-4C5A-A672-DFC6E1B587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49" stopIfTrue="1" id="{BDD16080-426E-47FB-B0A4-26CFF25FFA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48" stopIfTrue="1" id="{E749EBD0-DA5D-4139-83F2-DD268164F5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47" stopIfTrue="1" id="{72DEB808-2D6F-49EA-8F17-CA2D4A2359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46" stopIfTrue="1" id="{5BD6075A-A09B-411D-B9A2-B074078A15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45" stopIfTrue="1" id="{706312CD-C2AD-466C-BEFF-BE447CCD0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44" stopIfTrue="1" id="{53DC3C60-9402-41DD-85A2-88273AE6D4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43" stopIfTrue="1" id="{A48ADC81-4BA3-40D2-8089-C83067AC2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42" stopIfTrue="1" id="{15EA3DA3-A06D-4632-A89C-C25BFB7A6A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41" stopIfTrue="1" id="{ED69FA1D-6E69-4A0B-8148-3E2189F843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40" stopIfTrue="1" id="{0F925BF6-20C3-4276-A153-956C1B3F36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39" stopIfTrue="1" id="{9A31A421-D4D4-4C14-B4B0-E7841FF32A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38" stopIfTrue="1" id="{313B1078-6FB3-4B00-9F71-93A7A53D25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37" stopIfTrue="1" id="{6219AC8B-6CE8-4A87-8ADC-DEE4988E5A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36" stopIfTrue="1" id="{4DC4BE39-3503-42CF-884F-71A7251F10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35" stopIfTrue="1" id="{10AD3791-9D8F-44CB-92BB-54A80E5530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34" stopIfTrue="1" id="{D963083F-576F-4D39-B073-E19F54069B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33" stopIfTrue="1" id="{69844619-1319-4F2C-A432-C57899C934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32" stopIfTrue="1" id="{1778970E-D30A-44E9-AEE6-B994AD4E8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31" stopIfTrue="1" id="{FC5BB21F-30A9-4109-8785-EF2D4DA5C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30" stopIfTrue="1" id="{715F66AC-C824-44D0-B8F1-E7FA58DEDC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29" stopIfTrue="1" id="{DEDB0E13-922B-4148-9758-6F6659E1A5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28" stopIfTrue="1" id="{A97084FE-287B-4407-BFD2-2BB0C59C55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27" stopIfTrue="1" id="{50B2721A-874F-4541-A562-BA69CEBA2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24" stopIfTrue="1" id="{A684AE55-66E9-4384-8704-2F02124DC0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23" stopIfTrue="1" id="{A33556B7-3551-4D9B-ADB3-DD498390EE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22" stopIfTrue="1" id="{3F65C933-708D-44FB-92B8-39AC374303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21" stopIfTrue="1" id="{3F985CC1-4118-4E07-BE5B-F85ED36D7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20" stopIfTrue="1" id="{2D313D08-1B15-405E-B290-93754573BA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19" stopIfTrue="1" id="{BB93E96C-D0DE-41AD-B59B-B6AE66F09A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16" stopIfTrue="1" id="{B0CF56DE-0C6A-4F85-B427-5C5BF2D17C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15" stopIfTrue="1" id="{CD8862CB-6C6E-4E7B-A8C6-88994BA3C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08" stopIfTrue="1" id="{043EE027-98E3-45E7-8E16-140B31E265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07" stopIfTrue="1" id="{F46332F0-CCF9-4DDB-AAAA-603BF00F5F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92" stopIfTrue="1" id="{606336D2-08F1-4A62-84BC-072F6C9869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291" stopIfTrue="1" id="{55F32354-F63D-4D14-808E-F0ED571745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290" stopIfTrue="1" id="{3646EA18-1899-4DAD-8657-8DC9C3BCE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289" stopIfTrue="1" id="{08986AAB-770F-4612-97DA-C25D3552A4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288" stopIfTrue="1" id="{F272E149-3135-4F66-9D51-CCA63F07A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287" stopIfTrue="1" id="{3CFDFCE6-0DBB-4FC6-8E4D-49368ADBEE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286" stopIfTrue="1" id="{6C589861-6198-461C-8D5F-A39332D2B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285" stopIfTrue="1" id="{D11DAC23-8E67-40EA-9FA0-9522E6F682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284" stopIfTrue="1" id="{C9FFF843-D5C2-469F-A00B-C2D5283319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83" stopIfTrue="1" id="{9D8DFDD0-0BB8-495F-B22B-76E736B3AD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82" stopIfTrue="1" id="{9BE52F1D-8483-426B-8397-B370B9C8C2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81" stopIfTrue="1" id="{1273FB79-9597-4712-95D7-45E8C26290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80" stopIfTrue="1" id="{F180D287-5FE3-42F4-82C8-EA81CF5711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79" stopIfTrue="1" id="{43F5B36E-C3BE-4F19-B06B-7281F41C2C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78" stopIfTrue="1" id="{5593C6FF-6B4B-40F1-A914-D70A353CAF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77" stopIfTrue="1" id="{DCB8522F-51C9-4C85-8271-964542CF44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76" stopIfTrue="1" id="{AEF589E7-7DED-40D2-8CAD-2ECF566BA6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75" stopIfTrue="1" id="{431CFC76-C77D-4167-9CDE-0B46D0E7A1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74" stopIfTrue="1" id="{D7F4D821-9347-4805-AD9F-EB0C7E6362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73" stopIfTrue="1" id="{5D979825-AAB1-4E54-A33C-0E1E9AEC86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70" stopIfTrue="1" id="{7CFB9780-76BD-4450-A84E-60482D43F9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69" stopIfTrue="1" id="{3E1D79D4-585E-46EF-BCA8-CF02E26D1C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68" stopIfTrue="1" id="{57077D89-963B-42D4-8FFB-AE7ED3D4C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67" stopIfTrue="1" id="{820AA930-6F2E-480C-B039-32C4CCD9F0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66" stopIfTrue="1" id="{746B349A-5E73-4114-806E-20EED4434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65" stopIfTrue="1" id="{E90A1130-A789-4342-A345-C78114CCD1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62" stopIfTrue="1" id="{AA7D1CCD-F43F-4BB2-BB00-D44C5BC35C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61" stopIfTrue="1" id="{7E074706-F5F0-462E-837C-20A16CF64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54" stopIfTrue="1" id="{66968305-42CC-45C7-9686-985C03B68C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53" stopIfTrue="1" id="{AFF8EE34-4152-4608-A67C-4A67338C0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38" stopIfTrue="1" id="{B00B7E22-FD76-475E-B688-CF759E727A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237" stopIfTrue="1" id="{439FCF9E-A4AB-4D3E-A5F9-A14C93D8F0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236" stopIfTrue="1" id="{44D7A416-CB9A-44A6-A07A-FFA83391C2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235" stopIfTrue="1" id="{FE8B9B88-66C3-4A92-A2DE-2052DE7741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234" stopIfTrue="1" id="{E81C3C2B-AB57-4304-A5E6-86DAFEDDD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233" stopIfTrue="1" id="{C882A37A-AB51-416A-8F57-37DB2B5A6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224" stopIfTrue="1" id="{5BB6120F-07DF-457E-9A46-72765EF225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223" stopIfTrue="1" id="{D8F92832-5E1D-4FC1-B9B8-2C0CF709BF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222" stopIfTrue="1" id="{DB3D927A-30FC-447F-BD5A-47290D0CDC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221" stopIfTrue="1" id="{EF1E95A8-E899-4029-B377-E389566645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220" stopIfTrue="1" id="{847848B6-BCFF-4192-8404-6CC0362342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219" stopIfTrue="1" id="{930988E7-5CD1-43FB-886F-8929879038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214" stopIfTrue="1" id="{EC8548FF-8AA6-405A-9DDE-9A3F0B8B59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213" stopIfTrue="1" id="{9B83E2A5-4A4E-47B6-8351-5CC5A60367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212" stopIfTrue="1" id="{5BF3DD4D-9DBA-4202-8402-E4FD347FA9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211" stopIfTrue="1" id="{F37EC881-B63A-4C85-9BF8-65DE9EE5B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210" stopIfTrue="1" id="{2D32C3B3-3276-4DD5-9540-1E9C7EE22F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209" stopIfTrue="1" id="{912A779B-DB4F-4DCE-8F28-9BD3F42916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206" stopIfTrue="1" id="{1FED18F7-8EF2-4A86-924F-7FD1EE0DBE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205" stopIfTrue="1" id="{1CFEC162-F6D2-4E81-BE30-A1A605574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204" stopIfTrue="1" id="{18B2E784-846B-4E8D-96A5-2476AC1274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203" stopIfTrue="1" id="{785A81BC-8565-43F5-9D22-B98C3B36CE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202" stopIfTrue="1" id="{CCB38ED4-258B-4636-B3D1-B9F3793597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201" stopIfTrue="1" id="{29C6CF45-36A2-4118-B46B-B82F04AE0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200" stopIfTrue="1" id="{F9850A6B-D5C9-4A81-A4F5-05C2110835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199" stopIfTrue="1" id="{C03945CE-EC3F-43D4-84EE-CF2E653435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198" stopIfTrue="1" id="{32434F18-4F67-4384-8904-6A285F127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197" stopIfTrue="1" id="{E26EDED2-0694-4367-A532-D840D3965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196" stopIfTrue="1" id="{05A944C2-25F0-447D-A2CB-03783D454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195" stopIfTrue="1" id="{E7E52E46-6B2B-48C6-8593-462665F20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192" stopIfTrue="1" id="{793850CF-CEA9-4B4C-AE54-1F70B32260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191" stopIfTrue="1" id="{0EDA1265-3953-453F-919F-E9177A71C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190" stopIfTrue="1" id="{D259A7F8-E2B6-4B72-8FA4-740B53E8F7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189" stopIfTrue="1" id="{5143BDE0-DE0B-4315-B2CC-5B7941670F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188" stopIfTrue="1" id="{FD48D25C-7355-4F00-A0BE-C47A9BE47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187" stopIfTrue="1" id="{CC31DFAF-4D29-41D8-83BC-2926D21562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186" stopIfTrue="1" id="{0AD643BB-000C-4ECC-82EE-D29A3CD6DF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85" stopIfTrue="1" id="{7085178F-C562-454A-9530-AD78C1FD3F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84" stopIfTrue="1" id="{266591FE-4883-4D27-83C1-F7252F5AEA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83" stopIfTrue="1" id="{9DE5176B-4723-4D62-90E4-1AB81ABF38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82" stopIfTrue="1" id="{C3F7A185-8719-4843-ABD0-5995003B1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81" stopIfTrue="1" id="{82D2435B-2756-4509-9DAB-BFC03A4A39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80" stopIfTrue="1" id="{634467DE-3BED-4E33-9FDB-48AA89F29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9" stopIfTrue="1" id="{83338EBF-959E-424D-B861-6AB2C4ED88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8" stopIfTrue="1" id="{38193D30-861B-4FEC-8208-658B0C96C9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77" stopIfTrue="1" id="{539442CB-7A83-4B71-AF01-85D3BF49B4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76" stopIfTrue="1" id="{C2DE55DB-0519-4F63-B95A-23B1361042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5" stopIfTrue="1" id="{AAE29246-F20F-442F-BFBC-2507EDDF2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4" stopIfTrue="1" id="{9D1A77F7-202C-4BF6-8CD8-46BD4CDD18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3" stopIfTrue="1" id="{103509B7-3AF5-4ADC-93E8-6B3E2FDE41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0" stopIfTrue="1" id="{951DC1EA-B957-423C-8B6D-D1FBB33311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69" stopIfTrue="1" id="{116CC573-ADC3-4B5D-BB4F-BE0447497A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68" stopIfTrue="1" id="{AF9E2BC9-762C-45CB-B226-4465E23A8C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67" stopIfTrue="1" id="{F91A5255-09EA-4148-AB7A-A5EB3E080C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66" stopIfTrue="1" id="{F9AFF806-764B-429D-92B8-A2AA23017E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65" stopIfTrue="1" id="{0F0EC40D-8A75-4227-AA8C-5C9093751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62" stopIfTrue="1" id="{5DB47899-951E-4C71-A675-DDC77B1029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61" stopIfTrue="1" id="{AAEEB210-3C2D-4AA5-A790-69D76954B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54" stopIfTrue="1" id="{3FB1CA9B-EF99-49D9-8E1F-DBDD89BC84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53" stopIfTrue="1" id="{FDE6B40D-BBCB-49CA-B7BA-316368EF7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38" stopIfTrue="1" id="{196D241F-A170-415F-8662-02C76261FF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137" stopIfTrue="1" id="{3975C94F-934B-4F1F-B386-1376D373A9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136" stopIfTrue="1" id="{F0FB76A3-10B3-4992-B7B7-6E8C24EDA6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135" stopIfTrue="1" id="{5EC9EF7B-A89F-41B6-A9AA-5E6E4F4636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134" stopIfTrue="1" id="{54258B95-4CC1-4C29-A155-F25AD5D023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133" stopIfTrue="1" id="{E58718EE-8F71-4A6C-A3AF-3E0F7A5EB1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124" stopIfTrue="1" id="{CD46D9AE-3ABC-4423-BBDA-20966E2F2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123" stopIfTrue="1" id="{59A71572-6024-493E-9EB0-BC878321C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122" stopIfTrue="1" id="{37164780-5964-4AA7-AC5E-B668C1BAD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121" stopIfTrue="1" id="{61AC6A7A-0E7C-45EE-85C0-9102A8E389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120" stopIfTrue="1" id="{5EFB9B4E-A550-4785-80DF-D056770477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119" stopIfTrue="1" id="{C9F489C8-0662-462C-97C3-A3D482720F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114" stopIfTrue="1" id="{7B0569B6-50A3-4027-80CD-A9FBA4B1CC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113" stopIfTrue="1" id="{44D2563C-0DDC-4F2C-AD6C-2BEBCD9437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112" stopIfTrue="1" id="{AFAC8E6B-51B9-4F44-A67D-802D239602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111" stopIfTrue="1" id="{B12E0EDD-D322-45A7-852B-5A1C99FB72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110" stopIfTrue="1" id="{72FD1295-3704-4072-9956-E3BAF10299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109" stopIfTrue="1" id="{23F9ED26-46AD-4483-8E49-EADA0BF25C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106" stopIfTrue="1" id="{8BAE2492-D28D-4037-8553-627CDA8F3A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105" stopIfTrue="1" id="{57A5EE93-79DD-47EF-A1BF-6A2147CFA0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104" stopIfTrue="1" id="{9F876EB4-D104-413F-A2D9-94C6F3E3BF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103" stopIfTrue="1" id="{49488C0D-23C7-447B-81DE-A04E49887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102" stopIfTrue="1" id="{C40CA8A3-9348-4251-97F6-A8C7164B62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101" stopIfTrue="1" id="{D2B0A8AE-329B-4021-BC1D-A8E8510E58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100" stopIfTrue="1" id="{7CB13E58-AD64-4E59-A47E-375318E096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99" stopIfTrue="1" id="{06D813EF-1845-46AD-8AB2-888825B95F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98" stopIfTrue="1" id="{4157C6FC-27AD-4A55-8757-674CA34088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97" stopIfTrue="1" id="{7A3FA0BF-A780-4D4E-BE8D-4752242ECC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96" stopIfTrue="1" id="{BCC644F4-C1CD-40BA-947C-8476373C1A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95" stopIfTrue="1" id="{51245D07-0E8C-4AAD-B119-B311AC00C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92" stopIfTrue="1" id="{0AA134C9-F66B-459F-B707-5CBD9C9D24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091" stopIfTrue="1" id="{1F184E7A-AE53-41E8-94D8-ED059371BA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090" stopIfTrue="1" id="{1C5444E1-6944-4D69-B5EF-A6D64FB39A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089" stopIfTrue="1" id="{9B4B7BEB-CDC5-4E4B-9EB4-0C933C0DEF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088" stopIfTrue="1" id="{BC3B491C-EB82-4520-834C-E5FFB4DF2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087" stopIfTrue="1" id="{89B6753C-084D-4929-8341-EB58203A9C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086" stopIfTrue="1" id="{2187C2B9-D927-4444-9B42-91F50E7463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85" stopIfTrue="1" id="{C1844004-23A7-4CF9-8E73-8FBD0D838F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84" stopIfTrue="1" id="{84B49210-1007-4C75-9A49-9B20AC6F4C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83" stopIfTrue="1" id="{050D567A-C06E-467A-9CAE-C31BAE3790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82" stopIfTrue="1" id="{D86DA00D-251B-4D9E-A490-021725A85B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81" stopIfTrue="1" id="{AE1102FB-51C1-4C88-9FD0-ED44C021F7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78" stopIfTrue="1" id="{E0EA9579-77DF-4198-81C5-355E0B481F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77" stopIfTrue="1" id="{B12797CA-20A3-449F-A2AB-957E0397AF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70" stopIfTrue="1" id="{626D3627-4061-44BC-9797-4660F794E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69" stopIfTrue="1" id="{40026684-EF70-45F9-B8EE-53A87C65F4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54" stopIfTrue="1" id="{0BE815CA-E47A-4927-96C6-0FCB1A3A77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53" stopIfTrue="1" id="{28998362-D896-40DC-8F05-ED379793DF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52" stopIfTrue="1" id="{6126736A-9094-4DBE-98FC-967099B998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51" stopIfTrue="1" id="{55A114DD-619C-43C9-8B56-39EDC45E1C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50" stopIfTrue="1" id="{63943597-5290-4E88-9B63-874E45ACF6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49" stopIfTrue="1" id="{072B7586-34C7-4E59-846E-7A0A76EC8C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40" stopIfTrue="1" id="{6B0869BA-9DFD-4BEB-848A-8FCC23E293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39" stopIfTrue="1" id="{4BC885CD-6440-4F59-ADBC-541454E51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38" stopIfTrue="1" id="{B34B1E36-6107-4A85-AAF9-320F96F6C5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37" stopIfTrue="1" id="{1A284DDC-6103-43D0-82C0-03E8A9BFF2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36" stopIfTrue="1" id="{B8B36973-0856-4A38-96EE-67BC86597B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35" stopIfTrue="1" id="{012B0C6D-F7C6-4BDE-B92D-8E0DA0869E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30" stopIfTrue="1" id="{45508A23-919A-4533-9167-BCFF0532A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29" stopIfTrue="1" id="{50AC3EAE-1EA9-482D-91B5-49D3AAD4C6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28" stopIfTrue="1" id="{4D1EE9BD-069D-4028-B093-9C7D1FC416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27" stopIfTrue="1" id="{06E13556-06AA-47B3-A7F9-877BCEFDBE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26" stopIfTrue="1" id="{3096C091-C0A9-4D2B-B342-35F8A4C6D4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25" stopIfTrue="1" id="{C9E55E4A-124F-44B5-AA2B-9CAA91A979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22" stopIfTrue="1" id="{2308D638-D497-45D7-AAB8-A709AA4F47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21" stopIfTrue="1" id="{16F339F4-7047-463D-A6C6-5CD115EB7C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20" stopIfTrue="1" id="{BE326910-34C6-477D-9220-26BED1A178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19" stopIfTrue="1" id="{2D911394-E91C-43CD-8B99-DB30FAEBAD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18" stopIfTrue="1" id="{3E90F0A2-7DB9-4035-BD94-3DBBC6D341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17" stopIfTrue="1" id="{BCBA53E6-0896-4AC4-81B2-6CD4A9EC75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16" stopIfTrue="1" id="{2BDCD38A-AA15-4AAD-B13D-7FC87ECD2E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15" stopIfTrue="1" id="{F708E37B-CF84-419E-8C53-0164F0FDC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014" stopIfTrue="1" id="{E44E33FE-6BEC-423B-B5C7-A7E84855C4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13" stopIfTrue="1" id="{353C8F7E-995E-4C45-9C91-0DCA7AC319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012" stopIfTrue="1" id="{1B9BC0C5-F31D-46F3-B35D-C8A011397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11" stopIfTrue="1" id="{2FD247B8-2939-4786-8FEB-0405846288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008" stopIfTrue="1" id="{710D350E-3C7F-44ED-98B7-EDB046A279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007" stopIfTrue="1" id="{5415676E-72AA-4F64-9351-B5B171F56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006" stopIfTrue="1" id="{F69B7510-4894-43FF-A7D3-77D06A551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005" stopIfTrue="1" id="{6428655D-9E95-426C-8DC7-B6D6665C62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004" stopIfTrue="1" id="{00FE7499-E25A-4AC6-98D8-C6097C7F95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003" stopIfTrue="1" id="{82B5F17F-AC1B-494F-9129-A02FF1CA4D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3998" stopIfTrue="1" id="{ED5BAFAB-ABFA-4D92-9E95-EDABFB3B87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97" stopIfTrue="1" id="{52000974-1A2C-4459-BC07-D871FBE789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96" stopIfTrue="1" id="{E4154DB4-9F5D-4A0D-A5E2-01973D8120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95" stopIfTrue="1" id="{4BB27E96-0D31-43BD-8910-B8BB969D05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94" stopIfTrue="1" id="{F695C8E1-3B75-46D5-93DC-AD61831469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93" stopIfTrue="1" id="{26523D1B-52F3-4F1D-8342-707EB6C20A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90" stopIfTrue="1" id="{87117277-404C-48B2-849B-EB4496E67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89" stopIfTrue="1" id="{BC263E3E-FA7A-42BF-9513-C725E6F5CB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88" stopIfTrue="1" id="{76AF6074-1A9C-4D7F-851D-B3F8C05A27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87" stopIfTrue="1" id="{6D1C5C36-A196-4287-A64A-D2B5ED396F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86" stopIfTrue="1" id="{6BBCE535-A57E-4BEA-85F2-979E43F756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85" stopIfTrue="1" id="{344CA6BD-1F77-4EDA-9962-AF4BAA0E6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84" stopIfTrue="1" id="{32F4DA70-2866-4A14-8D99-BA0CBEBD58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83" stopIfTrue="1" id="{5ED4A93B-3E42-4722-AD15-75F1FBDEB8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82" stopIfTrue="1" id="{F165CE3C-F3BD-45EC-ABEB-85FE5F87C9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81" stopIfTrue="1" id="{B48A4B77-D90D-4CD3-90B2-6377F6E545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80" stopIfTrue="1" id="{41127E65-3D02-4456-8F44-DE6F3D8BD5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79" stopIfTrue="1" id="{1FD265DB-2CB6-45A6-8628-C91E7947D4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76" stopIfTrue="1" id="{065C5D18-8DA3-4363-8469-E375EC7382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3975" stopIfTrue="1" id="{37D78D70-2B02-4090-911E-10E3C3EC7A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3974" stopIfTrue="1" id="{670120F2-358C-4E81-9CD3-25073A9151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3973" stopIfTrue="1" id="{33600884-9291-4775-BF7C-31E7B918EA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3972" stopIfTrue="1" id="{CA7071FF-2F1E-424B-BFF0-208ED83EE7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3971" stopIfTrue="1" id="{FBFAB0FC-8001-4473-9C6E-0C510425DE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3968" stopIfTrue="1" id="{F8658CA5-9586-4888-A3FB-FD21B5CC85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67" stopIfTrue="1" id="{2F51F311-9B93-4B7E-83FE-FBC05E3B7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66" stopIfTrue="1" id="{47BCC7A1-308A-43AF-A1DC-F649496DF5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65" stopIfTrue="1" id="{C8C39E38-C790-4837-8656-5D7A524D9D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64" stopIfTrue="1" id="{E2579F0B-71DA-484D-8246-039CC0A1C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63" stopIfTrue="1" id="{6E757173-ACBE-4DB2-B828-8EA2747DAE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62" stopIfTrue="1" id="{D5ADBC09-0221-461C-8569-991F39730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61" stopIfTrue="1" id="{13805B03-6433-4D42-BFB4-578E8D8EF2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60" stopIfTrue="1" id="{A1F1B4E3-D182-4DA9-9B48-6637BEBC2A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59" stopIfTrue="1" id="{366D98A2-4755-4132-A6F6-729BF918DA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58" stopIfTrue="1" id="{9F954899-F20B-49FC-B554-2E0225410F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57" stopIfTrue="1" id="{B0AE5C9B-9146-40EA-B219-B8EFE0D2D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54" stopIfTrue="1" id="{FBCF4613-2D2F-4AEF-99EF-D083CAFFAF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3953" stopIfTrue="1" id="{6C7379DC-3EDB-4E23-A48A-D7AEFE12E0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3952" stopIfTrue="1" id="{B3053AC9-E541-4780-AD58-F4A9C4A63B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3951" stopIfTrue="1" id="{C0E29F1B-7774-4E91-B00E-B32E39482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3950" stopIfTrue="1" id="{1A604656-50CD-4EAC-92CE-3EEA4BBE54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3949" stopIfTrue="1" id="{4EE3681B-4DD1-4EF1-8468-8F6B266D92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3948" stopIfTrue="1" id="{6953B86C-7A67-4E65-9386-2C45BEB353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47" stopIfTrue="1" id="{032E68AB-1686-44AC-901D-7A4A889AC6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3946" stopIfTrue="1" id="{6E1BB3F2-69C3-4C7B-9592-481B45C5EF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45" stopIfTrue="1" id="{840EA5B2-B195-4FE6-BB60-D9A9047D1A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3944" stopIfTrue="1" id="{FCFE4E6E-2D68-4AB9-BAF9-494CFFC658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43" stopIfTrue="1" id="{0F2110A7-0E70-488B-B785-C62E20A730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3940" stopIfTrue="1" id="{BADF51A1-2C1D-43B8-BCA1-6505B17B74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3939" stopIfTrue="1" id="{5E67AD57-3315-45AB-8A0B-74718EBD00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3938" stopIfTrue="1" id="{4D2F779F-6240-4FD1-92EE-D017BB38E4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3937" stopIfTrue="1" id="{CFA5C688-4BCC-4211-95C8-CB643502C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3936" stopIfTrue="1" id="{6DAF5E60-CE14-4FF1-9574-11AFA839B2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3935" stopIfTrue="1" id="{068CB369-6845-4FE2-B23D-66EADB8F6C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3934" stopIfTrue="1" id="{0397110C-E38B-43A0-A5CD-0C3BA5A0F2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3933" stopIfTrue="1" id="{E1D5C3E7-AECE-4EED-83B7-5E51A3558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3932" stopIfTrue="1" id="{281D44CE-BB0D-4E5F-93AD-0A7271BDC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3931" stopIfTrue="1" id="{694DDC85-7675-47E8-93B6-1ED83FC8A1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3930" stopIfTrue="1" id="{B05837AE-7A27-44B2-9730-7980659BC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3929" stopIfTrue="1" id="{9D3E4D84-D722-45F2-AD53-52FB8CE23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3926" stopIfTrue="1" id="{7A65E99B-5F5D-4103-A4B4-9B3B8C9EBC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25" stopIfTrue="1" id="{BCDF7C05-B259-47BD-9B98-BC7B9D92B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24" stopIfTrue="1" id="{BC38B0EF-0EB5-49B0-A298-658AB1914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923" stopIfTrue="1" id="{829CB692-F640-4DA1-B7AE-D04EE08C33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922" stopIfTrue="1" id="{4F2498D6-CFC8-464E-A428-FFE631D052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921" stopIfTrue="1" id="{554703D9-61DB-4674-9243-6D9A3611F2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920" stopIfTrue="1" id="{6BB920DA-8621-4826-9F3A-B7B9F09553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19" stopIfTrue="1" id="{E41ADB5D-3F6B-41CD-8856-842F8EB0A2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18" stopIfTrue="1" id="{712A938C-C300-4A13-9E64-651BBDFE5A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17" stopIfTrue="1" id="{19ADEE5C-C281-4E5A-ABB8-788EAC6232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16" stopIfTrue="1" id="{029BB748-EAB5-442D-AB35-6A8D30A399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15" stopIfTrue="1" id="{21D5A5F9-D959-492A-90B9-6F305F61D6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14" stopIfTrue="1" id="{68624B18-C318-4C3C-A2F8-567B97ED33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13" stopIfTrue="1" id="{C9E91696-34EA-4433-8A1C-318B536FE6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12" stopIfTrue="1" id="{016EBAF3-9237-49D6-A820-26ED95666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11" stopIfTrue="1" id="{687D6A5D-9BA6-4417-A86D-4B23FF5BF3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10" stopIfTrue="1" id="{704C99ED-701F-4A11-9D94-0D8AA8AF8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09" stopIfTrue="1" id="{D162DD09-5C37-405B-B43D-767096E58B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08" stopIfTrue="1" id="{CDBF9203-39E6-4D4E-BEF4-419C42D381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07" stopIfTrue="1" id="{B583C0F8-B82F-4517-AC09-BCF6B0728D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06" stopIfTrue="1" id="{59DB28A4-76FF-434B-B323-58090B5B7F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05" stopIfTrue="1" id="{1E72C58C-1383-4282-AFB4-37AC040911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04" stopIfTrue="1" id="{27D14D67-7716-4F86-A210-95800B62A7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03" stopIfTrue="1" id="{AA2E34B3-728D-49C9-A101-B7119664A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02" stopIfTrue="1" id="{ADD605DA-1804-4CE9-874F-13004BAE93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01" stopIfTrue="1" id="{727E55BD-169D-4DA7-B845-A46196A442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00" stopIfTrue="1" id="{889E73C0-9F1E-4B9F-8A87-48D3A07432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99" stopIfTrue="1" id="{B7EDB5CE-A4D8-4703-8FD2-6C37EA4A21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98" stopIfTrue="1" id="{3D73FFBF-7E9F-4F5E-9A7D-5B9304CE7D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97" stopIfTrue="1" id="{28B25F60-1293-40A8-84C7-4FE0955CCC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96" stopIfTrue="1" id="{7603387F-E329-4604-A655-212EEA34F4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95" stopIfTrue="1" id="{13D78ACC-13A3-4AB6-8F68-0D57855C8F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94" stopIfTrue="1" id="{300CB8D1-62D6-4F02-AC0D-523A9BD322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93" stopIfTrue="1" id="{C55FBB09-9451-4AB6-AAEB-1E29245878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92" stopIfTrue="1" id="{6588D954-CE0D-4688-95BC-D8EC6BC91E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91" stopIfTrue="1" id="{DCBBCC11-E646-455E-A32C-C041E2CFF7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90" stopIfTrue="1" id="{CDB2BAFC-A86F-43C0-B6B9-CAF88F80D2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89" stopIfTrue="1" id="{D8A0C676-068A-4619-A65B-4204F4647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88" stopIfTrue="1" id="{473EE8DB-622B-4496-A060-E566570FC4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87" stopIfTrue="1" id="{A413CF2D-6D56-4451-8455-3C2912506A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86" stopIfTrue="1" id="{03E2E08B-D029-4639-90D5-44AE4ACA1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85" stopIfTrue="1" id="{E9756581-6DB3-4384-84B0-716C9D8A69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82" stopIfTrue="1" id="{B21261A7-3AC4-4E88-902D-3249BC8024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81" stopIfTrue="1" id="{FBD9BA95-107B-4FF8-8B0C-BA372282F9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80" stopIfTrue="1" id="{B1086B4E-21B2-46C7-9493-3CD451865D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79" stopIfTrue="1" id="{5216FBB1-8F46-4B9F-A603-2A0F375705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78" stopIfTrue="1" id="{93AC43B9-12BC-4A9D-AAED-28EB3570B8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77" stopIfTrue="1" id="{6E882DEA-C2AF-4EA4-8A8D-8828DA97C1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74" stopIfTrue="1" id="{A0BD5D90-9D26-416E-A069-CE40D42278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73" stopIfTrue="1" id="{90A9F325-4BB6-46F3-B26A-FBD212A089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66" stopIfTrue="1" id="{959C1F0C-C24C-4F7D-A00E-FDC57DA3DC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65" stopIfTrue="1" id="{2014DFA5-7A2F-4067-BA36-65EF3346C5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64" stopIfTrue="1" id="{9EA6000C-3969-4C10-BCFB-01EE4F5102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63" stopIfTrue="1" id="{5155B925-3F73-4B90-8C79-634936E46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62" stopIfTrue="1" id="{F730AC6B-2523-4EA9-8293-92C8F1AA9B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61" stopIfTrue="1" id="{BD90D1D9-6A88-4B3D-B1C2-BDA71BF559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60" stopIfTrue="1" id="{19C5F426-5E62-405A-8482-7BA0CD547A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59" stopIfTrue="1" id="{293C6223-69AF-42E4-9378-378D4E0DFA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58" stopIfTrue="1" id="{29F4C875-9A9C-4A8A-B706-A65EB6F007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57" stopIfTrue="1" id="{C7CAEE47-5EA6-41D7-AA05-7F7AF4C8E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56" stopIfTrue="1" id="{361D44F4-428F-47FA-8946-3DE72FA545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55" stopIfTrue="1" id="{3106F56F-8F31-4F3A-BEAF-2C640E4AE9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54" stopIfTrue="1" id="{752F8CE5-AD77-4DBF-A4F9-B59E1A6C0C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53" stopIfTrue="1" id="{B04AA6BD-0631-4D0A-83DF-42489E1FAC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52" stopIfTrue="1" id="{09AC5B4A-C63A-4BD6-AE05-86F4DE9A5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51" stopIfTrue="1" id="{9D5B36A2-73F8-4CB5-A9C3-560613F668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50" stopIfTrue="1" id="{E844A5AA-6E4C-4228-9A40-8FE15294FC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49" stopIfTrue="1" id="{A43B61D2-B635-49D3-86BC-663C4C7D9D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48" stopIfTrue="1" id="{972AA5FA-3ECF-4604-87DE-ACD32A93A0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47" stopIfTrue="1" id="{4DBC5038-1828-4843-8ED6-F33C9A53AA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46" stopIfTrue="1" id="{7F3EDF4B-442C-4C9B-993A-2466ED8354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45" stopIfTrue="1" id="{E95ABF2E-A979-4CE4-82BB-F4E3E2AAB0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44" stopIfTrue="1" id="{6000B14E-20F4-43A1-A029-4BBEA52332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43" stopIfTrue="1" id="{3916CE54-C52D-4023-AA53-9ED6FC692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42" stopIfTrue="1" id="{D9331AAB-7D2C-425B-A845-6E42A6EC7D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41" stopIfTrue="1" id="{BBCCE109-95C9-484D-BE60-D551E1BC6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40" stopIfTrue="1" id="{50EC960F-A518-44D1-A574-3AAE637CCA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39" stopIfTrue="1" id="{A8886E95-3548-4481-BAF7-284DF6FD5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36" stopIfTrue="1" id="{4B99924C-90DE-4687-9E2E-F62681055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35" stopIfTrue="1" id="{C3D487CD-7A75-44E5-B1B9-4BCB3F84BA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34" stopIfTrue="1" id="{9579EBFD-EEA8-440C-9283-F463A4018E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33" stopIfTrue="1" id="{085AA943-38F1-413A-88AE-0C9E968E1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32" stopIfTrue="1" id="{53B52CD3-C685-48C6-A1A9-7FF9315CBB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31" stopIfTrue="1" id="{706B4DF8-5CE3-4411-83FD-E3976F8B0E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28" stopIfTrue="1" id="{53801859-0DF2-4DF5-9733-0225890F0F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27" stopIfTrue="1" id="{2C4187C5-76CD-41E5-8080-8A4F8CB945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20" stopIfTrue="1" id="{15977BF0-9F6D-408C-A9E8-C69AB0FC48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19" stopIfTrue="1" id="{9F029323-E3EC-49B6-A72E-ADA9227E0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04" stopIfTrue="1" id="{CCA91D5F-4C64-47E8-AB55-F3644F296A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03" stopIfTrue="1" id="{8B1D15A6-F4AF-4BFA-9D3B-40D1AB3D18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02" stopIfTrue="1" id="{DF0293E5-2E8A-4035-8323-C12954B359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01" stopIfTrue="1" id="{24FBEAEF-8E44-417D-BA16-4818A74A82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00" stopIfTrue="1" id="{20852C59-BA0E-4F1C-95EE-825CC7CF45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99" stopIfTrue="1" id="{D741D48E-8BF0-46C6-A047-28FBD649AB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98" stopIfTrue="1" id="{15E33E74-3EA7-4EF9-9F98-C3696E80EA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797" stopIfTrue="1" id="{D3583D86-5F86-4077-BAA8-8FE0CCC73B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796" stopIfTrue="1" id="{F62EEF8C-6D39-4D40-BCE2-BEDE354FB6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95" stopIfTrue="1" id="{7F2EFDFC-0C64-40AF-A08E-BC644F6B24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94" stopIfTrue="1" id="{51BB4FFC-02FD-4F6B-972D-B3365FA76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93" stopIfTrue="1" id="{4AEDB9D7-B0BC-434F-B523-16C8D25F13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92" stopIfTrue="1" id="{D643EE52-7A26-4004-89FA-3513E55AD3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91" stopIfTrue="1" id="{584E8456-3E31-4BA5-8811-CB8A61309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90" stopIfTrue="1" id="{CE9803B7-50A8-4ABB-9ADC-81A6EB5E0D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789" stopIfTrue="1" id="{F7035966-5AA9-48E4-A740-1422C95EDB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788" stopIfTrue="1" id="{6B457F08-EB04-48AF-8932-356BE64015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87" stopIfTrue="1" id="{B39A119C-6BA1-42C4-96A2-5FF14E0F4D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86" stopIfTrue="1" id="{8F10CA97-5D37-4445-BA4C-B2170ABDBB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85" stopIfTrue="1" id="{7B8B74B5-9F91-4BFE-A7AA-D13BC7108C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84" stopIfTrue="1" id="{8F714545-C3EA-4CC5-8B58-085B91146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83" stopIfTrue="1" id="{C8F08B2A-1511-43CF-9E00-BCE0C144C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82" stopIfTrue="1" id="{0B2CDC1E-5806-4126-AB80-C178F0562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81" stopIfTrue="1" id="{90513E13-4BDE-46B8-8B91-C873E1C614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80" stopIfTrue="1" id="{98D61D17-8FD8-4A57-8316-5C6AB35524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79" stopIfTrue="1" id="{781C0D57-6045-4362-8052-7A28E5B7E3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78" stopIfTrue="1" id="{4E9B9D9C-916C-4816-9D14-275C08B12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77" stopIfTrue="1" id="{584E5578-84BE-40B3-8C9D-F4A1DFB076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74" stopIfTrue="1" id="{3D27407E-C3E1-4345-9052-0191EDE5A1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73" stopIfTrue="1" id="{E159D29D-3AEB-4BE3-AEE9-A23B3783FB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72" stopIfTrue="1" id="{55739956-C372-4C0D-8014-06908F7628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71" stopIfTrue="1" id="{6BDDBAF9-E37C-4407-A683-9B99144CE1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70" stopIfTrue="1" id="{DF06264A-51D9-4646-BDB6-F365BE5FBE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69" stopIfTrue="1" id="{25E2BDE8-74B9-40B3-934D-A4CEE6E67D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66" stopIfTrue="1" id="{29B09264-E464-4A7D-8B03-810DBF31B0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65" stopIfTrue="1" id="{ABC24D58-2C18-45BF-B43D-2A2D2C83D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58" stopIfTrue="1" id="{09720A9F-7B8E-460D-ABED-DD7B28F6E0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57" stopIfTrue="1" id="{0906C88A-9284-4C64-9350-4024884AB7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42" stopIfTrue="1" id="{38CA08B4-0A1B-4B18-BD48-EA9B6BE211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741" stopIfTrue="1" id="{EB059CA3-798A-46DD-82F4-FB0B2BC271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740" stopIfTrue="1" id="{A1B922D2-3B9B-4B2B-92A5-B7178B7151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39" stopIfTrue="1" id="{481EA0D7-2E1F-4992-9E14-BBCF0476DA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38" stopIfTrue="1" id="{0C807B50-F552-441C-85DE-34EAF9A919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37" stopIfTrue="1" id="{21443FFB-7430-46A9-A2DF-6A4D65B108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36" stopIfTrue="1" id="{913D1653-7785-4B24-B1C8-CE7621EFB0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35" stopIfTrue="1" id="{8BF7A96B-83C2-4D0E-AA0C-C8A8BD07D9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34" stopIfTrue="1" id="{398600F8-8C42-4CA0-9C07-A8215E62F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33" stopIfTrue="1" id="{42A980B1-E161-4566-BD36-FAA1CE4871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32" stopIfTrue="1" id="{C0D46729-D1BF-4D40-8348-0D5A990DD9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31" stopIfTrue="1" id="{597CE376-4BDA-4DE5-B711-AC60285B22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30" stopIfTrue="1" id="{00D9D72E-E0AC-4DA8-97F3-F0B6C6FAE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29" stopIfTrue="1" id="{D91461D5-1612-43F8-8D30-8562268552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26" stopIfTrue="1" id="{042A7C95-BEB8-4EA7-81CC-0978E2EAD8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25" stopIfTrue="1" id="{3B64A0D8-35D3-45CB-9829-F9033E7FB0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24" stopIfTrue="1" id="{B7DB170C-866B-4712-B523-FAC4F80C1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23" stopIfTrue="1" id="{E55D4434-B61D-4BB1-9BA1-359D0F391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22" stopIfTrue="1" id="{CBEF678D-9743-4710-9DCB-9A0C44275E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21" stopIfTrue="1" id="{D8A67D5D-76A0-4DA3-82B6-7FE1218B07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18" stopIfTrue="1" id="{EAAF2CD6-B5D9-45E7-A936-31D35BFFE0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17" stopIfTrue="1" id="{277214AF-18FC-42F2-8DED-0883613F99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10" stopIfTrue="1" id="{B414827A-6A6A-432C-A358-DA4140FD73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09" stopIfTrue="1" id="{9487326A-338F-449A-97AD-DA7D77E086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78" stopIfTrue="1" id="{AF226EB5-5988-4D3C-9181-8D946F5F68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77" stopIfTrue="1" id="{EC31BC3A-57D1-4BD6-825F-41794CB79B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76" stopIfTrue="1" id="{BBFE62F7-3390-4BB5-81C0-1CBC0070AF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75" stopIfTrue="1" id="{03C85A8A-F9BC-47EC-B8B3-8589DEBE13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74" stopIfTrue="1" id="{4AE1F8C1-51CB-440D-9626-8EF6E262D5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73" stopIfTrue="1" id="{1115D7B0-625B-4608-B7BD-D675777C34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72" stopIfTrue="1" id="{64A2993B-BBF2-4665-8D40-AD2C1DA263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71" stopIfTrue="1" id="{D114B39D-603B-4FFE-936E-E173AD5A0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70" stopIfTrue="1" id="{2C083324-2225-4D0B-A79C-4DAFDD7B8B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69" stopIfTrue="1" id="{7676AFB1-8E23-447F-BC3A-598E91F303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68" stopIfTrue="1" id="{E5B44CFA-EFC8-4297-970B-D626A02F0B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67" stopIfTrue="1" id="{B9934A9D-98A3-49FE-B3A8-07011E02FB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66" stopIfTrue="1" id="{D8F86366-D3C3-460F-B042-960C1F7F84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65" stopIfTrue="1" id="{B8C19C8F-5E4D-474B-A92F-31B95CD6B5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64" stopIfTrue="1" id="{E6DD5EBA-839F-485E-8E96-CDA0AFE600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63" stopIfTrue="1" id="{0575CC82-B1F8-48AC-9AD9-F33C76FF66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62" stopIfTrue="1" id="{BEBA8E47-80A6-4F49-9C3F-60551FC84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61" stopIfTrue="1" id="{F3D0B4D1-1B6F-4E6F-989E-91D46095CE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60" stopIfTrue="1" id="{93EAFED3-9EB1-4C85-91A8-36D633C6AD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59" stopIfTrue="1" id="{C5776FE5-6E68-47DB-B3B0-AC0D09BD66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58" stopIfTrue="1" id="{F4788F09-1AE4-4A37-AF5D-A89800B2CE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57" stopIfTrue="1" id="{81BC3676-28D5-4668-958D-43CB601537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56" stopIfTrue="1" id="{1EADB17D-CDEC-470D-AF89-831D12437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55" stopIfTrue="1" id="{E92F64C9-C3E8-4639-B0DA-D0B7777304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54" stopIfTrue="1" id="{502B2F76-DD00-41A4-922C-120EE29529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53" stopIfTrue="1" id="{7A1F104E-E849-408F-AA3D-1C2345F35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52" stopIfTrue="1" id="{760DB63F-93C5-459E-8270-260E399B3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51" stopIfTrue="1" id="{29C20A10-61EE-4C02-A70E-11ED0AC852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48" stopIfTrue="1" id="{8F361BB8-36F1-4FC8-ACD6-0FFFE39189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47" stopIfTrue="1" id="{58CEDAE7-B278-4508-BE86-EA89528921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46" stopIfTrue="1" id="{57D5DCC4-060B-4BE9-A717-3CC2C5592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45" stopIfTrue="1" id="{9E1EAC91-8E82-486D-BBE4-7AB1D441A2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44" stopIfTrue="1" id="{CB7B98E9-AB52-409C-ABD6-8687D69E1C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43" stopIfTrue="1" id="{6B22F516-3A8F-405F-9A6A-678B27FF59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40" stopIfTrue="1" id="{E76AE23A-10E2-487A-9B43-63A9F2850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39" stopIfTrue="1" id="{D0AEC1CE-033C-4B68-9D92-7EAF8628E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32" stopIfTrue="1" id="{ED3AA21D-7A82-427B-BBF7-E0338116F0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31" stopIfTrue="1" id="{1AC7992F-4B45-4010-9DFD-A4C86CAB09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16" stopIfTrue="1" id="{C637A0EB-A06B-4850-94C3-7A6AAEC209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15" stopIfTrue="1" id="{FC9031D1-53C5-474E-BC0B-E694F5D1E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14" stopIfTrue="1" id="{F4874E1B-4355-4C33-BDB0-1C842EF6C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13" stopIfTrue="1" id="{3FB83049-0060-4A5D-9983-0D366FEE1C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12" stopIfTrue="1" id="{D09669B9-4C90-419C-8F77-4A5120F76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11" stopIfTrue="1" id="{FD839EE4-2306-4FE1-BD4E-AEDEA491A1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10" stopIfTrue="1" id="{6AD390D0-938B-4226-A39F-BB89488BED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09" stopIfTrue="1" id="{B364A555-09A3-4667-AC25-0EA4458BBA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08" stopIfTrue="1" id="{1B27F300-31D9-42F8-9A30-66059DC82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07" stopIfTrue="1" id="{1663CA54-DDFC-4C86-9565-8DCBD53C41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06" stopIfTrue="1" id="{D4F48C85-9300-4E55-BED8-2A29D77A8C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05" stopIfTrue="1" id="{7FE006E5-AEB4-44BE-A8DE-6CC7F8A9C8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04" stopIfTrue="1" id="{4015081D-6089-454A-AD89-1586433895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03" stopIfTrue="1" id="{7BEF620D-E52A-43DA-AF39-BC81324520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00" stopIfTrue="1" id="{1E079B66-C5BD-47DF-8EB6-F2101D4A8F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99" stopIfTrue="1" id="{F8F80E7A-DE4F-42D2-82F6-8E958A3FFE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98" stopIfTrue="1" id="{F5BCAB67-F420-43DE-B6E1-CB5440C31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97" stopIfTrue="1" id="{897FB67B-1153-4BB5-A426-542F3C82A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96" stopIfTrue="1" id="{A11B8E4D-2383-4A6A-8F2A-D489CA556C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95" stopIfTrue="1" id="{8574F277-0074-4BE7-8C1F-61FCB5C971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92" stopIfTrue="1" id="{3809BD19-B41B-4B0F-85F1-16235321FF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91" stopIfTrue="1" id="{75795B05-AC93-4FF2-A351-C99C210F7C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84" stopIfTrue="1" id="{2FEE82F1-3FA2-40D6-8E63-017A9B50E3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83" stopIfTrue="1" id="{1DA51740-3D0B-4F12-A411-30247DC20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52" stopIfTrue="1" id="{A5BADA42-ABE9-480E-929C-B7FF48AB1B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551" stopIfTrue="1" id="{7B8E09B8-E53D-4AF5-84ED-3EB1D37DBE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550" stopIfTrue="1" id="{E465A5E9-F637-4678-BEA0-CE9CEC5E7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49" stopIfTrue="1" id="{FF394830-5E19-428A-AB13-5241A68AA7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48" stopIfTrue="1" id="{6395CC0E-0E3F-4B0E-A819-248286C014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47" stopIfTrue="1" id="{003AFE4C-B97A-4144-8271-761A7EB2D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46" stopIfTrue="1" id="{86A6726D-6177-40A9-8336-20C45E471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45" stopIfTrue="1" id="{EB4FAAC3-34CA-4DF8-AD57-149432612F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44" stopIfTrue="1" id="{F3B5236B-7546-4FC2-AFC0-0E5C2AFA2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43" stopIfTrue="1" id="{4EF5F502-846B-462B-BC0E-D89905B36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42" stopIfTrue="1" id="{BE2DEB4B-A7BC-4E0A-BE9A-EEE4AC37F2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41" stopIfTrue="1" id="{FF3E5912-D2BA-44D4-ACB6-17F878597B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40" stopIfTrue="1" id="{4CADEFAC-27B8-4733-A0C0-B4AEE630DA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39" stopIfTrue="1" id="{6F2224C8-4552-41D2-972A-E4CEABCAC9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36" stopIfTrue="1" id="{E6CB4C4C-5249-48B2-A98E-23D53D3D5E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35" stopIfTrue="1" id="{0198C0F2-A589-4B59-909A-5B7DC7B416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34" stopIfTrue="1" id="{49029EE1-EB71-4C72-A4B9-C59625C64A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33" stopIfTrue="1" id="{D2A1FC1A-AB69-467B-B357-843FBF73C4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32" stopIfTrue="1" id="{90B6F7AB-278C-4670-99C7-FF7A32889F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31" stopIfTrue="1" id="{C3D3D973-FAF4-4F1E-AA57-F83240480D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28" stopIfTrue="1" id="{A7163C87-D910-4D0D-ACD2-DEB58DD33E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27" stopIfTrue="1" id="{B0DECC0F-2FAC-4103-9447-D58198E590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20" stopIfTrue="1" id="{D93F3494-723E-4876-93B2-E9B45E8C03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19" stopIfTrue="1" id="{3CCF8E52-7FB0-4B38-864D-ABE3CA4854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88" stopIfTrue="1" id="{E541965F-A2AD-4772-BFAE-3A30B0C235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487" stopIfTrue="1" id="{F412CF32-FB66-4444-8F4D-F5BE975926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486" stopIfTrue="1" id="{9C705D8A-DFD6-48A5-9BF6-E08AF7F201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85" stopIfTrue="1" id="{DE12DA88-7533-4603-AE7C-02CD3B2E96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84" stopIfTrue="1" id="{26B8FBC3-899E-4CFF-B175-4C2434CAB9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83" stopIfTrue="1" id="{DE0D0129-14D1-4FE6-B847-F5BE2783BB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80" stopIfTrue="1" id="{B017C727-D955-40EA-836E-5D48A694E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79" stopIfTrue="1" id="{71151AAF-ADB6-46AF-97DE-098EDB200A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72" stopIfTrue="1" id="{A22F57F1-BEA5-403B-AA03-5678D259F6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71" stopIfTrue="1" id="{44C1ACC7-F062-4397-A358-6D611298A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24" stopIfTrue="1" id="{85C4D067-D1B2-4B9C-B810-B0B163FF72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23" stopIfTrue="1" id="{33F72BDC-BDC3-4285-AA91-10BACD385B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22" stopIfTrue="1" id="{0662F490-02EB-4670-A9F4-8F9B7B23A5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421" stopIfTrue="1" id="{09C4BC7E-C153-4AB0-A566-2B42AFD206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420" stopIfTrue="1" id="{AD46B609-0FE4-4908-A83E-B6FE3231D7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419" stopIfTrue="1" id="{4A6CCA26-86D4-433D-98CA-69259C3E01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418" stopIfTrue="1" id="{6E99A8BC-F1E6-46E4-941F-0861AB8E6B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17" stopIfTrue="1" id="{92E7AAC8-1AB0-4CF9-BE50-7BEDF09B10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16" stopIfTrue="1" id="{3A5D263A-E96C-4109-99FA-7775D1769E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15" stopIfTrue="1" id="{26FD4596-2F4C-437F-83A4-DC404BAB9B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14" stopIfTrue="1" id="{36EBDF40-4075-4E0E-A1F1-17B0E44374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413" stopIfTrue="1" id="{E9A09600-ADC3-4F80-97E9-88C17F89BE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412" stopIfTrue="1" id="{3FF63DFD-F95C-4519-A5CD-320C6ABCC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11" stopIfTrue="1" id="{BDA55E9D-7AE8-475D-828E-90542DD1C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10" stopIfTrue="1" id="{F82C1A47-8C53-42E4-9D0B-09964968A0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409" stopIfTrue="1" id="{EEBFC7A8-91E2-437F-A1A3-6BA00A662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408" stopIfTrue="1" id="{3C897459-A95E-41F6-A02E-CF9D88169A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407" stopIfTrue="1" id="{15CBE12E-28F4-4A0C-9394-2B771E0BF9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406" stopIfTrue="1" id="{2A4399A9-61FD-4F22-8811-2F1CB63C76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05" stopIfTrue="1" id="{CCF133A0-4E87-4441-83BB-2B76D56822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04" stopIfTrue="1" id="{512F2DEC-C25F-49DA-B670-D0635EAE24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03" stopIfTrue="1" id="{F703EA66-C1D3-4866-8DFE-97F35FC95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02" stopIfTrue="1" id="{43072DD5-3C10-428A-AC47-0DE8CC020E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401" stopIfTrue="1" id="{BB61D069-680A-459F-A7D2-E3DCDBF464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400" stopIfTrue="1" id="{B7D4A92A-56FE-4760-A05D-3665D6476A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99" stopIfTrue="1" id="{B783C650-82BE-48DA-B742-FC8B1BEC25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98" stopIfTrue="1" id="{ECCA553F-DAE2-4BEE-804E-F7BA6A2021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97" stopIfTrue="1" id="{5340A1BD-F04F-4F47-8652-866ABD6AF0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96" stopIfTrue="1" id="{64C1094A-EF51-47B0-B36E-2D4644B206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95" stopIfTrue="1" id="{9441816F-DAE9-4EC8-8FBE-F302F75ACB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94" stopIfTrue="1" id="{07617433-B9C9-4EA8-ADDF-17C6051B5C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93" stopIfTrue="1" id="{88109E7C-2625-40E6-98A9-559E387C36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92" stopIfTrue="1" id="{4FB06C7D-D694-4097-84A1-BBEC5B94B0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91" stopIfTrue="1" id="{CCF151FA-CC1A-486E-B8F1-57DB981071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88" stopIfTrue="1" id="{0FFC3BC9-A5C0-4A33-9844-FFBD193B8F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87" stopIfTrue="1" id="{67B11233-C963-4CF3-AA33-A89545A18B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86" stopIfTrue="1" id="{81560FF9-FD67-411E-B65A-C7910D08CB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85" stopIfTrue="1" id="{1DA46D18-81A5-4890-86E4-3555F55D4A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84" stopIfTrue="1" id="{9AE46741-1557-4568-802B-C084DFE40B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83" stopIfTrue="1" id="{7B98BDBE-F957-4DC9-A860-7D4CB1A50E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80" stopIfTrue="1" id="{FCD8A8E6-D7F6-4AD4-89A8-32004C94C6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79" stopIfTrue="1" id="{ACFC8EB1-291C-41DB-AF1B-2F980C487E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72" stopIfTrue="1" id="{CD5147A2-839C-447B-A712-4D0DD6CE94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71" stopIfTrue="1" id="{56C3C4B8-4815-4E16-8809-8122C8288B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56" stopIfTrue="1" id="{64C04A47-B11D-4231-A044-093D97F497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355" stopIfTrue="1" id="{37A2C04E-06F3-417C-8F23-50E7708274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354" stopIfTrue="1" id="{C0B2BD38-5E98-4E05-86B3-BEABE1DA57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53" stopIfTrue="1" id="{27E6B2B7-968A-4512-AE09-240F75ED15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52" stopIfTrue="1" id="{F9494ADF-273B-489A-A67E-93CDFA67C0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51" stopIfTrue="1" id="{37A94520-DC7B-4303-B637-1F09E2508C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50" stopIfTrue="1" id="{C8993483-7EE2-463D-B60D-D88F1725F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9" stopIfTrue="1" id="{1C6D5977-0852-4516-8940-8C74E117B2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8" stopIfTrue="1" id="{43B8FAFD-1E8B-40EC-BA95-37FFD1B5BB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47" stopIfTrue="1" id="{3B5633F2-CBCE-4E55-8226-8850E2A504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46" stopIfTrue="1" id="{44FA10D8-CB22-4E8C-ADC0-FDF2A9A5B1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5" stopIfTrue="1" id="{0ED6BEAA-7151-4123-8997-68157BF882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4" stopIfTrue="1" id="{9A046564-03F2-4501-B906-71432A32CD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3" stopIfTrue="1" id="{38ED9ABB-2F75-46D8-A24F-0A92D5739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0" stopIfTrue="1" id="{434CD8C7-6397-4A00-86F8-41A068FC3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39" stopIfTrue="1" id="{1F043456-78E2-4C3B-A513-90428EFB34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38" stopIfTrue="1" id="{CAD84CE0-183A-45E1-80B9-7344D069CD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37" stopIfTrue="1" id="{658C7DE3-3D24-4F5C-A7A4-DFADB8ED32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36" stopIfTrue="1" id="{FF1E6683-3A70-4C29-874D-497C386D84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35" stopIfTrue="1" id="{36A72440-9557-46EA-BCC6-7912C8EC70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32" stopIfTrue="1" id="{A622E5B7-8FF6-4287-9662-295E6BD6AB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31" stopIfTrue="1" id="{2FD91300-7618-471C-875B-72F75327A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24" stopIfTrue="1" id="{2ED99EDD-C50C-417E-AD12-F7680D72B1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23" stopIfTrue="1" id="{984CDE92-52A0-46E4-9860-2FFDE56174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92" stopIfTrue="1" id="{8B1F24CD-4C0D-49AB-8B43-106FB725CA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291" stopIfTrue="1" id="{DD6CE07D-E288-430D-A6AD-30D9C4AAB3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290" stopIfTrue="1" id="{3BAB4FF6-E577-445D-B524-EE59E298E9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89" stopIfTrue="1" id="{1CDE4857-880A-4302-A180-E14FBAFDD9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88" stopIfTrue="1" id="{EF299C69-62B3-4AC1-8799-EB0E03F43D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87" stopIfTrue="1" id="{A4767FD9-E776-4434-A00F-1149535588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86" stopIfTrue="1" id="{37A295EF-66AC-4CC9-B5B1-E2269738C8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85" stopIfTrue="1" id="{F0BD33C9-C2F9-4934-AD7E-A3FA95832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84" stopIfTrue="1" id="{3DC4B959-AFC4-4865-A6BC-2F7E7BD65B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83" stopIfTrue="1" id="{9EE1C3C2-E6C8-4307-B35C-94FB1E60B9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82" stopIfTrue="1" id="{DC813ECE-C210-4AB3-8402-DAD83F4146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81" stopIfTrue="1" id="{BCD0CBBC-26BF-4F9E-9759-98F8F51DB5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80" stopIfTrue="1" id="{FF31DFC0-7C73-4EB5-A28A-940CC66CA0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79" stopIfTrue="1" id="{248FF0BC-11DF-454E-BFFE-30A439CDC7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76" stopIfTrue="1" id="{E5907844-7583-429C-B39D-1F363DFFDD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75" stopIfTrue="1" id="{0B992ACE-91B4-4ADC-B21D-C3F8568A5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74" stopIfTrue="1" id="{6B55323F-1EE5-41D1-A1F0-E396D1D097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73" stopIfTrue="1" id="{CD8E7DDE-4707-4428-98B7-C65985B389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72" stopIfTrue="1" id="{0DFE7354-3F76-44B8-A902-EE47305B53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71" stopIfTrue="1" id="{C41CE382-59F1-49BB-A2A0-A92059F1D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68" stopIfTrue="1" id="{33951212-570C-4976-B5BD-80A13F23BC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67" stopIfTrue="1" id="{F867920C-5B70-4D0B-83CE-097CAD9AD1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60" stopIfTrue="1" id="{08BF0677-2B5F-4A96-8D37-FB66F0F2A2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59" stopIfTrue="1" id="{D85CDAEB-FDFE-4E74-A047-4F6C8C8C9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28" stopIfTrue="1" id="{C5C8C421-9201-410C-B8E6-14BB7D806C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27" stopIfTrue="1" id="{AB9CA3E7-9574-463F-A483-112CE2812D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26" stopIfTrue="1" id="{CB9A30E6-377A-4449-BD3A-8A12BE128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25" stopIfTrue="1" id="{944EE89C-AD1D-4304-9C21-BD55FDA691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24" stopIfTrue="1" id="{BD0C736C-B440-40D9-BFCF-4614B6DAF0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23" stopIfTrue="1" id="{4BF63AA4-00C9-46B5-B345-C70B52E54F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20" stopIfTrue="1" id="{4919121D-A2F2-4190-A1DC-FF10D9DA5C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19" stopIfTrue="1" id="{9A6B459A-4DB3-4324-88A5-1A12EC95A1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12" stopIfTrue="1" id="{3B4D5FD1-E14A-4AE5-8FDC-20981742D4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11" stopIfTrue="1" id="{F136EE94-8629-44CE-9D0C-00C475F65A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64" stopIfTrue="1" id="{4A61F83E-0DDF-4753-969A-48083CC46F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163" stopIfTrue="1" id="{230DF94A-F347-42A2-A6C5-D851DB7AA1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162" stopIfTrue="1" id="{B1879A75-0D64-42F5-A41B-0C4B59571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161" stopIfTrue="1" id="{F4071714-F922-48D1-96D3-E1569BD50C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160" stopIfTrue="1" id="{9060834C-A319-4B8A-B168-B650C9C9F1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159" stopIfTrue="1" id="{3B5F9242-F3D3-45B6-99F0-462CF65B52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158" stopIfTrue="1" id="{1109E3B2-6E30-4E18-B533-4C547CBFE1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157" stopIfTrue="1" id="{F4E4BE78-3962-4F78-B654-7990946A3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156" stopIfTrue="1" id="{99E8F826-E2B2-4AF5-8338-0F445F6FED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5" stopIfTrue="1" id="{E178A4C9-8D68-4920-B629-41247321D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4" stopIfTrue="1" id="{67AE17D2-5120-43B6-891A-A3CED99526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3" stopIfTrue="1" id="{B9F3263D-14E8-41FB-9B47-8A7EAE91EE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2" stopIfTrue="1" id="{4A7E0986-BADE-4CBF-AE59-C680CC6904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51" stopIfTrue="1" id="{8A93AD0C-48A4-4E96-B19F-91A7AE53E0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50" stopIfTrue="1" id="{43F56729-CE9D-4DB1-AA94-7A4EAB596C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49" stopIfTrue="1" id="{C156020F-D5DC-493F-894E-7F4FC38817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48" stopIfTrue="1" id="{4E5DA0C2-0BEF-4D1A-BA92-6A1CDF591B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47" stopIfTrue="1" id="{9380168E-016C-4D9E-87E5-A4205A4FB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46" stopIfTrue="1" id="{10A37520-EBEA-4BAE-BEA6-FB90DA474C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45" stopIfTrue="1" id="{46D142B3-A8ED-46AA-913D-2235229C4E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42" stopIfTrue="1" id="{B7B7732A-E605-4893-A944-481FEA41B9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41" stopIfTrue="1" id="{6DE9C395-2353-42E6-AEDB-1D1C3054B6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40" stopIfTrue="1" id="{14CD7A24-57DE-4D9F-834D-B1E92066D9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39" stopIfTrue="1" id="{9AF54839-27D1-4B03-B3B3-96F470E36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38" stopIfTrue="1" id="{EE0F6A4E-10C9-429E-8A4B-36BFEDB33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37" stopIfTrue="1" id="{E6FF346D-C7FD-4DC1-A301-C1A9B18C0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34" stopIfTrue="1" id="{3E92C2CB-9E3F-4F35-9848-89DA5AD86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33" stopIfTrue="1" id="{860DCF3C-944C-4538-BFC9-396D40D6E2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26" stopIfTrue="1" id="{C7450433-B85D-46C2-966D-231CC91AAE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25" stopIfTrue="1" id="{640B0A0D-CE24-470E-BE23-F85FCC8CD6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94" stopIfTrue="1" id="{8A6CBD5C-D08F-4D3C-BD5F-405DF0C81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93" stopIfTrue="1" id="{FA6001A2-2448-457C-8F56-800F4969B2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92" stopIfTrue="1" id="{3D03E5DD-1CDB-4140-B8BE-0FEE78F581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91" stopIfTrue="1" id="{C30B065D-AE38-49D3-9069-B931A10BB5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90" stopIfTrue="1" id="{B44F112F-2B9B-4832-A00B-0686D4BE36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89" stopIfTrue="1" id="{E32E4202-7407-40CB-A90E-EDC63BB901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86" stopIfTrue="1" id="{6518F1E9-B073-479E-B22B-BC59C9723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85" stopIfTrue="1" id="{B0AE881B-5929-4A28-9A0E-844E60529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78" stopIfTrue="1" id="{214CEFEC-A7EE-4EF3-883A-DCD0FFFF09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77" stopIfTrue="1" id="{8F65A04D-1E08-4AF0-9ACE-C0696CBF0E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30" stopIfTrue="1" id="{BEE268CB-4A32-4B03-8D59-EBA94CDD4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029" stopIfTrue="1" id="{1065CEB3-FDE4-4957-9111-13FB7EFC37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028" stopIfTrue="1" id="{31074880-7AA6-4EC3-8085-AC61A88BC3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027" stopIfTrue="1" id="{524277E7-F136-4F39-A3CB-F1BB74B4D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026" stopIfTrue="1" id="{58CA83DF-393A-4944-9FB1-6E8DA5988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025" stopIfTrue="1" id="{5493AB22-AFA7-439B-B1B7-DC051E3DA5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024" stopIfTrue="1" id="{31961D03-A0ED-4894-A487-F84F69D24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23" stopIfTrue="1" id="{1463EC6D-900A-430A-8D33-CD690E1B17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22" stopIfTrue="1" id="{1ACBE6BA-5FBB-4544-A724-F4BCE5ED98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21" stopIfTrue="1" id="{F5B4A48C-980E-4A4D-8474-46B0805CF9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20" stopIfTrue="1" id="{CD1BE8BF-FE54-4C85-8189-57A10E65D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19" stopIfTrue="1" id="{E3716AF3-2C90-4D33-84E4-4E86951C1D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16" stopIfTrue="1" id="{6BDDF0AE-D5FC-4C74-A6E9-5B7953ECCA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15" stopIfTrue="1" id="{AC4279A6-429D-4CA1-B1D1-8399877106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08" stopIfTrue="1" id="{858D3AA9-F1EA-4238-9151-896A835E3C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07" stopIfTrue="1" id="{15D78E96-B15A-45EC-A0C0-F1F3969526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60" stopIfTrue="1" id="{099A25B2-6665-4AB5-9BE8-0BC33AEEAB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959" stopIfTrue="1" id="{F3B0A5B0-6DFE-457D-A671-C5DEDAF40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958" stopIfTrue="1" id="{43C27AC7-F118-4F5F-B097-2961BF96D4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957" stopIfTrue="1" id="{6B457ECA-0DE7-4989-A215-74A46D6FA5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956" stopIfTrue="1" id="{EF802F8B-1AEF-404C-9F3E-BCC75E4F28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955" stopIfTrue="1" id="{DCF7F247-8D03-46EE-AC1B-A134B451B6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954" stopIfTrue="1" id="{04BBB37E-F154-4091-99B2-E7935D2954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53" stopIfTrue="1" id="{2CA3ED7F-A488-46AE-A3A7-CC0DF49782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06" stopIfTrue="1" id="{F3D93A7F-5EDB-4B8B-94F9-066E83D557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905" stopIfTrue="1" id="{FA330564-C1FA-49E1-A224-B445A2C552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904" stopIfTrue="1" id="{A3D90390-F0B2-45AF-B8FA-FD5EF0B1C3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903" stopIfTrue="1" id="{9B5B9A3C-A6BE-400A-B3EA-46B0A4E16E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902" stopIfTrue="1" id="{CE28F570-37AF-431D-90DF-AFC1BD6E93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901" stopIfTrue="1" id="{167B4F4A-7BB6-4B9E-A8B4-73984FE4AF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892" stopIfTrue="1" id="{BD5C3853-A197-4A32-B21F-0F43A3D10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891" stopIfTrue="1" id="{61A69995-7227-4325-8E3D-C8A36960C1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890" stopIfTrue="1" id="{CAB1DED7-9A0E-4041-8227-9098D676C9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889" stopIfTrue="1" id="{84393ADD-2E22-4AED-9249-4E4A1D9778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888" stopIfTrue="1" id="{B4E8338F-6BC6-4F9D-9193-595D4D7B7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887" stopIfTrue="1" id="{CC94D1CE-E02A-4D81-8391-98D6170D27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882" stopIfTrue="1" id="{9E32B5A2-BB5D-4357-ACB5-E52A7A55E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881" stopIfTrue="1" id="{B11D3011-DB01-4A40-A745-A4CACE70E0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880" stopIfTrue="1" id="{A7CE7AFC-5013-440B-AFCB-AE5B4CBA0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879" stopIfTrue="1" id="{81A8D0A6-E3B5-4066-B1B7-904C3A11FB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878" stopIfTrue="1" id="{B59C8EE9-BBD1-4447-AC0F-58B9AF6889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877" stopIfTrue="1" id="{50BA3EC1-6D39-4674-823A-FDBF4EBDDE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874" stopIfTrue="1" id="{9BCED26B-1812-46CD-8B89-A5334D281C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873" stopIfTrue="1" id="{B06FE0A8-A5F1-45F4-A8EE-8D5596EBB1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872" stopIfTrue="1" id="{BBB9A940-3117-44C4-8275-A2116688AB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871" stopIfTrue="1" id="{922E8EEE-BC2C-456F-A6F6-BF604766A2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870" stopIfTrue="1" id="{A5F27623-204D-4440-B03A-F3D5C310F0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869" stopIfTrue="1" id="{2C16794E-1A38-43CA-B16E-B2637FE287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868" stopIfTrue="1" id="{309DC13D-4E74-4552-8C6E-F062937DE6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867" stopIfTrue="1" id="{52F0C6F4-8544-40AD-8215-B1DCC63263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2866" stopIfTrue="1" id="{432A28A3-674E-436F-8B20-E23C2585E0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865" stopIfTrue="1" id="{071FBA3D-2B98-4A29-882A-A01F5A42A8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2864" stopIfTrue="1" id="{8B2142F1-916C-49FD-B530-F5D0905C84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863" stopIfTrue="1" id="{9ECA68F3-AA9B-4111-8135-FA2A3157E2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2860" stopIfTrue="1" id="{7613E483-F1D4-4121-B9C5-AD13BF317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59" stopIfTrue="1" id="{1B58F169-8DF6-4159-BDF2-1DACF9327D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58" stopIfTrue="1" id="{48049B38-41C4-4864-B81A-730B789637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2857" stopIfTrue="1" id="{C9EB082D-1494-4EDB-AB74-022FBE13B1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2856" stopIfTrue="1" id="{A7A5EED3-790B-4446-921E-C983045F4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2855" stopIfTrue="1" id="{1769C8E7-B083-4704-8F8D-A82A04B221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2854" stopIfTrue="1" id="{5F5ECFDD-A904-4E40-B33A-B7BBD83FBF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53" stopIfTrue="1" id="{472919F1-C757-45FF-B11C-E815AAE918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52" stopIfTrue="1" id="{4928399D-B8A1-4DBC-BE44-5F65ED498E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51" stopIfTrue="1" id="{C4BF90AA-BB59-4E3A-BDD7-521AA73C80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50" stopIfTrue="1" id="{9D169F39-5400-4AEF-BBCB-15FCFF0247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49" stopIfTrue="1" id="{03D6DB94-77FA-4E2E-89E3-274ADD720E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48" stopIfTrue="1" id="{F118AFF1-F0B7-4286-8675-23D8B92BA5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47" stopIfTrue="1" id="{629060ED-9BF6-4DBB-A3F6-B5CC681BF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46" stopIfTrue="1" id="{2F57FC47-2356-4E49-BC72-ED83091A4E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45" stopIfTrue="1" id="{1FA389D1-7201-49F1-AD8B-05A296A234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44" stopIfTrue="1" id="{D1604733-1B40-483B-9000-C1F748D422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43" stopIfTrue="1" id="{56EBBA00-B02B-40FF-A223-A3D119D28B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42" stopIfTrue="1" id="{8133AE74-5A0E-463D-8FFA-6204BCE059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41" stopIfTrue="1" id="{EDA47FC4-DE4B-4C34-A640-765E97B04F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40" stopIfTrue="1" id="{FF275007-AA31-4AA3-ABC7-B61656E551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39" stopIfTrue="1" id="{EB88E583-1F0C-4D43-BAA0-67CD4E1921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38" stopIfTrue="1" id="{9D1D4A67-0C73-4CF7-9C9D-857AFA8D9D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37" stopIfTrue="1" id="{5247F1C0-A6DA-46DA-AA3B-B907BB117B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36" stopIfTrue="1" id="{E0560FD2-05C5-4FB6-8D84-B33096696D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35" stopIfTrue="1" id="{9BBA8A5B-C349-46EA-A26B-BB7563F490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34" stopIfTrue="1" id="{DA50126D-BE19-40C7-9DDE-8AE44E70D4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33" stopIfTrue="1" id="{A1B94458-1D53-499A-9BE2-CF2BE6FAF1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30" stopIfTrue="1" id="{0F3EDDB3-FB79-4469-9077-388A57ECDF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29" stopIfTrue="1" id="{8F458B68-BC38-4A72-B29D-EE240B98B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28" stopIfTrue="1" id="{CF4B09DE-4BDE-4D62-ABB7-684E97ADB2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27" stopIfTrue="1" id="{ED775F5E-7E09-4C1B-BF16-C999F465F9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26" stopIfTrue="1" id="{40F33E57-ED98-43FE-B23B-468A04B5CB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25" stopIfTrue="1" id="{AFC6F3A6-3AFF-4E23-A32D-CDCDF0E0B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22" stopIfTrue="1" id="{AB6751D5-A14F-497A-B2FB-49055541DB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21" stopIfTrue="1" id="{E6323601-258C-4714-8B00-012D1682A8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14" stopIfTrue="1" id="{B99CE8EC-89AE-46A8-9487-080AC5B69E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13" stopIfTrue="1" id="{1F396E63-AC0D-4417-B0CC-9667FDC1D3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12" stopIfTrue="1" id="{17D77C33-4018-4418-B823-05F7492A96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11" stopIfTrue="1" id="{C4007AED-03A4-460B-BF52-EACBB74A4B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10" stopIfTrue="1" id="{15E0ADEF-E548-43AC-9C9F-2157DAB126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09" stopIfTrue="1" id="{825A5CA6-498C-4658-B130-4A5D8DECE7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08" stopIfTrue="1" id="{204E35F8-E717-4124-8B63-4658A46FF6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07" stopIfTrue="1" id="{9ADC8684-84EA-4AB6-863F-81FD01BE27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06" stopIfTrue="1" id="{5748404F-DD34-4518-9464-ED3400516B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05" stopIfTrue="1" id="{EF345CD8-7A07-44C3-8BF7-0481566685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04" stopIfTrue="1" id="{74AE6853-36E4-453C-831A-052FC9761F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03" stopIfTrue="1" id="{99ED765B-9360-4EDA-8863-AAB958C475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02" stopIfTrue="1" id="{016ABA52-5142-4DE1-B809-CA2341DB53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01" stopIfTrue="1" id="{8C3F1CC6-0D0E-4D4A-AE49-8C7C7F58CB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00" stopIfTrue="1" id="{12DCF9FD-28DA-420D-B548-D8ADAFE57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99" stopIfTrue="1" id="{1DB659AA-5040-4E48-B5FE-FBA66F2A25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98" stopIfTrue="1" id="{C9288BB1-EC57-44F2-9A3E-190E27DABD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97" stopIfTrue="1" id="{26BD6CE4-3497-4D78-BDCF-B0BE69159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96" stopIfTrue="1" id="{31993A99-8B6D-4E62-9625-7B080C01A8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95" stopIfTrue="1" id="{9C881333-A3B1-4F8D-9486-2FCD894B23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92" stopIfTrue="1" id="{9001978E-EB7E-449A-8E1B-9B627D355A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91" stopIfTrue="1" id="{6D15D0F3-C5B9-4E54-8206-203FB5C9DE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90" stopIfTrue="1" id="{A9446CE5-F7E0-43C6-B004-69A1DB2F8D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89" stopIfTrue="1" id="{90F6CC63-2206-4602-AA0B-0A2ACC153D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88" stopIfTrue="1" id="{4AEA490C-BEDF-4FB7-BC46-3F58185D14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87" stopIfTrue="1" id="{8F6ED950-FD5A-494B-9CBD-50F2145489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84" stopIfTrue="1" id="{F3398F85-1ECA-40CF-91B8-1CE4FD58CE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83" stopIfTrue="1" id="{71E4AA95-6753-4DB4-AFC0-A9EF3A5495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76" stopIfTrue="1" id="{D9459603-98B9-4803-8052-FC59145DDA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75" stopIfTrue="1" id="{BF0465B5-D319-4138-8B92-E58E03B15F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60" stopIfTrue="1" id="{90CC998E-CB79-48B4-833D-B40ACC5895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59" stopIfTrue="1" id="{FF266CA9-CE1E-4AD0-92B2-BC0503811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58" stopIfTrue="1" id="{EFF9BD98-6077-492C-8A77-71875821BC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57" stopIfTrue="1" id="{776338B1-B02A-4C2F-9BE3-EA6E3A9EBC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56" stopIfTrue="1" id="{53F33B7E-F0A8-4E3D-9E32-95BB18437A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55" stopIfTrue="1" id="{ED88BEE5-2135-4CD0-B03C-D43ACE5FDA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54" stopIfTrue="1" id="{BB6F1452-874E-4CB5-9CF0-7A87639DE4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53" stopIfTrue="1" id="{5168DD6E-4470-4817-9892-419912ED74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52" stopIfTrue="1" id="{CFEE8F2A-BF10-4FB8-940D-4A19E43A73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51" stopIfTrue="1" id="{53696F6F-D686-4ACB-9F22-2A575E31CC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50" stopIfTrue="1" id="{C4E401AF-8759-4FA6-B9C3-802748092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49" stopIfTrue="1" id="{9E62EBC4-2DC5-4405-B353-EEA7247D05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48" stopIfTrue="1" id="{FF02DF62-2AA3-4CEF-99EA-4F2783794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47" stopIfTrue="1" id="{9055FB42-E64C-4632-9ECC-41306F5522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46" stopIfTrue="1" id="{22CE138D-32CF-4821-92B6-95292FE759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45" stopIfTrue="1" id="{0BF3B09D-DC18-4FA7-8E6A-D660F40D41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44" stopIfTrue="1" id="{9AF53552-1DF2-4D2E-A941-DDC1EC3C3E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43" stopIfTrue="1" id="{27BB4603-BB3F-48A3-B94A-7139DF5944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42" stopIfTrue="1" id="{FA51141E-5818-4755-9338-926A30929F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41" stopIfTrue="1" id="{8439105D-805B-4171-AAA5-4C45F13B88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38" stopIfTrue="1" id="{577DCB71-18E6-4B97-A6AA-0DEEEC6F8D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37" stopIfTrue="1" id="{2F187ED9-C1E4-46DE-8FB1-748FFE60F5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36" stopIfTrue="1" id="{71032E63-1FA3-49AD-A48F-6BB6C6CAF0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35" stopIfTrue="1" id="{A94D7976-FE80-43A7-BD36-02CF4FCEA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34" stopIfTrue="1" id="{2033F155-867F-407C-94F9-19BB6F4521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33" stopIfTrue="1" id="{B65E4CDC-BF59-4FF6-B826-1E8ED8745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30" stopIfTrue="1" id="{3DEBB049-B5B4-4CFB-8300-6B4515D96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29" stopIfTrue="1" id="{16192FEE-E06A-45F1-AD94-C8A682800C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22" stopIfTrue="1" id="{F3F32D2F-356D-44E9-8719-47586F6218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21" stopIfTrue="1" id="{258ADC2C-56A7-41D5-B812-EDC94427CC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06" stopIfTrue="1" id="{CFE5F87B-E58E-4176-8E79-31EE16F95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05" stopIfTrue="1" id="{CE1001ED-B709-4387-9CA6-1B4F58F45A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04" stopIfTrue="1" id="{D97151DB-660D-42BE-8555-ABCFD3A728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03" stopIfTrue="1" id="{F5B7D33A-331C-4098-93C2-495F44AFC6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02" stopIfTrue="1" id="{5876AE3A-C83F-440C-A530-6F78094785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01" stopIfTrue="1" id="{4A9A20CD-5A61-4A8B-89AE-293DE61C64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00" stopIfTrue="1" id="{B826D2EB-BF3C-4D09-A56E-8989AE0264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99" stopIfTrue="1" id="{7941DDE9-3EA2-4637-95D3-4F05CBFDDC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98" stopIfTrue="1" id="{3748AC5C-4C54-4B8E-A183-8358131EFE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97" stopIfTrue="1" id="{2D9DFAC8-118E-4A9B-B110-FBC51959F6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96" stopIfTrue="1" id="{1DA5C1EC-A09D-44E6-BB3B-1B9E583BE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95" stopIfTrue="1" id="{DC9F6B31-16B4-42A5-BEAD-88F9EC8B2C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92" stopIfTrue="1" id="{B1A38133-1A3C-4F44-8A50-32BF5507BC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91" stopIfTrue="1" id="{44442D8B-8DE8-4E46-8FC2-37FD06C4AF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90" stopIfTrue="1" id="{12947A6E-A702-4E89-AB1E-E6840D8FF4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89" stopIfTrue="1" id="{C77A1E66-2BB7-4BFD-BEB1-7F77B7549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88" stopIfTrue="1" id="{437EF222-3CA3-425D-9BA7-70A6AC32A7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87" stopIfTrue="1" id="{A6B0A4E2-365D-4574-A9CF-C7CB1EF547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84" stopIfTrue="1" id="{F8EBE9E7-4839-4AB2-8FDF-DB7422363A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83" stopIfTrue="1" id="{8C902788-4FBD-4AEF-B884-EB4A2F0D26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76" stopIfTrue="1" id="{108E840E-88FD-4349-A9C9-5C30F525D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75" stopIfTrue="1" id="{1522812E-278E-4BC2-8D1B-F246A562AE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44" stopIfTrue="1" id="{89B8257D-D724-4D2F-B8AE-F2A4FD86E0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43" stopIfTrue="1" id="{73E4AD6B-2D16-43C0-AEF3-019CD26329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42" stopIfTrue="1" id="{447DCD30-F921-4229-8A39-4ADCF1C39D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41" stopIfTrue="1" id="{9B284498-B5C9-4E62-8F01-645020D561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40" stopIfTrue="1" id="{0EE84334-95E7-4ADE-B621-3A72FA4A2C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39" stopIfTrue="1" id="{50E917F2-062C-4226-8CB6-6E818B4615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38" stopIfTrue="1" id="{596B1946-C0C0-4A6E-A80F-E4BD999E44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37" stopIfTrue="1" id="{F200610F-1C4C-41A5-9DA1-E438A8E439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36" stopIfTrue="1" id="{CCF24C81-313B-4D81-8E99-8A138040A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35" stopIfTrue="1" id="{9394B89E-C081-4463-91F9-4D90289CE8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34" stopIfTrue="1" id="{3B23E545-7AE6-489C-8DFF-9760F99BF3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33" stopIfTrue="1" id="{5FF23E27-B56A-4F1F-AE13-39F4BF0ED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32" stopIfTrue="1" id="{FBB09773-D4C5-4878-8CE9-0446C3439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31" stopIfTrue="1" id="{24940DAE-CE98-45AF-A744-6B7AE520EC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30" stopIfTrue="1" id="{241217EE-DDC9-4E15-AE4E-90395BA7E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29" stopIfTrue="1" id="{B2E6F8C2-F877-4BEF-AA9E-5940C824C7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28" stopIfTrue="1" id="{320A80F3-014E-4DC8-92D2-4D2E58385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27" stopIfTrue="1" id="{80A61A18-46E4-451B-81EF-41235E2533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26" stopIfTrue="1" id="{FFE7EF08-5562-4A3D-BDFF-09DF43DF89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25" stopIfTrue="1" id="{94E0DF6E-1A33-4E26-A064-8D714B91B8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22" stopIfTrue="1" id="{2918E12A-7DA1-489E-B97B-26B9C4F24A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21" stopIfTrue="1" id="{B5758445-D5F3-4D18-BE59-D8E8F895E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20" stopIfTrue="1" id="{AC6EFCD2-3EC8-474A-AD3D-E11E3FD9E4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19" stopIfTrue="1" id="{7AF341ED-9F16-4963-9AA3-93A4A70C40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18" stopIfTrue="1" id="{C5B6C054-AF65-4471-8E52-8548C096C7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17" stopIfTrue="1" id="{C82B52D0-8FFF-4947-AF15-B6FB8FA890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14" stopIfTrue="1" id="{424C37E3-6499-490A-9BB1-CBE9DA8194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13" stopIfTrue="1" id="{632DD518-AA18-4B5C-A31B-797018B6C1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06" stopIfTrue="1" id="{9B0F1CD4-23DA-4EB0-9269-B3D1897FD0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05" stopIfTrue="1" id="{F42B0C8F-E3E5-400B-8327-40A28EFD5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90" stopIfTrue="1" id="{C126BE86-F505-41B5-9361-4ECC58E87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89" stopIfTrue="1" id="{1608497D-A3E3-40B2-BEE8-D1FD2C29B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88" stopIfTrue="1" id="{BF60766E-1D42-4A60-9F05-06BB3C3F2A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87" stopIfTrue="1" id="{7A1BB31C-3953-45B3-9F9E-DDC5AA738C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86" stopIfTrue="1" id="{DCC8CD7A-FA29-4C85-80B5-BCA8132FCE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85" stopIfTrue="1" id="{39D06A13-15E4-4897-99E6-A993E3B434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84" stopIfTrue="1" id="{D3AC3B53-D20B-4CED-9148-F1CDF45415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83" stopIfTrue="1" id="{797E2873-BFDF-4D54-8642-6376693418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82" stopIfTrue="1" id="{3B974724-B456-4240-B957-D6A6E92DC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81" stopIfTrue="1" id="{A94AD68D-6C9F-4C18-BCB2-921B7548AE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80" stopIfTrue="1" id="{B9D3B117-3D7E-44AF-AD48-B4A15A08FF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79" stopIfTrue="1" id="{5322C571-768A-4D81-A3A0-0711C4A10B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76" stopIfTrue="1" id="{6A20C652-4A61-4FCA-B988-6142299EEB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75" stopIfTrue="1" id="{37B18A95-3AE4-4E8F-8163-D2D3F1665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74" stopIfTrue="1" id="{CEA8E308-81B4-4F34-A3C1-D894B0A9CE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73" stopIfTrue="1" id="{7A8F7F43-E944-44B4-A30B-60BDBB02A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72" stopIfTrue="1" id="{38E6972E-14F5-4E24-B66E-68A3B9198B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71" stopIfTrue="1" id="{5D5E0DE3-C5B2-45ED-A825-1396C01C51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68" stopIfTrue="1" id="{8E0EF8CE-BFC1-4BBC-A188-AC35259B5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67" stopIfTrue="1" id="{51CE5B31-EFD0-4A8C-96EA-FC03292A78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60" stopIfTrue="1" id="{4676BD16-32E4-44D0-86B2-F749ECB77E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59" stopIfTrue="1" id="{57827841-8D9F-44F1-ABD6-47213C79C2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28" stopIfTrue="1" id="{DC23A615-CAE1-41FC-B842-612A80962B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27" stopIfTrue="1" id="{25F1646F-CF67-423A-B9EB-C375E64E8E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26" stopIfTrue="1" id="{F688B5F3-1303-4032-B557-1D81138D1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25" stopIfTrue="1" id="{F647993A-C335-4B22-977A-9715C1CD3C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24" stopIfTrue="1" id="{1048653E-594C-48CA-834F-B01A849FD5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23" stopIfTrue="1" id="{735F2625-F73F-4BDA-A5D6-183CB5416D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22" stopIfTrue="1" id="{9325F92A-B4B3-407B-8E30-3310A7CBCB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21" stopIfTrue="1" id="{F4DDDD7C-458B-4A3E-B1CD-17D065A23D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20" stopIfTrue="1" id="{FBA3135D-5183-4947-8E17-238226C326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19" stopIfTrue="1" id="{4ED40CD1-F07A-485B-BF63-48457492A3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18" stopIfTrue="1" id="{C47C4DE2-95EA-4FFC-9FF6-6C0E862997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17" stopIfTrue="1" id="{228C9CF6-2A07-4002-BA02-6A18F3A35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14" stopIfTrue="1" id="{BE6177E8-D963-4E54-AF12-6BD11308F9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13" stopIfTrue="1" id="{EEBED58D-6989-48F2-8818-7B111F0179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12" stopIfTrue="1" id="{90864E01-A2E7-438F-87A0-39F6C13D6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11" stopIfTrue="1" id="{AB96A61A-1E7C-411B-A893-85F0916B1E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10" stopIfTrue="1" id="{AFDFAC19-C2C8-4C3B-BC8A-821BC8770A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09" stopIfTrue="1" id="{C54F4DB3-A797-44E6-9D10-B92814F80B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06" stopIfTrue="1" id="{66C4926D-EFAC-4E6B-BC4E-2267568E0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05" stopIfTrue="1" id="{C086A5E6-B275-4191-8FCC-C563F66B31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98" stopIfTrue="1" id="{B0108053-91C6-4369-BA88-B962FD6E7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97" stopIfTrue="1" id="{449D6AEE-1C5B-45A5-A8A4-3EE5715EF1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66" stopIfTrue="1" id="{C39DDE89-B95E-4C0B-8AC4-BC6D70385E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65" stopIfTrue="1" id="{EAD19EB1-B107-4653-ABB4-C139DFB907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64" stopIfTrue="1" id="{3BDA2CD3-F070-4E5D-9B7E-641CC88F35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63" stopIfTrue="1" id="{4F06F77B-0655-4A51-8F09-CC2FABC090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62" stopIfTrue="1" id="{02DFC82E-A93C-4BA4-91C1-584A991DE9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61" stopIfTrue="1" id="{B7C7E37E-A8A4-44F0-B7EF-9337FCE54D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58" stopIfTrue="1" id="{1737BC40-1124-4F22-BF1A-6C591D7EE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57" stopIfTrue="1" id="{514A5299-5E96-4E0D-9761-24AA68F30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50" stopIfTrue="1" id="{EA73A08A-AB7E-4BA1-8357-A83CB204E1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49" stopIfTrue="1" id="{6BB2410E-59B1-494B-B669-3F1ADCC78B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02" stopIfTrue="1" id="{398D97BE-597E-4FDE-B8E9-6EDD9C6CEB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01" stopIfTrue="1" id="{8B8DE01B-78F4-4B61-974B-3C57F93217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00" stopIfTrue="1" id="{2490F50A-B86B-48FE-B5E1-CEC336A8A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99" stopIfTrue="1" id="{BFC47DAE-E885-4121-BE44-F1706C834A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98" stopIfTrue="1" id="{35C1C24A-20A0-42C8-B2AC-AD2DBEB481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97" stopIfTrue="1" id="{594B634E-DC2D-4460-BF1D-DD0D71AAE3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96" stopIfTrue="1" id="{FD9D500E-37BB-44FF-86D4-0FE617D99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95" stopIfTrue="1" id="{CB4DE724-BF8D-4220-978E-4FCC0F1B63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94" stopIfTrue="1" id="{7C2DA7EE-34D4-495E-BDC0-20E73542F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93" stopIfTrue="1" id="{ABFEE364-D7F3-43DA-A37F-45B1926F26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92" stopIfTrue="1" id="{580F644B-148D-42FA-8F72-2BE3D11FA2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91" stopIfTrue="1" id="{431081F5-A2C1-4637-B28C-2E8D5F4510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90" stopIfTrue="1" id="{9791F916-F9D1-4369-8C30-E906D12045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89" stopIfTrue="1" id="{B0D7A9C6-A4A1-4D4F-BEC3-244C3C74B4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88" stopIfTrue="1" id="{B7D07684-7E61-4E66-8EE3-19BA02CA32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87" stopIfTrue="1" id="{B8346BB9-6F8E-4C44-931E-FC05AE1499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86" stopIfTrue="1" id="{DF1E943A-FE81-4A68-AC2E-C547E7C4E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85" stopIfTrue="1" id="{3EF218D7-BBB7-41AE-ADAA-6275558A14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84" stopIfTrue="1" id="{37371B80-594B-4278-BF47-0928B426C5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83" stopIfTrue="1" id="{E6926C5A-02C0-42A0-8DA0-65102F20A7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80" stopIfTrue="1" id="{F147E888-840B-40C3-9C45-A10C6496E4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79" stopIfTrue="1" id="{0DB33BC7-6829-4D6C-AF8E-4E9C93111E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78" stopIfTrue="1" id="{105EDDD8-D377-48FD-AE40-3C4DC7099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77" stopIfTrue="1" id="{D05166D0-F5A4-489D-9CB0-9DD89B9BA5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76" stopIfTrue="1" id="{7BBB6E6A-7218-44D8-BE1C-438115CEB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75" stopIfTrue="1" id="{140AB5E7-3F08-48C8-BC11-D067472191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72" stopIfTrue="1" id="{6051D5A7-8FF4-40E8-8D38-981BE25045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71" stopIfTrue="1" id="{95C9EE2D-268B-42EE-B728-0FD61CB44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64" stopIfTrue="1" id="{EC262A95-4363-44C9-A132-E0ED895C6A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63" stopIfTrue="1" id="{A8719CB7-9DEA-45A1-A17F-3F2ADE937E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48" stopIfTrue="1" id="{DB271915-42BF-42F1-AA10-50C891EB0B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47" stopIfTrue="1" id="{458B3FE5-C582-4433-9815-133EB958A8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46" stopIfTrue="1" id="{DAA53393-20E5-45B2-B2FF-02F833BB16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45" stopIfTrue="1" id="{66FE6CF8-1536-4C18-9717-ACBC9E7E69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44" stopIfTrue="1" id="{C6882748-C5F1-48E7-A3BE-DCF7DA36DD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43" stopIfTrue="1" id="{26403AD7-7B23-4920-BB37-A0425FBBD7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42" stopIfTrue="1" id="{3C36AEF2-9778-46F6-B3C8-8E3422ED04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41" stopIfTrue="1" id="{5EE3F553-2580-425D-B504-2A7E884D6B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40" stopIfTrue="1" id="{7A06A70B-A091-4AA7-94DB-43E50D6CBF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39" stopIfTrue="1" id="{64668C67-3C38-4E6E-96F7-D2F0C4943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38" stopIfTrue="1" id="{9C9F9D76-5E52-4947-A4EF-774D0129C2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37" stopIfTrue="1" id="{DE561A12-06BC-437E-8303-02608B1A98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34" stopIfTrue="1" id="{05728EF7-A460-494A-B3F8-BEA86A1C8B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33" stopIfTrue="1" id="{90563CFE-4532-4C52-9309-006E7EF2C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32" stopIfTrue="1" id="{E6AF4B79-EAF7-40A1-91F2-B4FC731D54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31" stopIfTrue="1" id="{96DE0444-D2BE-4824-93F9-3ACF2940AD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30" stopIfTrue="1" id="{2B2864B8-6516-472A-96C7-656749F3C5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29" stopIfTrue="1" id="{91F054CC-C292-45FF-9C17-1EEFC069CF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26" stopIfTrue="1" id="{756E88BD-0DE5-4149-985B-E9F4912A26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25" stopIfTrue="1" id="{383F5D8B-9374-4D93-AC1D-B3CF69EAAB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18" stopIfTrue="1" id="{03371493-9223-4238-A4CC-96F9050388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17" stopIfTrue="1" id="{9D803017-F550-4DCD-A9A9-D8B5B06B26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86" stopIfTrue="1" id="{12E4A261-12E9-462A-9B6F-8AB37117A6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85" stopIfTrue="1" id="{F335EE39-CEB6-49DA-8D86-92507C0206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84" stopIfTrue="1" id="{773CF5FB-511C-426B-87B1-56AEBC7A98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83" stopIfTrue="1" id="{75E94556-A119-4315-B1B4-E4727A9070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82" stopIfTrue="1" id="{02F9870F-8942-4A69-B7F8-8DEC508E7F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81" stopIfTrue="1" id="{C3A85256-9E8A-4D40-9F78-AA88D067F8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80" stopIfTrue="1" id="{52FD86CD-6D0C-40D1-92EB-946714AD6E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79" stopIfTrue="1" id="{DB047F61-FCE1-4E06-82BF-A373E2DAA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78" stopIfTrue="1" id="{DF7D69BF-3B4A-4FCE-B1B8-6E694CC321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77" stopIfTrue="1" id="{04A864EA-BCB3-40D5-88A7-2D43489677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76" stopIfTrue="1" id="{DA0B203A-4A86-4F0A-80B5-B3000FC8B4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75" stopIfTrue="1" id="{33FA94C5-6570-4B13-9AEE-D512C08FD5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72" stopIfTrue="1" id="{FD94F511-8FC2-4DCA-ABC1-1276743778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71" stopIfTrue="1" id="{2E8E5004-5C81-44BB-A8ED-00BFCE2E68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70" stopIfTrue="1" id="{03E7DDE9-9114-4145-9651-60205A4FC9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69" stopIfTrue="1" id="{7E1012B8-7441-471B-AE6C-239F54A354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68" stopIfTrue="1" id="{06FB189F-F806-4F5C-BEEB-A4C239E931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67" stopIfTrue="1" id="{8BC08283-FE8F-45FA-81F2-723384DF0B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64" stopIfTrue="1" id="{F1BD1650-BFE4-4782-9AA6-B23F7F509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63" stopIfTrue="1" id="{8417078A-EF12-49D0-84AD-737885E47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56" stopIfTrue="1" id="{9BB7F759-B6E5-468A-B236-27C822CED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55" stopIfTrue="1" id="{D63D3F25-90B1-4EB5-A08D-3CCEBE542C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24" stopIfTrue="1" id="{2D462B66-3632-4F92-8E4C-7DDAE06AD3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23" stopIfTrue="1" id="{A988DE7C-E68B-4525-8E98-0C31344D14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22" stopIfTrue="1" id="{86550651-21BC-456E-B89C-4AA3DD1A41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21" stopIfTrue="1" id="{DF687E47-D926-4A45-928C-07C2C9FBD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20" stopIfTrue="1" id="{B812AD81-D2A5-4D67-BD32-1BBEA90D18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19" stopIfTrue="1" id="{E68147A6-5989-4244-8790-61443C80C9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16" stopIfTrue="1" id="{FD5A8957-6BC4-4007-81A3-3FE553B702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15" stopIfTrue="1" id="{97A920D4-EFAD-4135-B37B-1F9F677BF2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08" stopIfTrue="1" id="{58F18415-4D3F-41DA-8655-F23DDC24FB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07" stopIfTrue="1" id="{20EC4028-9959-4B0A-A29F-E879796F4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60" stopIfTrue="1" id="{C957D1A8-C7F4-4A56-90C7-95EFD8EFDD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59" stopIfTrue="1" id="{3D821E4E-681A-465A-8E11-0BBCBDF25E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58" stopIfTrue="1" id="{0C4102AE-3476-41A1-AA28-8EE8EB648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57" stopIfTrue="1" id="{100F9290-DFD0-4466-B951-C0AB4D3D32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56" stopIfTrue="1" id="{E15C150E-3FDA-4050-9A39-544685BB8F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55" stopIfTrue="1" id="{CBBA17CC-DF36-4282-AE9F-AA6D4F0514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54" stopIfTrue="1" id="{2A2FB604-23F7-4807-A771-84F63254F3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53" stopIfTrue="1" id="{A6F3AC9B-4175-4CD8-8F9A-69DA4D435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52" stopIfTrue="1" id="{0CD4AF10-077A-4E26-AB4C-8C2E8CEDA5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51" stopIfTrue="1" id="{8B134F0D-4723-47EF-A1A7-53F1EF5D6F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50" stopIfTrue="1" id="{29E93C18-27B7-4591-98D2-EC462FBF9B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49" stopIfTrue="1" id="{87580A7A-7AB0-48F0-ADFA-47F2BC9B6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46" stopIfTrue="1" id="{80713F08-5D29-4350-9D01-E7F867833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45" stopIfTrue="1" id="{D39296A3-AA84-47E4-91B1-6701AB4C50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44" stopIfTrue="1" id="{AC39E020-4942-48A0-B375-F00B6684BF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43" stopIfTrue="1" id="{65F2CA43-FFBE-40B4-AC95-D57066788E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42" stopIfTrue="1" id="{2473E45B-09AD-4403-86CE-0994DC17BE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41" stopIfTrue="1" id="{432553BA-DF08-46B2-ACB0-9FA2410FE4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38" stopIfTrue="1" id="{AA07E672-2922-44C0-A497-27AFC7121D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37" stopIfTrue="1" id="{0A0EB5BE-A648-4204-99B9-33BAA9C157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30" stopIfTrue="1" id="{A038D405-C4BF-4A1B-B056-5B2126C9A0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29" stopIfTrue="1" id="{F82AACA9-44B3-4084-922E-5252F2BAAD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98" stopIfTrue="1" id="{E822D43E-C53F-41F8-8693-97CA609380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097" stopIfTrue="1" id="{8659AA84-37BC-4B37-88D6-0A04BEC54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096" stopIfTrue="1" id="{0EEBC8B2-8B42-4C47-B367-4020C227F0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95" stopIfTrue="1" id="{803502DE-A257-45EE-A630-3DC5AD1428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94" stopIfTrue="1" id="{B68EDC8F-51E4-4A76-B0D6-AA4563A3DA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93" stopIfTrue="1" id="{6EBDEE12-FA72-47CE-B5D4-64038AAE09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90" stopIfTrue="1" id="{48490FAA-6321-4E7F-898D-E05E78463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89" stopIfTrue="1" id="{7A111623-E65D-4015-A744-2213F5FD19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82" stopIfTrue="1" id="{E848508C-97EE-42CA-B4C5-C9F2CB168B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81" stopIfTrue="1" id="{388CCAE9-294E-45DA-A3F1-4427FA99B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34" stopIfTrue="1" id="{0F612E7C-520F-43D5-A972-8460AEB6E6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033" stopIfTrue="1" id="{62DC69A2-482B-44E9-A703-3961F7E1BC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032" stopIfTrue="1" id="{86552469-CC9A-4D8E-9EA4-9D285CEDED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31" stopIfTrue="1" id="{20E47774-6A82-4272-BD52-7ADB20A45E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30" stopIfTrue="1" id="{4AFE8FCD-CBAC-4D1E-ADA2-57F279DEC5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29" stopIfTrue="1" id="{401D7729-7AE4-495F-A575-6FF1139BC1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26" stopIfTrue="1" id="{92800532-BB33-4DA7-8935-E5E527960C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25" stopIfTrue="1" id="{C307D185-AE86-4A64-AF4A-9F239BF852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18" stopIfTrue="1" id="{DDE4C0D1-DFB5-4D1B-8D67-A1A8297FB5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17" stopIfTrue="1" id="{735AE752-7744-40ED-92EA-44F36BF6B4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70" stopIfTrue="1" id="{B5815CA9-0972-45BC-A557-58FE7669E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69" stopIfTrue="1" id="{FD2C023A-5486-4442-8ED9-AA228A540D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06" stopIfTrue="1" id="{72C2DBD7-A2A7-4C8C-8FFC-806F11BF42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05" stopIfTrue="1" id="{4BBB3342-787B-4147-A9F8-6D82C22B96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04" stopIfTrue="1" id="{99C6F61E-BE5C-4E16-98A6-D0FA9D9B00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903" stopIfTrue="1" id="{1E164571-6A78-430D-A1FB-AB01828D0E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902" stopIfTrue="1" id="{DE6FF6BA-6FFD-44E8-83D1-5C8A98F68A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901" stopIfTrue="1" id="{A37BF99F-3DAC-4991-B157-ECA039D842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900" stopIfTrue="1" id="{1D77F0FD-3E85-43E9-A3B7-A13EE15C76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99" stopIfTrue="1" id="{2F33A102-349E-44BF-B673-9765E0DD9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98" stopIfTrue="1" id="{210589A9-13D6-4E6C-BEA7-BD994B590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97" stopIfTrue="1" id="{2B902371-B0EF-4939-825E-A6D9A64265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96" stopIfTrue="1" id="{874108F8-E22D-4223-A518-FAD1904E8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95" stopIfTrue="1" id="{C4E40350-5162-4C16-BE51-FB3FE0D70B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94" stopIfTrue="1" id="{D74B2D47-5C01-49B7-B89A-A813D4B93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93" stopIfTrue="1" id="{BCF5D9F5-546A-425D-8594-55CA92A648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92" stopIfTrue="1" id="{ABAC3A93-8596-4473-9C69-3702094449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91" stopIfTrue="1" id="{F8DD0EA0-FC33-4B2A-B70B-68C2CA276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90" stopIfTrue="1" id="{13875C7E-F993-4789-AC2A-E282EA2F55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89" stopIfTrue="1" id="{EA736B6C-5E32-4E7C-B8EA-0E6D4BBF01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88" stopIfTrue="1" id="{AC5ABE40-BA1C-4CBA-803B-A50386B05F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87" stopIfTrue="1" id="{514405B2-C2ED-40B2-AEC5-4C73A02EF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86" stopIfTrue="1" id="{E2BD6FC9-946A-4912-B3D7-781BCE79B6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85" stopIfTrue="1" id="{8475C88C-E25B-42EC-88AE-BB282CFB5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84" stopIfTrue="1" id="{4881F679-D0B9-475E-83B4-9FDC47173C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83" stopIfTrue="1" id="{F1A79B87-BE34-417E-8B29-A45E672B7E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82" stopIfTrue="1" id="{0C2688A8-CC2C-4D7A-A24D-306E0D9E8F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81" stopIfTrue="1" id="{723DD5F6-396E-4686-98E9-5519B1614B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78" stopIfTrue="1" id="{2AE2F32F-A59F-4EA2-A552-BD1D9E1C4B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77" stopIfTrue="1" id="{137E70BB-6878-495C-BA55-47DFA403F7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76" stopIfTrue="1" id="{7BA4539F-C5F0-4846-BF44-34FECE528D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75" stopIfTrue="1" id="{2C64EF27-49D8-4C2F-9444-B930031412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74" stopIfTrue="1" id="{71D659BF-90C6-45E8-AC3E-2FF97FC25D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73" stopIfTrue="1" id="{3E060C6C-5E80-48BC-88C0-0DEE8155B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70" stopIfTrue="1" id="{AE7EFAFF-6DC0-4BFC-AAE6-B463D188FB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69" stopIfTrue="1" id="{49D1DF23-F0E8-4CC8-B85D-AA517B4E39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62" stopIfTrue="1" id="{67C109C0-3FFF-4C87-8C93-93DDDF4147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61" stopIfTrue="1" id="{7D8B515E-4533-488C-BE93-F8523A9DAD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46" stopIfTrue="1" id="{4FFDF000-7F2A-479A-847D-C6AADFFE3F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45" stopIfTrue="1" id="{051F2B66-6F81-4A5D-9CD6-4F2C383B96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44" stopIfTrue="1" id="{13186BD4-2C62-4A35-B202-2BC8E9F7D1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43" stopIfTrue="1" id="{5EE00CB0-899D-4D19-ACA3-30AC0955D5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42" stopIfTrue="1" id="{801CD006-BED1-463D-A81F-10DB9F80ED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41" stopIfTrue="1" id="{3871C471-5596-4573-85D2-5EDB17B04D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40" stopIfTrue="1" id="{F5BB3372-C056-4191-BA86-10B644D07C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39" stopIfTrue="1" id="{9BE856E7-AD40-4E38-8684-B1B681810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38" stopIfTrue="1" id="{C7EEB356-DC5D-4CE1-B95A-1DE9ABD90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37" stopIfTrue="1" id="{F41DAFE5-0BCD-408B-8E92-26214150E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36" stopIfTrue="1" id="{F69191E0-9C5F-4F22-94BC-45470B2663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35" stopIfTrue="1" id="{25F76995-88F8-4689-81B3-2EB1A940E3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32" stopIfTrue="1" id="{DA77F226-FBE0-475C-BEAE-C1C4BCEF8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31" stopIfTrue="1" id="{7D84A926-8CC2-4FE6-97D5-DD9D87892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30" stopIfTrue="1" id="{B78A6E34-F7D6-44C4-8B6E-B1432BF39E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29" stopIfTrue="1" id="{0AFC3358-4501-40CA-8CFC-DDC41484B2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28" stopIfTrue="1" id="{C1D10D84-0CFD-4F2A-A8F9-592ECB771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27" stopIfTrue="1" id="{8AA095E0-C69D-4583-B6A0-56FD2979E3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24" stopIfTrue="1" id="{F8EED2E9-A0F8-4EAC-820E-E04D0BD20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23" stopIfTrue="1" id="{A3AC1D22-8C0D-48C0-A813-BF1FE5D359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16" stopIfTrue="1" id="{889AAC05-C650-4507-9F27-064EFA61D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15" stopIfTrue="1" id="{45477451-093E-4288-A081-39F70C4EA6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84" stopIfTrue="1" id="{81AF4F44-06E5-45A0-AFDF-4DCD045DDD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83" stopIfTrue="1" id="{0B326498-AAF7-4710-9027-55494948C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82" stopIfTrue="1" id="{C103FBF6-AF4B-4EF1-B202-1D052B479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81" stopIfTrue="1" id="{BFC3B30D-BA99-4B8C-895D-AD215A94F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80" stopIfTrue="1" id="{567927E2-A653-4459-9B2F-4D1A387839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79" stopIfTrue="1" id="{84244B69-6042-483E-842C-73D1AB6D0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78" stopIfTrue="1" id="{34E6B553-A347-4886-B92E-F0E40657C8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77" stopIfTrue="1" id="{84A5B4D2-839C-47C8-9413-B3C7EA3F31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76" stopIfTrue="1" id="{B954EB78-1C51-48A4-91AD-A32C719CB2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75" stopIfTrue="1" id="{B0A1E3E2-DCB0-43EA-AA29-6FBE2F185A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74" stopIfTrue="1" id="{F37A33E3-A279-4492-8DCD-5F399EC847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73" stopIfTrue="1" id="{B86EE224-B009-4F62-855C-1DCBA02B13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70" stopIfTrue="1" id="{D1235E5A-8B76-4EC4-8747-9B978C504D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69" stopIfTrue="1" id="{6D9F5D40-8512-4DD6-8D08-D41446700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68" stopIfTrue="1" id="{CABC33FB-20C3-48BF-851D-C1A557C68C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67" stopIfTrue="1" id="{3CD93F8C-9646-4DE9-80B3-CE3D05C4D7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66" stopIfTrue="1" id="{94CC585E-9B48-49FB-BFF0-41E06E8B3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65" stopIfTrue="1" id="{959FA5D9-68F3-4B54-8643-23C686194D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62" stopIfTrue="1" id="{D288BAC1-A0F2-4C7E-A098-79B93B035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61" stopIfTrue="1" id="{71A7F586-E2DE-4175-A71F-85DDC82FF2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54" stopIfTrue="1" id="{C0253E27-D3C3-45DD-AB13-8490746EF3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53" stopIfTrue="1" id="{4A988852-430B-4C3F-9A9B-DEB6289025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22" stopIfTrue="1" id="{7E1A71DA-CA54-4157-969C-D345E7AFC4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21" stopIfTrue="1" id="{E0A2D696-BA5D-43D5-95E0-B31CD5AEEA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20" stopIfTrue="1" id="{0A3044D1-3597-4584-8192-16DF34B8CB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19" stopIfTrue="1" id="{99F276A6-047A-4E87-A057-E822F0E40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18" stopIfTrue="1" id="{A8C98949-638A-470D-BD87-5FABFFA7DB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17" stopIfTrue="1" id="{7070C366-071D-4D6A-A435-4501008F70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14" stopIfTrue="1" id="{262DF0FB-7CC6-4DEA-A308-B50585151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13" stopIfTrue="1" id="{8ED9D7DA-A528-41E9-AA6C-375BD299F8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06" stopIfTrue="1" id="{591871E2-B9FB-4E91-BA70-E82705EBC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05" stopIfTrue="1" id="{9DABBBAC-93DE-41A1-A154-4C329996C5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58" stopIfTrue="1" id="{7DE51149-F849-4B98-B873-79A0EDE1C5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57" stopIfTrue="1" id="{C9734EA1-1B55-4599-A020-C6A0FCCE3E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56" stopIfTrue="1" id="{173B4C9F-22C7-4016-BDEF-25EEC49DEF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55" stopIfTrue="1" id="{00C7365C-C37C-40FB-8141-9B8F17FDF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54" stopIfTrue="1" id="{BEEED720-D356-482A-9023-80E82584A5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53" stopIfTrue="1" id="{CA0D6530-7523-4302-AB21-F17F2CCC8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52" stopIfTrue="1" id="{B7BAD183-C21E-49D9-AC30-301AF779D4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51" stopIfTrue="1" id="{03288B2A-A656-4455-ACE5-A160715C8D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50" stopIfTrue="1" id="{EFA726E2-1531-4D46-BFA7-E6A9690783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49" stopIfTrue="1" id="{A713B076-B4CD-40D8-A4AF-BF5C0B627A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48" stopIfTrue="1" id="{0C58E6C8-E43B-4F3D-BE04-FCC06F26E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47" stopIfTrue="1" id="{07E459BE-062A-4315-B700-2DD6D04B6C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44" stopIfTrue="1" id="{E713BB0A-FDCC-4641-8039-2B3CC0E1C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43" stopIfTrue="1" id="{ADFA8A43-3F0A-4430-A7D3-A9DE73A5A6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42" stopIfTrue="1" id="{2A1E8891-3591-4AEB-AD47-E2086DEA5F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41" stopIfTrue="1" id="{E652E492-DDE6-4636-AEDE-57F8137C75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40" stopIfTrue="1" id="{B28ECF3E-E9AB-4CFA-9C4E-D32D5391A2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39" stopIfTrue="1" id="{41C5835C-2C41-47F0-9E59-7889E92D0C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36" stopIfTrue="1" id="{302A5AE4-5A49-4B79-B09F-D72DDF294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35" stopIfTrue="1" id="{8CC7D69E-6382-4CB7-8640-71FF63C4E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28" stopIfTrue="1" id="{3E655054-FECC-40BA-B46A-1267212C40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27" stopIfTrue="1" id="{E6A0BC03-6B54-4539-9F6A-C19C4065E4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96" stopIfTrue="1" id="{B1EE9607-DE60-4530-AB17-82C9379D5C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595" stopIfTrue="1" id="{6E8F971E-4CCF-4AE1-9F91-192FA67142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594" stopIfTrue="1" id="{45920CC4-71B9-45D9-BCA2-55EFA62221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93" stopIfTrue="1" id="{18CF7557-C8B1-4CC6-AA0F-A53041814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92" stopIfTrue="1" id="{FC66A682-063E-431C-84F2-96F6071190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91" stopIfTrue="1" id="{92354D31-044D-4743-AA31-1818A9C83C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88" stopIfTrue="1" id="{C00B99F3-9E23-47B6-A332-9B156DB5CF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87" stopIfTrue="1" id="{13C730A1-26BB-420A-BF31-C3D722E474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80" stopIfTrue="1" id="{05149E31-808D-4A07-896C-216895054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79" stopIfTrue="1" id="{4C7259F8-2015-42CC-AA15-5FC3CC0409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32" stopIfTrue="1" id="{93223DFA-D546-440C-8227-25BD7A774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531" stopIfTrue="1" id="{691BB677-CE39-4D7B-897E-2E0EA6C3BD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530" stopIfTrue="1" id="{73EF3CD5-FD91-4779-82B5-56596AC93E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29" stopIfTrue="1" id="{A1CD4330-D431-4E3B-B941-67C40C08B8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28" stopIfTrue="1" id="{27923240-FF65-4EEE-935B-912F77FF15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27" stopIfTrue="1" id="{E917758C-1359-468F-8C1B-1B44E68759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24" stopIfTrue="1" id="{D684939C-FFB5-426E-87A5-36036A568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23" stopIfTrue="1" id="{014F6FEB-1900-4E2C-BC5F-DB9FAA799B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16" stopIfTrue="1" id="{688DBAFA-0D6F-4B4D-893D-F44A50B8E9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15" stopIfTrue="1" id="{34C69607-31EC-4517-BC89-4FB548730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468" stopIfTrue="1" id="{D3198F0C-597E-464A-AA2D-336AB9FCD7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467" stopIfTrue="1" id="{5B5B2C8E-8393-4523-B5D5-E7126A4D7B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404" stopIfTrue="1" id="{05465414-C1C7-4E3C-B3C1-8FFA268D2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403" stopIfTrue="1" id="{B2E26B2E-9229-4FE5-9FA8-60C398761E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402" stopIfTrue="1" id="{335E4AC7-1CFE-4F4C-A0AA-5C9D5F5696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401" stopIfTrue="1" id="{172F7B12-341F-4CBB-A8A9-95CDE9ED1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400" stopIfTrue="1" id="{AAE413FD-4D53-4789-A14A-F7DA5F8EDE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99" stopIfTrue="1" id="{5DC8BB8F-DAF3-4E31-823F-4D9D33FB19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98" stopIfTrue="1" id="{92D6404B-7965-4A72-8B12-7D95B77389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97" stopIfTrue="1" id="{6AAC235F-1ECC-4317-9DB5-4F9EBED193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96" stopIfTrue="1" id="{8649BAEF-4B6F-443F-AA22-CA257E0A7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95" stopIfTrue="1" id="{FC525C86-CDD0-4744-8E12-7870C59F0F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94" stopIfTrue="1" id="{4F643C54-45C9-40B3-AC11-4EA492F317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93" stopIfTrue="1" id="{4725F141-8332-40F1-A91D-C05078209D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92" stopIfTrue="1" id="{DAE841D1-DD22-45D9-BE52-FE55C14629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91" stopIfTrue="1" id="{628FCED6-F330-413F-9CED-55ED1D908D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90" stopIfTrue="1" id="{875851D2-2E02-49EF-93D7-3767818D70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89" stopIfTrue="1" id="{F9E9F225-9CB5-4244-A019-2BD192423E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88" stopIfTrue="1" id="{EFB8A422-3C2A-41B5-88FA-70EDFEAD0D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87" stopIfTrue="1" id="{385CE538-BF3A-40FB-AB7F-01555AFEF3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84" stopIfTrue="1" id="{37AE5D03-1CD1-4D32-A3D2-515402378C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83" stopIfTrue="1" id="{C9E02B41-C633-4DD1-A334-8DD423596E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82" stopIfTrue="1" id="{81A7A009-8D6E-49C5-B787-B60F2EFD2F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81" stopIfTrue="1" id="{99B0E399-BE98-4B98-89D7-9ECAA0897F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80" stopIfTrue="1" id="{08129BBD-2295-4DEA-A447-BEC0082C89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79" stopIfTrue="1" id="{5EDA5A5E-7213-415B-91AA-9453BE5073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76" stopIfTrue="1" id="{80DF5C21-1C51-4E4C-8129-0018E7C8E4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75" stopIfTrue="1" id="{B3A28E52-BBB1-4D6C-B98B-08FB51D8D1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68" stopIfTrue="1" id="{6C671979-DADB-4F0A-AD02-E35D9E81F7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67" stopIfTrue="1" id="{25C12E74-1AFF-4D9B-AEA2-FE3CF69BEC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36" stopIfTrue="1" id="{428343B3-6E35-4150-81F3-6F7BE45305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35" stopIfTrue="1" id="{DCB7B02D-BAFE-41FE-81B9-3512245EF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34" stopIfTrue="1" id="{E39B80EF-8B17-48F5-A852-4D2FB0324A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33" stopIfTrue="1" id="{27C7E4E7-6B17-4B24-ADB4-BE4A6068FA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32" stopIfTrue="1" id="{D371F6E6-4224-4567-8FEF-CE46305689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31" stopIfTrue="1" id="{ADFB8D79-E3EF-482D-AC2D-5B8D63E727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28" stopIfTrue="1" id="{09B1CAC5-088F-46B4-BA66-B247D62C5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27" stopIfTrue="1" id="{9ADD7F0B-1214-4890-A9F3-87486B6239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20" stopIfTrue="1" id="{85B3A224-E151-438D-A643-56C4418A08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19" stopIfTrue="1" id="{65AB40E5-E9A4-4F54-8208-99D6066E0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272" stopIfTrue="1" id="{D5B45323-F1B2-46EF-88F1-7796C7DFE2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271" stopIfTrue="1" id="{FA7B5C89-B852-4514-BB37-00D9D3E1A1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270" stopIfTrue="1" id="{56CD74D8-F3E9-4CA7-8698-C879842C48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269" stopIfTrue="1" id="{60EEABB8-BD00-4163-AEA8-FBF5F2C85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268" stopIfTrue="1" id="{5DE9CEBF-B50F-4AF0-A532-BAA046F2E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267" stopIfTrue="1" id="{976FDC4B-AB98-41D6-8DE5-CA28C1902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264" stopIfTrue="1" id="{C83260E1-9FAE-4285-8EA6-427A55095F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263" stopIfTrue="1" id="{D6483F2F-FAAD-4F59-B1D7-C557743BE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256" stopIfTrue="1" id="{EC53C694-0EE1-4BDC-9876-E2939E6D80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255" stopIfTrue="1" id="{D54A211F-B4FC-481C-AA5D-5ED3929F3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208" stopIfTrue="1" id="{0B6D43E1-8DE1-40D5-847B-EDB0E8739A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207" stopIfTrue="1" id="{61568AB3-85B1-465B-B608-E9D340824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144" stopIfTrue="1" id="{67B24265-5147-4BF3-B35F-9233A65DBE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143" stopIfTrue="1" id="{B56DADC6-13B5-4306-B9EA-6F2BDE06B2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142" stopIfTrue="1" id="{7FB67FA8-4F2E-4864-86A2-8A22B9F38B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141" stopIfTrue="1" id="{EC4762CB-5F9D-430D-B0AE-FC8F2130CB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140" stopIfTrue="1" id="{DF565276-8D92-4F68-8C4B-C4599195E9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139" stopIfTrue="1" id="{FA02F6A3-425A-442F-BDFC-F4E5450602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138" stopIfTrue="1" id="{AF8EE120-46C6-48C0-A0E1-D9D3C6008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137" stopIfTrue="1" id="{0B60703B-BA81-4595-A274-3A15DE7188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136" stopIfTrue="1" id="{DF49841A-8857-4B11-AA7B-506682319A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135" stopIfTrue="1" id="{222645FE-79F6-41A3-B150-411EEB4D16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134" stopIfTrue="1" id="{5DA77C35-DB16-4FAD-BBC2-13A25B8B55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133" stopIfTrue="1" id="{13806133-E75C-4367-A5CD-88C350B07F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130" stopIfTrue="1" id="{020B2854-7CCB-4B93-85EA-2EC88E5629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129" stopIfTrue="1" id="{6DE5DDB8-E64B-44DC-B973-5019F026B7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122" stopIfTrue="1" id="{F7804F9E-21DB-4445-A335-E22EED05FF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121" stopIfTrue="1" id="{AB8954FA-D42B-4A1D-B1B7-70BF7280BF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074" stopIfTrue="1" id="{55757FFD-6A19-4921-894E-7433963FCA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073" stopIfTrue="1" id="{DF57FFA7-5A6F-49E4-A539-8BFBFD0E50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010" stopIfTrue="1" id="{A45DAB2B-1009-48CE-B3D5-B985F0C0F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009" stopIfTrue="1" id="{8D64718D-2385-412F-A1CC-D82376AC66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008" stopIfTrue="1" id="{6005A064-502F-4FAA-A517-4766C900ED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007" stopIfTrue="1" id="{8816B40B-CC6C-4CE2-BAF4-545C37FFC0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006" stopIfTrue="1" id="{49451809-6484-4616-8C1C-221A04E927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005" stopIfTrue="1" id="{4309553F-03E9-4E76-B94A-3E1E807F9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004" stopIfTrue="1" id="{5827A8BD-8380-4917-A3F6-0FF4BAEE34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003" stopIfTrue="1" id="{DD7ADE25-E48A-436B-9DB5-49817DB3E9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0940" stopIfTrue="1" id="{FACC30E6-930E-420D-8D8B-4CC86EC85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939" stopIfTrue="1" id="{BB198C10-5E8E-4F5D-9252-52EAF861EB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938" stopIfTrue="1" id="{C5829DD4-8B31-46B4-9A72-C973C0BF89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937" stopIfTrue="1" id="{F2CE4AEB-E8DA-4883-A4E0-5635FA2E7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936" stopIfTrue="1" id="{FE3A436B-39C2-4177-A7FB-C9AD712B6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935" stopIfTrue="1" id="{C9B10830-90F9-4BD1-9303-FFAFA86FDE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86" stopIfTrue="1" id="{0C3D6E39-FCA4-4C60-B2CA-58B0F8F66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885" stopIfTrue="1" id="{52B019CB-4F79-450E-8B2B-5E9837FDCF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884" stopIfTrue="1" id="{7F4872DF-B2B1-461D-8BDC-2D6C40D6CD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883" stopIfTrue="1" id="{3810CC28-B2EA-4167-B817-764E329140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882" stopIfTrue="1" id="{47C001D0-DBD1-40BD-B9F8-FEBD24F1F6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81" stopIfTrue="1" id="{C22C88B0-9662-4D15-AC27-BB77F3CC8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72" stopIfTrue="1" id="{56BFE068-03A0-43D1-B7E4-A0B40A4B0C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871" stopIfTrue="1" id="{BA3EB6C8-EC70-4DD5-94AF-024E6FBF96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870" stopIfTrue="1" id="{1C50AAFE-C7A2-4091-B151-8EEF4CA510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869" stopIfTrue="1" id="{7C354533-FAF8-4A10-872B-ED50CA160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868" stopIfTrue="1" id="{7E90CBFD-535B-4A92-8A0F-186B0FF81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67" stopIfTrue="1" id="{E1A2F1A5-9004-44F3-8885-8A107BA9C4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62" stopIfTrue="1" id="{9C0591A5-65E6-45A8-ABB1-5D73E216E4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861" stopIfTrue="1" id="{8A81123A-59F3-4894-AFC4-EB584E0D81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860" stopIfTrue="1" id="{E74517B4-CD74-4162-B6B7-0C23BF5E29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859" stopIfTrue="1" id="{0FBC9464-7866-4A1A-A911-249D86C6E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858" stopIfTrue="1" id="{861FB5F8-A67F-47EA-AC13-0C52E98D0C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57" stopIfTrue="1" id="{DA7D51AE-F6C2-4520-879A-48B97DD6C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54" stopIfTrue="1" id="{F76A013B-ED49-4CDB-BEDC-3D7AAE38CC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853" stopIfTrue="1" id="{5468C598-062D-443E-BFC9-7F5EF87AB9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852" stopIfTrue="1" id="{5B261318-553B-482A-BD00-583515C366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851" stopIfTrue="1" id="{1479B204-8742-49D1-87F0-F0D39CE170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850" stopIfTrue="1" id="{FAF1EF6B-CFF6-4CDA-8ACB-73A4A74320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49" stopIfTrue="1" id="{45B89B1A-1FA9-4A84-85DA-3E82F205EE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48" stopIfTrue="1" id="{EDF58CDF-0CE9-426B-BB51-2A27EEDCD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847" stopIfTrue="1" id="{E34BCFFB-D33E-4EF5-9565-80DB2B7581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0846" stopIfTrue="1" id="{BD5F0FE3-7223-46D2-95C8-0EA4DB9415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845" stopIfTrue="1" id="{2F82FAF7-7F5E-4159-8DE7-164F41E4A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0844" stopIfTrue="1" id="{1BFF1610-A6A6-4D87-9847-1764B0FEE5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43" stopIfTrue="1" id="{BAE2C406-062E-48D0-9A64-0CE1786590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0840" stopIfTrue="1" id="{9295B54A-59DD-4EC1-9215-DAD3324985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0839" stopIfTrue="1" id="{9BC01C60-9FCC-4BAC-8622-B763A5F60A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0838" stopIfTrue="1" id="{15416222-3C57-40EA-877C-59DB530329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F319:G319</xm:sqref>
        </x14:conditionalFormatting>
        <x14:conditionalFormatting xmlns:xm="http://schemas.microsoft.com/office/excel/2006/main">
          <x14:cfRule type="expression" priority="10837" stopIfTrue="1" id="{2AFBAF36-B43F-4569-8CCC-60D523B5C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F319:G319</xm:sqref>
        </x14:conditionalFormatting>
        <x14:conditionalFormatting xmlns:xm="http://schemas.microsoft.com/office/excel/2006/main">
          <x14:cfRule type="expression" priority="10836" stopIfTrue="1" id="{000A94C7-3C89-40C8-9CF8-EF4E254C79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F320:G320</xm:sqref>
        </x14:conditionalFormatting>
        <x14:conditionalFormatting xmlns:xm="http://schemas.microsoft.com/office/excel/2006/main">
          <x14:cfRule type="expression" priority="10835" stopIfTrue="1" id="{41467E8C-1A3D-4CD4-90C7-E1E2738D99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F320:G320</xm:sqref>
        </x14:conditionalFormatting>
        <x14:conditionalFormatting xmlns:xm="http://schemas.microsoft.com/office/excel/2006/main">
          <x14:cfRule type="expression" priority="10548" stopIfTrue="1" id="{78E2E47B-B949-4823-BE7C-05930B6A21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7" stopIfTrue="1" id="{CFF08457-D81A-4D21-9E9A-7F52FF7EA5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6" stopIfTrue="1" id="{532E0DF3-F22E-4284-BF9C-D5F13CA8AB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5" stopIfTrue="1" id="{56DBB003-1B86-4891-B24A-E57A5A67E6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4" stopIfTrue="1" id="{D317E38E-D353-48A2-BC0A-05ADB6ABE5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3" stopIfTrue="1" id="{9E7FDB44-B235-4240-AFF2-C4C0661B3C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2" stopIfTrue="1" id="{AD54464D-934E-4262-A6F5-37234DD7E0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1" stopIfTrue="1" id="{E7C42F30-4733-42EA-B12B-6701E1DE83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0" stopIfTrue="1" id="{C4DE4A14-F961-422F-B3EB-05261C944C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9" stopIfTrue="1" id="{DC34028C-7B7E-4E8B-B14D-EB33C274C0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8" stopIfTrue="1" id="{17FBEC99-B629-4598-A865-D7F636FE94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7" stopIfTrue="1" id="{AF2F9852-31A2-4E92-906C-D0A9679A97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6" stopIfTrue="1" id="{429EBF35-E792-4B53-B63D-5D5428D955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5" stopIfTrue="1" id="{8BBF6ABF-3A3C-42D4-B8FB-A1E8D9570B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4" stopIfTrue="1" id="{B4FE63E5-FB6E-4DBC-A43B-F141D029B5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3" stopIfTrue="1" id="{71C8EFFD-CA91-4106-AD6A-C19FDC7558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2" stopIfTrue="1" id="{2FB812C3-9875-44E5-9F4E-C2DF256DD3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1" stopIfTrue="1" id="{8E8BB463-32DD-4376-BFDD-1619758BB2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0" stopIfTrue="1" id="{0C11C5E0-D270-46BD-A3CC-AA9E6E5AB2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9" stopIfTrue="1" id="{39632992-2E95-4AF3-ABF0-2DFE22302F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8" stopIfTrue="1" id="{51DF8838-9CE9-473B-81F3-CB322BF62F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7" stopIfTrue="1" id="{2B437C66-B9C3-487A-8823-E6BABB0D01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6" stopIfTrue="1" id="{297BE5AC-468A-4927-B81E-6040CB4A86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5" stopIfTrue="1" id="{DB388202-27BC-4280-BF56-F396D17AB4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4" stopIfTrue="1" id="{5040481F-DBEF-4720-8EDE-9158E7650F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3" stopIfTrue="1" id="{63CE3A7B-B7BD-40A5-8627-D3DB5C0CEF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2" stopIfTrue="1" id="{B030D7DB-B9A9-4574-BCF9-C729DA9ECB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1" stopIfTrue="1" id="{8D26A389-DB70-47A4-B225-D1B092F2BE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0" stopIfTrue="1" id="{FFBC7BE2-B840-44AF-8465-00DA9E05B6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9" stopIfTrue="1" id="{D5E95C95-546E-4BFF-90DA-48252238C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8" stopIfTrue="1" id="{25E487C2-FEB1-4F46-B5F8-7E5DD6EA2D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7" stopIfTrue="1" id="{FB64FAFF-297D-4AA7-8097-AA466E70C5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6" stopIfTrue="1" id="{3EEB18C6-3EE6-4B01-AE95-43BE19492F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5" stopIfTrue="1" id="{2171170D-A6E3-44CB-A97E-560387AF5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4" stopIfTrue="1" id="{4A39AE45-111F-4395-BF7C-3B49E0B90B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3" stopIfTrue="1" id="{1FC8B7A8-83AE-49AB-8D42-101BCE50AA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2" stopIfTrue="1" id="{6C1DD515-D5FA-4311-B46D-62B58815BE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1" stopIfTrue="1" id="{65AAD6AB-075C-4FF2-81F9-B0AA0A6B7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0" stopIfTrue="1" id="{4ECFC405-62E6-49B3-93D6-1650B5A6DF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9" stopIfTrue="1" id="{04D72DF2-F0A5-4F24-8561-1C8CD1B76E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8" stopIfTrue="1" id="{6E61350B-1ABE-49CB-8E36-6269B57C91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7" stopIfTrue="1" id="{615A40B3-8240-476A-83AA-F4666E5EB4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6" stopIfTrue="1" id="{ADFEFC06-E243-40B8-8CDD-91AEA058CF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5" stopIfTrue="1" id="{967CE2D5-E4F9-446F-A387-955C61EF29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4" stopIfTrue="1" id="{E1015349-F698-40FA-81CC-A4642E07B7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3" stopIfTrue="1" id="{794069D6-B4CF-470E-93E2-B0B472214D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2" stopIfTrue="1" id="{4764214E-9A81-4D98-9565-7E742B178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1" stopIfTrue="1" id="{FE62E4C4-0E45-47BF-90A8-AB6354AD00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0" stopIfTrue="1" id="{1857D4EE-D7B6-4511-8672-D8AB9CF54A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9" stopIfTrue="1" id="{36C9804B-D425-49B9-9939-5ACF8B14B1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8" stopIfTrue="1" id="{70C1E88D-8B7E-47FF-8B4D-3FD93579CD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7" stopIfTrue="1" id="{A4EA5117-1696-4A1B-82F4-7AAF97A07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6" stopIfTrue="1" id="{AD1659A3-F71C-4990-961E-F529712A4A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5" stopIfTrue="1" id="{25295528-F570-4316-A97B-D82F5C8132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4" stopIfTrue="1" id="{C661DD4C-0F27-4ACC-A806-F2DBD3F6E5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3" stopIfTrue="1" id="{E680756A-68AA-423D-B756-5CEA1CB54C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2" stopIfTrue="1" id="{FF63508A-AA1C-43AD-B06B-F8719875F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1" stopIfTrue="1" id="{8E425252-EBCC-4020-9151-F13FA98F99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0" stopIfTrue="1" id="{BED38D3E-1867-4B51-908C-15896168D2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9" stopIfTrue="1" id="{00A061E4-70C6-41F2-B63D-1821EAA72E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8" stopIfTrue="1" id="{7A587D3D-2BB6-4817-8A0C-B2F7692791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7" stopIfTrue="1" id="{5F49C314-C12C-4067-870B-41132600DE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6" stopIfTrue="1" id="{CB3933C3-BAD0-43FB-895A-1DE34E4D8C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5" stopIfTrue="1" id="{1256038A-4F6D-4936-8480-DD2F538EDB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4" stopIfTrue="1" id="{28D44C62-73D6-4BE2-A6A3-6969F9612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3" stopIfTrue="1" id="{AD535C20-1C33-4489-9DE4-C3A81DE60F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2" stopIfTrue="1" id="{A6B5952A-5363-490C-9A08-EEE50E4D7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1" stopIfTrue="1" id="{7D6A708B-2EB6-4474-9226-0DE01214ED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0" stopIfTrue="1" id="{0CED1097-693E-4807-AF44-C88A0D60C7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9" stopIfTrue="1" id="{1DDDFBBA-B769-4C31-A000-89C62B03CC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8" stopIfTrue="1" id="{8EFBFC2D-28DA-4511-8497-28E5BD6DAF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7" stopIfTrue="1" id="{3739AEB7-7642-4621-850D-4291FB7729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6" stopIfTrue="1" id="{4A7B8833-AC63-4B88-A8C1-616E811418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5" stopIfTrue="1" id="{1ECED2C2-435B-43C4-BBAB-A4D7B32FE4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4" stopIfTrue="1" id="{33F014BA-BA6B-4C65-8076-A3B17529FF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3" stopIfTrue="1" id="{47A3A28C-3090-4E71-AA17-46601198A7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2" stopIfTrue="1" id="{80097973-A73B-4F3F-B285-34FFBE5F3F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1" stopIfTrue="1" id="{8CFEDDE7-DA14-44DC-AD0B-C6513C54D6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0" stopIfTrue="1" id="{72845A64-DF83-4229-85A2-3CEA755923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9" stopIfTrue="1" id="{6831EE6D-7F8F-4AC8-AC9D-AEC8D133C0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8" stopIfTrue="1" id="{95CD3BF4-CA77-4C06-9DC0-B0174851BA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7" stopIfTrue="1" id="{565352F7-A671-435C-9D95-EBAA30A0CA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6" stopIfTrue="1" id="{D7FFA148-3897-4796-B6F4-1992F2B5D7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5" stopIfTrue="1" id="{0999E080-02D1-4A8C-9E48-137E8427B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4" stopIfTrue="1" id="{729D0723-CC1C-443F-B97D-CCE6C1FFE5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3" stopIfTrue="1" id="{A48B7D06-8083-4A50-8D46-F1E4C17DB3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2" stopIfTrue="1" id="{08B81A92-3CF3-401F-95AA-3FD7A6C7A8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1" stopIfTrue="1" id="{CA5BDEFF-D16E-4C79-908F-F810696643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0" stopIfTrue="1" id="{AEF92250-E3EE-4E03-ACDF-0FF366D4C7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9" stopIfTrue="1" id="{5D135046-1DC1-47BC-8024-BC599B2143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8" stopIfTrue="1" id="{C779A239-BF1C-4FC7-9CF4-F1F0F94C35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7" stopIfTrue="1" id="{718B0255-D886-428B-9564-815E283A2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6" stopIfTrue="1" id="{332B19E9-0EF5-4B20-98F1-3DD06E5271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5" stopIfTrue="1" id="{FAFC481D-AC88-4543-B0D3-03CA4A9703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4" stopIfTrue="1" id="{F7AA293A-8040-40E5-AB91-41C31A82CB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3" stopIfTrue="1" id="{E9B5F620-EA4C-4B6F-8145-15B0539EC5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2" stopIfTrue="1" id="{40D6B2CC-FBF9-43E7-B579-1357731775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1" stopIfTrue="1" id="{6875D27F-1132-4A9A-BD4D-D48F6CCC06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0" stopIfTrue="1" id="{628CCF8A-2D7E-4966-BD10-7D8B7DDC3B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9" stopIfTrue="1" id="{FEDE7037-A1BA-48FF-AA66-28A5EBEFF0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8" stopIfTrue="1" id="{EBC4D0B6-40A7-4662-9E37-58BA4112C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7" stopIfTrue="1" id="{68C07447-FA55-41E1-8F6D-5950E929EA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6" stopIfTrue="1" id="{EAFA4401-B221-4618-9E33-AEDDE640E7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5" stopIfTrue="1" id="{FE4A012A-24A1-4357-9CF1-DBC3AEFD63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4" stopIfTrue="1" id="{BFEAB09A-93BA-41FC-A928-3847CF8600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3" stopIfTrue="1" id="{75B7A6CA-656D-46A5-B54B-8A7575F14F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2" stopIfTrue="1" id="{550D4697-B7CC-4A7C-825E-E902059DB3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1" stopIfTrue="1" id="{14E5D4EC-AF15-4046-B32E-1E149DA474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0" stopIfTrue="1" id="{CEFAAD2A-2538-44C6-B698-6A3D52F4D5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9" stopIfTrue="1" id="{4CFA3ED2-6B7F-45B9-A77E-D4E9CC3839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8" stopIfTrue="1" id="{C4812E4C-FE41-4CC8-8FC7-B603A7A31F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7" stopIfTrue="1" id="{086C47E0-27EC-4BDF-BD59-B95422002E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6" stopIfTrue="1" id="{4DC14E83-5D31-4A8D-93BF-806BF6D8B6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5" stopIfTrue="1" id="{F3C8D3DF-B490-42D9-83F3-A6474C7CF1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4" stopIfTrue="1" id="{B74D052B-C725-4162-AEEA-FDBD640BE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3" stopIfTrue="1" id="{E4B9C6D8-E6F9-47EB-9A1E-92A0CB79DB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2" stopIfTrue="1" id="{147340E1-ACC2-4D96-8976-50F4596766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1" stopIfTrue="1" id="{295FA314-9B76-4516-92A4-16C21A6FC6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0" stopIfTrue="1" id="{77C5BCD0-1A67-4547-9325-805ED0ADC8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9" stopIfTrue="1" id="{AC0DD46E-F187-4CB8-8B3B-4E0395ADCB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8" stopIfTrue="1" id="{5211D934-2C0B-4823-A8C0-4D91C3FADD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7" stopIfTrue="1" id="{2633B36A-9FB1-440D-852E-6A06C4311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6" stopIfTrue="1" id="{1D01945D-392F-41CB-B870-329D22BB39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5" stopIfTrue="1" id="{FA10DE2B-2124-453D-A387-429A4E2BD3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4" stopIfTrue="1" id="{0876A0EE-F527-4D9F-9FBF-724468C16C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3" stopIfTrue="1" id="{5E229C47-952E-4C17-9903-18214C9BB1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2" stopIfTrue="1" id="{722CF295-9416-4545-BC0D-E20ECF3326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1" stopIfTrue="1" id="{71B0E4B1-50D3-40CB-8EC5-B80273445C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0" stopIfTrue="1" id="{7D21097D-EC04-4CE1-9C5C-D61249F2E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9" stopIfTrue="1" id="{CC88D7EC-20DF-428C-B0B3-6675F5EB6D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8" stopIfTrue="1" id="{ECAC3FA5-A9C7-4051-953E-05D71F23C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7" stopIfTrue="1" id="{AE97E79A-CE8C-4B8D-AB78-C41DDD87B1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6" stopIfTrue="1" id="{FEFE0CE5-D933-4035-A1F3-723C8F0D8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5" stopIfTrue="1" id="{8B066957-819F-44BE-9521-24E2119A5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4" stopIfTrue="1" id="{1EA11179-F6B7-41BA-9715-1792D26F45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3" stopIfTrue="1" id="{B59731AA-A4B0-4C0D-97F8-6AFFC97105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2" stopIfTrue="1" id="{55628DD7-8190-42AD-8527-3470CD2AE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1" stopIfTrue="1" id="{0BC8B819-FD80-4B4C-9CB5-866A0EBC48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0" stopIfTrue="1" id="{6E7FE5AE-E69D-43D2-BE78-DD813B9629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9" stopIfTrue="1" id="{D0EDE146-7C56-4FF5-8ADE-F632C54A12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8" stopIfTrue="1" id="{58305241-5E4E-48A0-B32A-421C74708C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7" stopIfTrue="1" id="{AD499DE8-3357-4D51-86F6-8332A62E3D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6" stopIfTrue="1" id="{38F261C6-423F-4EFF-97AF-F0E53DB5E4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5" stopIfTrue="1" id="{154BCBFA-FEC8-46C9-8C27-48ED16104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4" stopIfTrue="1" id="{B1FB943F-57FD-4358-9201-439180D6C1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3" stopIfTrue="1" id="{DE080908-AB34-4514-9DAC-84683348B4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2" stopIfTrue="1" id="{9705E7B4-53A6-4BD3-B816-B1E257839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1" stopIfTrue="1" id="{83196AC4-DE12-45D4-9BFE-CBE32277CD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0" stopIfTrue="1" id="{44158770-5E76-4E10-A6E6-7901B64F11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9" stopIfTrue="1" id="{A464DDC5-86A6-4A1C-A283-EA64756D3D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8" stopIfTrue="1" id="{3D78171A-60BD-43B0-83BA-2BC40B1FA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7" stopIfTrue="1" id="{C1601D80-5716-4A8A-B46A-58B69159C4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6" stopIfTrue="1" id="{F85F7AF6-CB40-4B16-B729-53B455915E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5" stopIfTrue="1" id="{7E63E544-720A-4B0A-AED5-695F2FCB3A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4" stopIfTrue="1" id="{6C5FC053-78C8-4723-A6D2-1E70A71378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3" stopIfTrue="1" id="{B0E33459-65FD-4C7A-AAA8-CE5901F54B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2" stopIfTrue="1" id="{2BC8170E-E0DF-4106-BA56-466B656665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1" stopIfTrue="1" id="{3DB55632-84A1-4B13-8BAC-82F1ADEFB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0" stopIfTrue="1" id="{13330613-A871-4125-8437-ED190D4DEC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9" stopIfTrue="1" id="{AF4D118B-3EDE-40A0-A3A1-29B78B1D9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8" stopIfTrue="1" id="{4ECBE879-CF16-4408-80EE-6B633AEA1D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7" stopIfTrue="1" id="{8F9EE6E0-4D52-441B-A284-B1BDCF0E8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6" stopIfTrue="1" id="{4EDFA3B5-6CF1-40AA-BCF9-E803B35DA5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5" stopIfTrue="1" id="{0C03A6DF-2332-4C98-9072-6D82F2D845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4" stopIfTrue="1" id="{09E1B3BB-617F-4BE7-BDA0-0FC6230C6F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3" stopIfTrue="1" id="{D3DFACC7-73A0-43CB-A217-EC9B55C63D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2" stopIfTrue="1" id="{E7EF7F90-6338-44FF-9DD6-AF1071AFA7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1" stopIfTrue="1" id="{59AFA2A7-3D96-424C-88D4-01C4F11E1E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0" stopIfTrue="1" id="{F8DE4E37-E6A1-4548-BF00-DAA6E55CF5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9" stopIfTrue="1" id="{AD8CE5EA-71A2-4F05-91F3-53049093A7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8" stopIfTrue="1" id="{556F94C2-983F-41D4-AC1F-63EE858E7B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7" stopIfTrue="1" id="{1C38DB02-FAF6-40AA-AB2A-2125B5B4A2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6" stopIfTrue="1" id="{B50FFA6C-2985-45F2-9CFE-35DFFAE2DE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5" stopIfTrue="1" id="{0B2B57ED-6494-4DE3-8C71-621367F0FC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4" stopIfTrue="1" id="{F5792749-5771-42AF-9C4C-3875AE515F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3" stopIfTrue="1" id="{5566654C-127C-4505-B554-75D8C2D330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2" stopIfTrue="1" id="{246060F4-2F27-4559-86B1-9BAB95EDE2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1" stopIfTrue="1" id="{A988BA46-CA30-4BE2-9FF4-CF1414577C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0" stopIfTrue="1" id="{90E2F4C3-7C31-498C-9F11-3BD043C798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9" stopIfTrue="1" id="{D2815077-E843-4D70-8808-EB6A064F90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8" stopIfTrue="1" id="{D62C05C2-DE7D-47FD-BE39-5011DCAE12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7" stopIfTrue="1" id="{EA1404B3-1ED7-4AA4-A203-221C5D209B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6" stopIfTrue="1" id="{FE895629-D570-4B76-8A7E-903D8E1355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5" stopIfTrue="1" id="{D06E8F37-8B3D-4F92-8F75-837997E5D6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4" stopIfTrue="1" id="{C8ADD90B-7464-4D55-A6F9-8B188F64BC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3" stopIfTrue="1" id="{3AB36D64-A37E-404B-8BC0-FC0E86058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2" stopIfTrue="1" id="{50C1DE9B-0D49-4DF6-9FD2-610BE9217B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1" stopIfTrue="1" id="{47A5FCFC-1E54-423D-9343-0FFB354D0D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0" stopIfTrue="1" id="{787AC21B-8D14-4FAA-8CB6-A2D6194F19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9" stopIfTrue="1" id="{5DCD5D86-9436-4252-BC22-ABE49643DF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8" stopIfTrue="1" id="{B97F8457-3C6D-4D9C-B4BD-4144A5E30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7" stopIfTrue="1" id="{A49ABC56-DBE2-4609-B94F-C81AB5DD9B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6" stopIfTrue="1" id="{57092A89-C169-4B54-8CA2-A23FAD7D1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5" stopIfTrue="1" id="{0B070B09-507A-4F5D-94AC-354D74FD5B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4" stopIfTrue="1" id="{62DAD80B-4A08-4679-AB0C-BB8D3A4EFA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3" stopIfTrue="1" id="{094E6EDF-D57A-4F53-9A2F-BE7E55B50D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2" stopIfTrue="1" id="{CDC68ECE-8E9C-4344-9BFE-D57C05E987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1" stopIfTrue="1" id="{0945F783-AD53-4BEC-BF4E-3BC0C7F540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0" stopIfTrue="1" id="{940D3F6E-1136-4303-8163-9E4B179035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9" stopIfTrue="1" id="{12E01D5B-6CEB-4A52-B096-118BA4FD4A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8" stopIfTrue="1" id="{5ACA08E7-D02B-4194-9E3C-20C36F7FA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7" stopIfTrue="1" id="{672A45CB-F691-48BF-97A7-22D9412E9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6" stopIfTrue="1" id="{FD3BED8F-8CEB-421E-9A79-8DD1D31792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5" stopIfTrue="1" id="{7E106641-77F8-40BA-A7FA-C513EED2FF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4" stopIfTrue="1" id="{C62CD9FB-54DD-4776-A1DD-060250EBB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3" stopIfTrue="1" id="{24684961-21CC-45B6-B63A-1DD516464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2" stopIfTrue="1" id="{31719924-8E20-40EC-9C19-2BAF3EF0CE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1" stopIfTrue="1" id="{4D800F68-1688-40B0-BDDB-831770C1B9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0" stopIfTrue="1" id="{2F58A5F7-67F5-4154-9995-1426C038AE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9" stopIfTrue="1" id="{32044C02-0F9E-4107-ADD5-2692CA390F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8" stopIfTrue="1" id="{6F1ADC1E-99D2-46C9-B045-3E8865042E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7" stopIfTrue="1" id="{8C161557-E811-435E-ACC5-DA4838170C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6" stopIfTrue="1" id="{B06E4B13-D201-4D47-A2A0-90B6B661D3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5" stopIfTrue="1" id="{EC16F9B3-877E-4F6A-9D26-E2797AAB8F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4" stopIfTrue="1" id="{E5E6682C-BE93-42D1-8B53-BFC00FAF0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3" stopIfTrue="1" id="{3B184698-D45F-4061-BB17-AE74B0BCED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2" stopIfTrue="1" id="{49FD40D7-44BD-466C-BF89-761FCA3AD5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1" stopIfTrue="1" id="{4B797CD2-4C16-4715-831A-26F41F5A8E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0" stopIfTrue="1" id="{E076C4CB-317C-42B9-8992-FBA304A9D3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9" stopIfTrue="1" id="{265C0D87-3221-43AD-AE39-B9E9ACB55C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8" stopIfTrue="1" id="{E442E61A-C66A-4A80-BA14-EED4FA6AB8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7" stopIfTrue="1" id="{EC4DC7A1-2491-4430-8BCC-E3297B7045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6" stopIfTrue="1" id="{685721AF-0389-4F96-9223-59EFD54A77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5" stopIfTrue="1" id="{E57DAEA6-1080-4A38-912C-3B8ABF267B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4" stopIfTrue="1" id="{49B54B07-0C0E-4A7B-862C-1118854401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3" stopIfTrue="1" id="{9F408D96-50C8-4AB0-A81E-9D4E4123D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2" stopIfTrue="1" id="{FD36A8EF-8F70-459E-A5CF-ABC522573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1" stopIfTrue="1" id="{97CA062B-6BF3-4EA4-8C15-B2EBDCE201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0" stopIfTrue="1" id="{8F09D7AB-F41A-4D0B-83C1-6C7CADC71C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19" stopIfTrue="1" id="{AB45C3B9-7431-4AD4-9BEF-89C5DA12FE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18" stopIfTrue="1" id="{49747464-BF5E-414C-9450-1CF0CE897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17" stopIfTrue="1" id="{8D0EFDF8-9B58-46E2-B555-5EC61D2A1E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16" stopIfTrue="1" id="{60099D78-0974-465E-BA69-8486B28021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15" stopIfTrue="1" id="{3B6234D4-0DF4-41F5-A507-462A3F319D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14" stopIfTrue="1" id="{D257DE48-918B-477D-B3F4-AE8D3D5D1F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13" stopIfTrue="1" id="{4F8A8326-EC9C-4F52-8912-A043EC66DE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12" stopIfTrue="1" id="{5A05AAC3-4F77-4E39-85C5-87607AA8A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11" stopIfTrue="1" id="{D9DFFF00-B399-4499-BDC5-9C2900D955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10" stopIfTrue="1" id="{B1B67F10-1823-4FCB-8012-52D9FE2ED9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09" stopIfTrue="1" id="{0B408401-FA14-4278-9677-55190130A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08" stopIfTrue="1" id="{2FE2E206-871F-4DB2-B1AE-18A56EA9E9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07" stopIfTrue="1" id="{306AF7C1-1D09-467A-8E56-3A700C864C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06" stopIfTrue="1" id="{BE4AD251-FFD2-41CA-A299-55C5D14FCE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05" stopIfTrue="1" id="{A9729393-7DC9-4CEE-B82B-6904FD9DF0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04" stopIfTrue="1" id="{AEC52F80-8F95-46E8-A388-A122729D63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03" stopIfTrue="1" id="{FE4CA72A-37A9-47D1-BAAA-76832B0728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02" stopIfTrue="1" id="{C0FC45A8-6456-44A9-8A18-EB788A90FA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01" stopIfTrue="1" id="{5B80FEC9-34C6-49BC-8377-5BFCC5F893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00" stopIfTrue="1" id="{BAF00043-BAE9-4382-B340-7C18D0D7AA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99" stopIfTrue="1" id="{4E3BA7B4-2DD7-4535-9213-67A679594D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98" stopIfTrue="1" id="{74CF4E14-1117-4543-A3AD-388EFD5B5D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97" stopIfTrue="1" id="{4CF8ACC1-A08C-483B-8C46-F5BDBC41D9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96" stopIfTrue="1" id="{626F846D-BB96-47A7-94E6-15B703A06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95" stopIfTrue="1" id="{B5399FAB-D5D0-4D3D-8C4D-E07EF49284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94" stopIfTrue="1" id="{0975F746-6416-454C-9ABD-247DF560E8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93" stopIfTrue="1" id="{51ABA129-4725-43AD-82E2-82E7CD7042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92" stopIfTrue="1" id="{3DE26064-897B-4BFA-9930-196CA58C4A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91" stopIfTrue="1" id="{8D65EA47-6133-493E-85E0-FFF36A6B25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90" stopIfTrue="1" id="{934EB22A-FF0B-4370-AC4E-2304F5F26D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89" stopIfTrue="1" id="{26CC99B4-0476-47A3-9E1B-C362188C2E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88" stopIfTrue="1" id="{EC437847-E9FA-414B-A1A2-E67604831B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87" stopIfTrue="1" id="{BD386937-1C47-40D7-AB41-499075B8D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86" stopIfTrue="1" id="{9815507D-26C4-4489-9255-2A08CD9110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85" stopIfTrue="1" id="{21259DCA-3792-4F87-BB28-AE097A7468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84" stopIfTrue="1" id="{B17CA865-2F99-470E-AC5A-FCE1D9ACA8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83" stopIfTrue="1" id="{3F82113D-753C-4C4B-A489-8CC6C59EAD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82" stopIfTrue="1" id="{7A2D17F7-2A12-4BBB-BCA2-E30102574D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81" stopIfTrue="1" id="{F2D70009-872A-4B17-BEFA-E69032C65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80" stopIfTrue="1" id="{131A990A-59C7-405F-98AD-3C85A0BAF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79" stopIfTrue="1" id="{3BC07509-AF94-43A6-9881-423C49E9B0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78" stopIfTrue="1" id="{5AD246EB-6AB4-4089-8902-573E1B0CE7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77" stopIfTrue="1" id="{88F680D2-558A-4C56-9A82-AD92A7B2F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76" stopIfTrue="1" id="{9FAA8220-54DF-48C6-9CC4-5EE448D9AB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75" stopIfTrue="1" id="{3B6F706A-09EF-46B9-9000-4EBCCCF623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74" stopIfTrue="1" id="{4673E546-23C8-4860-80AD-FC7F834DC7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73" stopIfTrue="1" id="{E2CA7080-879A-4143-89FD-E061645229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72" stopIfTrue="1" id="{471CF790-B3D8-448A-83F0-CFC0794FC5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71" stopIfTrue="1" id="{0D0EEDB7-BE4A-47E2-BC3A-97D0780C31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70" stopIfTrue="1" id="{BD66836E-F033-400B-A9A0-1E6C88A53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69" stopIfTrue="1" id="{7A85415C-A26E-4C11-A8D8-EFE86AE7B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68" stopIfTrue="1" id="{ED274559-0B54-4692-AE02-5C2973CF15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67" stopIfTrue="1" id="{D82314EA-BF30-4E79-A16E-FA36BA3FE9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66" stopIfTrue="1" id="{387ABEAE-4021-4EE5-993A-EF714DF9C8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65" stopIfTrue="1" id="{DC67EAE3-6D41-4532-8383-690CCF5394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64" stopIfTrue="1" id="{83A30CE1-7B4E-4217-AAFC-12136AA148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63" stopIfTrue="1" id="{FBA86F9F-6B19-4C25-B39B-0883AAE36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62" stopIfTrue="1" id="{E03E3746-9177-43C2-AF9E-8FCF6BC16C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61" stopIfTrue="1" id="{898FD2F4-30B3-4A10-887C-8F08BEC34D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60" stopIfTrue="1" id="{7B5C39E1-CDA3-41A7-BA2D-5F3894D424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59" stopIfTrue="1" id="{C96D86B7-C017-4B15-9ECB-581C840032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58" stopIfTrue="1" id="{753CDA80-2911-4F17-94F7-E981EC3463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57" stopIfTrue="1" id="{A81262FC-8A9C-4854-9B07-C2D87E90DA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56" stopIfTrue="1" id="{1697C467-F1D0-45C0-830B-06FCA0A755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55" stopIfTrue="1" id="{5C6DD68B-A85F-4496-9F15-0F11B43B96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54" stopIfTrue="1" id="{E17BE190-3F02-482D-B07D-96C2A4E9BA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53" stopIfTrue="1" id="{02DA24D3-3781-4578-802F-2B5B6DAA53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52" stopIfTrue="1" id="{85319DAE-B0C8-4190-A587-053ABF8B21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51" stopIfTrue="1" id="{E8BF2BD0-89B8-4C37-90A3-D703A3677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50" stopIfTrue="1" id="{0085DF20-AA52-4291-85F9-3354FD5BA6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49" stopIfTrue="1" id="{1FD23950-6192-4B02-83AA-9C9216BC05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48" stopIfTrue="1" id="{A835AB29-A342-4435-AE4A-085BD6F2BF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47" stopIfTrue="1" id="{3AD2B27A-D790-4C94-9258-4C0161655A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46" stopIfTrue="1" id="{3EAEDF75-C164-4CDC-BA74-31705EE1C5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45" stopIfTrue="1" id="{D892B60E-3B14-42C2-8B9D-6F4B2900E9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44" stopIfTrue="1" id="{C1B7F3C6-5933-44F4-AB99-625E7B6AFA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43" stopIfTrue="1" id="{938636B1-A282-46E6-85DD-B3A15FA183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42" stopIfTrue="1" id="{FA0DE95E-3F88-4960-9EC3-D1AC39CE6F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41" stopIfTrue="1" id="{2CEA27E0-F8E0-406A-A768-2A4964170E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40" stopIfTrue="1" id="{8BAB832A-BBDB-4D61-AD74-F7640E7CB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39" stopIfTrue="1" id="{83BD885C-8EE0-4F8C-9B8C-A3386590F6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38" stopIfTrue="1" id="{B4B0E11D-C0DC-4DFA-91A1-630612B2E4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37" stopIfTrue="1" id="{3C5A3970-013E-4043-8A8E-80CDAEDE46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36" stopIfTrue="1" id="{DA5D6E3C-1E89-4ECF-BDC8-05F30C825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35" stopIfTrue="1" id="{D04A6FF1-895B-4F66-840A-A4781BD95A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34" stopIfTrue="1" id="{C7AA95A8-4C0E-4B78-813E-C595C9F99C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33" stopIfTrue="1" id="{A47CA06D-16E0-42BA-ADC9-BA35E8301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32" stopIfTrue="1" id="{067A46B7-8CFF-4C2B-85C7-B13A9A52B2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31" stopIfTrue="1" id="{D80E4505-6591-42EB-AE0E-E952E9AEA7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30" stopIfTrue="1" id="{22D04E21-CB1C-4A87-9E13-9E3AD76EA0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29" stopIfTrue="1" id="{CED5988A-278F-4C43-93A6-596C4134DE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28" stopIfTrue="1" id="{A7C08739-7AB3-42DE-8603-E7CFF06250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27" stopIfTrue="1" id="{8FE762DC-8CDD-4F44-9EAD-93E1578001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26" stopIfTrue="1" id="{BCD681C3-E2FE-4891-90B3-FC1D67CEB5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25" stopIfTrue="1" id="{DFA0022F-1E64-444B-AF0B-570B67341D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24" stopIfTrue="1" id="{6F76376C-BB8F-449B-BE12-A9937C5333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23" stopIfTrue="1" id="{B72B230D-82AD-4F31-9D17-E689633E04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22" stopIfTrue="1" id="{A0443790-96B2-4560-B4B0-0A5DF4AC6E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21" stopIfTrue="1" id="{BBF53A6D-9DD4-476C-9AAC-307E1B6CCA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20" stopIfTrue="1" id="{79CD01A4-29F8-444A-A526-D381112645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19" stopIfTrue="1" id="{58B7FEFE-13E3-44BA-A764-F9DF5BF7CF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18" stopIfTrue="1" id="{C8334DA1-FA23-42EA-93EB-A2BD1F921F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17" stopIfTrue="1" id="{DD8DE7F1-0F84-41B1-AF21-85D0ADB70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16" stopIfTrue="1" id="{D1A686A8-FC30-4B7D-9128-9ACE54E40F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15" stopIfTrue="1" id="{8BC2064B-A391-40CA-8C83-416848A68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14" stopIfTrue="1" id="{E720D9EB-C62C-49AB-A629-7DBF42A2C9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13" stopIfTrue="1" id="{0AD2F44D-AF77-48CF-9395-F9DD4AD860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12" stopIfTrue="1" id="{2908958E-E2C2-44B1-8AEA-00530403C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11" stopIfTrue="1" id="{A08C2627-34D5-402B-A839-FED9E34472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10" stopIfTrue="1" id="{084EB592-3913-42D5-98F3-EBDC16B4C3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09" stopIfTrue="1" id="{8A257B20-25A5-44BD-9629-9C594A43E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08" stopIfTrue="1" id="{A4B0BBB2-6527-42D0-86AD-BBAE24C80D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07" stopIfTrue="1" id="{7F22A688-ACB6-43A0-AC35-0DBBA64C4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06" stopIfTrue="1" id="{4471D390-DD13-4BD5-9586-91EFB123C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05" stopIfTrue="1" id="{D5C38C2B-B65B-4D58-BA9F-2A3D6FF83B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04" stopIfTrue="1" id="{5910E0F7-762B-4E02-9278-7496431AAE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03" stopIfTrue="1" id="{5F2AA372-F539-4472-A121-D4E1EEE2AB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02" stopIfTrue="1" id="{0495E432-FF3C-49CA-8A91-ABE3FCF4A6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01" stopIfTrue="1" id="{70521A9B-E878-4262-B354-6C505587AF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200" stopIfTrue="1" id="{9A1E3E02-906A-49E3-8F66-F9EC3E153B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99" stopIfTrue="1" id="{2DE7F9DA-E098-48B7-BFBD-E526E722C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98" stopIfTrue="1" id="{78D3514C-0EE2-4A39-8AC9-314E0CFDA7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97" stopIfTrue="1" id="{38533AA1-A143-4CC9-A764-E0E2F5BAE0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96" stopIfTrue="1" id="{CC02C113-0915-4823-8E83-1AB97937CD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95" stopIfTrue="1" id="{3C302DAD-6255-4D88-831E-B0CF862746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94" stopIfTrue="1" id="{394424CF-9D68-4AB8-9E8B-BE1BC785BA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93" stopIfTrue="1" id="{2ACAE4A7-AF9E-4E21-AA70-615E213C74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92" stopIfTrue="1" id="{F16F0F51-D83A-44E4-8ADF-095C8DE3FD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91" stopIfTrue="1" id="{F2EB8612-4C93-44E7-8679-42EE26F9E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90" stopIfTrue="1" id="{EDD41172-E9CB-4AF0-A329-A489F3B19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89" stopIfTrue="1" id="{D5370F38-F8FC-4D63-8A21-AE0F9B85CD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88" stopIfTrue="1" id="{F511F9C6-4983-4AC7-96EA-0155044A24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87" stopIfTrue="1" id="{FA0FEC63-147B-4186-B4CD-09225A887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86" stopIfTrue="1" id="{D61C1288-056F-4D27-BD96-474B64CF8D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85" stopIfTrue="1" id="{AFE22BAC-1486-44BC-B800-C7C2991C43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84" stopIfTrue="1" id="{DE533480-A93D-4D5D-988E-995CA698F9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83" stopIfTrue="1" id="{1B419EDE-2F64-4BC0-B9F4-9A4E91048B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82" stopIfTrue="1" id="{B1651045-F3F9-44BF-A973-F13589798C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81" stopIfTrue="1" id="{ADB29A32-6765-498F-BCB2-23CCA3A8DB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80" stopIfTrue="1" id="{66CADE85-0C31-4C97-9F39-D9699A2603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79" stopIfTrue="1" id="{4739AFB5-6854-4A5F-8622-5BF47DBE08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78" stopIfTrue="1" id="{64801549-955F-46C3-837F-2D79CB9DD7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77" stopIfTrue="1" id="{48196080-BD0D-46E5-B5F0-D0CC51014E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76" stopIfTrue="1" id="{523ADDBC-7C2B-42F5-8C11-5B460DB175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75" stopIfTrue="1" id="{93853AF7-967C-459B-BB45-998C3B73F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74" stopIfTrue="1" id="{333D8DE6-2FDE-4E08-850F-C692C0A69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73" stopIfTrue="1" id="{7AE8D090-D44D-48D7-A5B9-FB277D29F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72" stopIfTrue="1" id="{94F60110-132B-44F3-A209-E88A46D4B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71" stopIfTrue="1" id="{77F7658B-B0B8-481A-AD2C-6082BF8C54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70" stopIfTrue="1" id="{FBC72CD5-77BA-4BF0-BE51-2FDFA144BD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69" stopIfTrue="1" id="{332902F1-CCD5-4E3F-AA09-77B861BC04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68" stopIfTrue="1" id="{59760854-BC70-4BC3-B414-8B01CC7A49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67" stopIfTrue="1" id="{79906DFD-D307-4DD4-842F-72064880BE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66" stopIfTrue="1" id="{E7E60A39-7A46-4E05-9830-5E846A513C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65" stopIfTrue="1" id="{27C4E349-2DD6-4A07-9BDD-232064E31B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64" stopIfTrue="1" id="{0B273624-0DD1-4E3F-9996-50EBFFB9D7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63" stopIfTrue="1" id="{1B44BE4B-0A4D-4943-985D-8B2ADA9AF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62" stopIfTrue="1" id="{120D9C03-842B-444C-9C6F-5DC03F0EF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61" stopIfTrue="1" id="{DEC64C95-9B96-468C-B3A5-333DBD071B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60" stopIfTrue="1" id="{38A93D46-AF67-4085-81F5-42C3EF004E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59" stopIfTrue="1" id="{627A83FB-69B0-41B5-B8E9-5DF42CBCC8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58" stopIfTrue="1" id="{118CF14C-2096-4A82-88CF-4B6ABCEF3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57" stopIfTrue="1" id="{6E8245E5-47C1-4577-B38C-439FB18F38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56" stopIfTrue="1" id="{B25AA064-EB3D-428E-8CA0-31661DCBD2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55" stopIfTrue="1" id="{B7D07170-538E-47F2-82AA-AA05C5CB2C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54" stopIfTrue="1" id="{3F13F200-6BE7-4195-A93F-E9FFBAD08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53" stopIfTrue="1" id="{3770871A-232E-459B-904F-4534AD0FDC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52" stopIfTrue="1" id="{862AA52E-517A-45F5-B05F-250E7B938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51" stopIfTrue="1" id="{33BF0F15-BC6B-44CB-8B35-A9443A1DB2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50" stopIfTrue="1" id="{3DC75753-D624-46A3-B81B-FACE47F61D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49" stopIfTrue="1" id="{34DE091F-FBB3-4A62-9AA1-B66E16D0C7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48" stopIfTrue="1" id="{3B47822E-33A4-4963-8011-928A06A09C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47" stopIfTrue="1" id="{0E5C8D10-8856-4D78-AA53-1798D450F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46" stopIfTrue="1" id="{A246D924-AFF2-4810-93A9-BDB3F2EA94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45" stopIfTrue="1" id="{9300C335-22D0-4DE9-B980-3C9704A8F3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44" stopIfTrue="1" id="{BCB09121-AEB6-4477-924A-1198DBE082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43" stopIfTrue="1" id="{A75D0388-13E1-4EAA-98CA-14C1E61CA1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42" stopIfTrue="1" id="{1C2CC4B2-1EC3-43C3-B71F-92945EE6C4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41" stopIfTrue="1" id="{C20322DE-8C45-46E6-B8F7-E74B85E8C9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40" stopIfTrue="1" id="{8378384A-533E-45CF-A337-F593E09E21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39" stopIfTrue="1" id="{61007E21-B197-45FB-B795-E5B656070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38" stopIfTrue="1" id="{DF17CEB8-A388-4A43-A9E4-13CD3EF55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37" stopIfTrue="1" id="{EC6FC2DC-AACD-4CB6-95D4-BCD00D6038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36" stopIfTrue="1" id="{DA2F84FC-4DCE-4F53-8981-A98C0EAC9C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35" stopIfTrue="1" id="{29FA0C6C-8A52-4D4F-B798-C25F99FE1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34" stopIfTrue="1" id="{CA0A4144-8391-4301-AC33-430E137A9E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33" stopIfTrue="1" id="{DBC5A894-EB9F-4AE4-ADB4-5FE9AFC984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32" stopIfTrue="1" id="{9A23B99B-623F-4B55-82C3-2026EE1A35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31" stopIfTrue="1" id="{2B9A3D72-BB1C-4319-8C25-64392352AA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30" stopIfTrue="1" id="{1A29C4D9-F2A7-4C9A-AB3B-FA51E41331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29" stopIfTrue="1" id="{8C673351-B48D-490F-AB6F-4127146FC7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28" stopIfTrue="1" id="{9CB3C3CC-FB91-4F20-989B-1F5F67AAD1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27" stopIfTrue="1" id="{121A6A4F-83E3-400F-86A4-0C481A0262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26" stopIfTrue="1" id="{8FB5CD7B-9501-48C0-9BC8-F21DFE11E8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25" stopIfTrue="1" id="{DF80C114-5385-4CA1-A761-55F445D2DE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24" stopIfTrue="1" id="{3DEFD8DC-0941-4F7A-819D-E77E6EC8F4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23" stopIfTrue="1" id="{AF493E0B-5DF9-4D74-A2B0-28714D0502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22" stopIfTrue="1" id="{9FF0617E-9AE4-4FE2-8F8C-E56BD50E5F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21" stopIfTrue="1" id="{B376C03A-9C3B-47B3-BF09-039C787FD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20" stopIfTrue="1" id="{76E0B07C-D50E-40E9-83FE-EBCD30658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19" stopIfTrue="1" id="{441E71F1-F426-45E4-8EB3-A1631F4887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18" stopIfTrue="1" id="{77842C2E-D98A-4F33-94D4-8C538F646F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17" stopIfTrue="1" id="{85D8E603-E917-45B2-AB24-EC64E1A428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16" stopIfTrue="1" id="{BF0C32D9-1E16-4708-A78F-1B1F062CC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15" stopIfTrue="1" id="{C30DD941-96C4-4161-B296-A191B8673F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14" stopIfTrue="1" id="{21424276-3994-41FE-88CB-F8E13EFE47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13" stopIfTrue="1" id="{C8296779-95B0-4661-9E0A-0FA5FE173E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12" stopIfTrue="1" id="{1865685E-9AD2-42DC-8FFB-7FD5F46147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11" stopIfTrue="1" id="{C5966664-E16E-4BB9-87AF-C5BF40078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10" stopIfTrue="1" id="{F7560B51-4896-4697-AA1C-10CBA20C8F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09" stopIfTrue="1" id="{06C147D2-684A-41E1-B42B-8742FDFC8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08" stopIfTrue="1" id="{F7A32766-19FE-4D65-9448-6FBF4A068F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07" stopIfTrue="1" id="{F8E9F4D7-B27B-48EB-B0B2-A426E19B9C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06" stopIfTrue="1" id="{3D1BF174-AD33-4548-AC50-27D38E9304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05" stopIfTrue="1" id="{F2E2E2EE-B942-43EA-B92B-0F50531AEA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04" stopIfTrue="1" id="{5383A874-E08F-449F-A1B6-38FE4B381F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03" stopIfTrue="1" id="{F7300B36-7309-4431-B64C-E7B4DD5CC8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02" stopIfTrue="1" id="{C03F0127-B540-4027-85F7-65FCF508C5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01" stopIfTrue="1" id="{7DD46F31-6E2D-468C-97A4-AA8442217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100" stopIfTrue="1" id="{561EA1D1-1817-4535-BC74-4E5CCD0C6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99" stopIfTrue="1" id="{160E60AC-D71B-4863-A7A4-9BC673559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98" stopIfTrue="1" id="{B6CDA71D-33A8-40E1-A766-A244BBE792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97" stopIfTrue="1" id="{AAEAF27F-D329-4DE9-82CB-9D1250E028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96" stopIfTrue="1" id="{BBF914C7-3115-4DF8-A1E2-7192FCEE69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95" stopIfTrue="1" id="{5787863F-7B20-41DC-9E1F-F6B8F52674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94" stopIfTrue="1" id="{61725FBA-F7F1-439E-89C6-C042874596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93" stopIfTrue="1" id="{EF00D167-989C-408C-B492-918042A086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92" stopIfTrue="1" id="{11A1673B-7839-4FCA-87A0-2B285A24BD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91" stopIfTrue="1" id="{1DBC641A-42EC-4A72-B7AC-1EFC0233A4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90" stopIfTrue="1" id="{0750AA97-CA78-4CB5-A296-7D26801545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89" stopIfTrue="1" id="{0D22B3EC-78D7-459A-BBC1-F2B7338256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88" stopIfTrue="1" id="{C1048805-9CC3-4E34-85EB-8B9FF67000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87" stopIfTrue="1" id="{6E3D7A1B-5902-4A1F-B834-143C6C09AF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86" stopIfTrue="1" id="{03701B27-365E-46A4-9DD0-1DDDC2A884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85" stopIfTrue="1" id="{0119AA31-EC3E-44B4-A07D-B0039BD646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84" stopIfTrue="1" id="{BB372C86-C14D-4230-89B3-668F49D86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83" stopIfTrue="1" id="{76457F6A-A40F-46BF-8382-370373B140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82" stopIfTrue="1" id="{D6A390D1-7450-4D60-B816-C51B5B8A03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81" stopIfTrue="1" id="{A4DBC806-1633-4DFA-8319-B0F7BAF3E7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80" stopIfTrue="1" id="{6831CF23-8AEC-4FBC-A110-B7493CDBCD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79" stopIfTrue="1" id="{A30ADB4D-365F-4D30-9E23-108AD96E87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78" stopIfTrue="1" id="{AB781C5E-580E-46FB-A8EE-007D15830F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77" stopIfTrue="1" id="{2EFDB5EB-66F6-4166-9A56-FE22CAE366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76" stopIfTrue="1" id="{607D5157-2079-4CD2-87F4-FBD8E6D1E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75" stopIfTrue="1" id="{1136C76A-89E1-483C-9B35-68A4CF5C8E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74" stopIfTrue="1" id="{4A5DB0EE-CB5D-4D99-9053-95BD441E50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73" stopIfTrue="1" id="{09BEF9AF-3CB0-458B-983A-61A38ECDB9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72" stopIfTrue="1" id="{5FFF3B9D-A266-45BD-8784-EC8B92E26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71" stopIfTrue="1" id="{AE170C99-7B81-4BA2-AD4D-F0328312D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70" stopIfTrue="1" id="{2916FBC1-8758-484E-9FB6-B4A931F6D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69" stopIfTrue="1" id="{C202F924-6DA8-453E-92F9-5A41294EA6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68" stopIfTrue="1" id="{DEC5284C-97DF-472D-AA08-0CF66EC904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67" stopIfTrue="1" id="{B5258BEC-0187-40A3-B03B-55A38DBA88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66" stopIfTrue="1" id="{4BF8ABE2-CE11-4A5F-B6B6-9074CF0FA2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65" stopIfTrue="1" id="{6945B548-E513-4508-8B54-56E1FED497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64" stopIfTrue="1" id="{B4275DFD-55CD-44F0-B25A-9854076B5C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63" stopIfTrue="1" id="{E2D86669-3910-40A6-A3D3-1FE1FB531E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62" stopIfTrue="1" id="{A79D0457-FF6D-4335-AAB0-CECD92697C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61" stopIfTrue="1" id="{CDB6A69A-47E6-492C-98F5-93D0876FCE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60" stopIfTrue="1" id="{DA190C33-8516-4146-A7F7-8BF6385484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59" stopIfTrue="1" id="{44C9CA40-1097-4B41-844E-413A57107D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58" stopIfTrue="1" id="{0D1FC462-5894-4F50-A8F1-6320F1F58A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57" stopIfTrue="1" id="{E03FFCF5-2C2D-4297-AD30-423B01E1C0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56" stopIfTrue="1" id="{F0FB892B-5E26-4775-BCA7-A352994E7A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55" stopIfTrue="1" id="{66E7CD24-C61E-424B-93B5-61BFEF7AB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54" stopIfTrue="1" id="{D3E8FF95-86AA-4221-B076-34DFF7868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53" stopIfTrue="1" id="{D5100B9F-789C-42A1-A416-1D4D7EE5D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52" stopIfTrue="1" id="{86052B00-14A9-46F8-A72B-2F1CAEA13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51" stopIfTrue="1" id="{E16B74C4-22AF-48CB-9F23-DABC98B2EB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50" stopIfTrue="1" id="{AAAD12F7-53D8-43B3-BCDE-ECB1F8A785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49" stopIfTrue="1" id="{7C7895F6-C32C-4BC0-B4F3-5E5BED7310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48" stopIfTrue="1" id="{B9C34E95-DB50-45CE-86D4-72143234FF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47" stopIfTrue="1" id="{E97AFD01-0444-4717-8391-AB47C8D0C0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46" stopIfTrue="1" id="{0DCACB3A-5C08-410F-A8C4-47B7AA2D55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45" stopIfTrue="1" id="{B9785F75-8ADE-428E-883E-4DBFE75462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44" stopIfTrue="1" id="{19B4DFCB-C6B0-447D-94CA-6BE1BDF619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43" stopIfTrue="1" id="{E9BE6795-CAB2-4886-813B-6EB123F3A1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42" stopIfTrue="1" id="{0DF47780-165B-4761-BA99-F6C1CC4601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41" stopIfTrue="1" id="{14222423-D21B-4997-9543-97A9379769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40" stopIfTrue="1" id="{19DDEB33-2582-4545-AE4D-07F6BB959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39" stopIfTrue="1" id="{745C9378-7C62-45A5-B008-EDF37D4C08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38" stopIfTrue="1" id="{B9195CBE-6CE6-4AE2-A0C0-1B1E784AA7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37" stopIfTrue="1" id="{A42B760A-0F22-4DDB-B6A2-C45D6E2430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36" stopIfTrue="1" id="{EC37EEAB-E594-48FE-B78C-C43CAE6D5C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35" stopIfTrue="1" id="{92AC89A9-FA95-47F0-BB76-DDCE0F4B56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34" stopIfTrue="1" id="{FD9AD64A-DC6A-49BF-AC44-6A433FCECA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33" stopIfTrue="1" id="{039779B9-0EE5-4FAC-98CB-02029A6463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32" stopIfTrue="1" id="{8AAFC029-8201-405B-8C6E-046D3321FC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31" stopIfTrue="1" id="{7312EB39-2FA9-4ACD-84EE-7153E9F0B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30" stopIfTrue="1" id="{DB0BCF8E-5201-4B28-BE50-FD3011F54D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29" stopIfTrue="1" id="{1FB6897D-4A11-4433-8E22-60F2EEE63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28" stopIfTrue="1" id="{0872ADA3-F96F-4C4E-B6C4-F8BE0EA699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27" stopIfTrue="1" id="{C68219BB-73CB-43D5-A4C1-BCC824C2EA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26" stopIfTrue="1" id="{2C57273F-FD70-4E88-ADCE-D87F702417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25" stopIfTrue="1" id="{83961E94-B9C2-4FBF-A1F2-772A24E082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24" stopIfTrue="1" id="{61B10008-0D3B-48C4-B5B2-B28DC83E1C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23" stopIfTrue="1" id="{498A0DB2-C1BC-4A42-867A-DC2DA936E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22" stopIfTrue="1" id="{EBA508FB-8A8B-4644-8D4F-E971D3CCB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21" stopIfTrue="1" id="{DD4B6F40-1251-468F-830B-CCEB563418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20" stopIfTrue="1" id="{EDBD054E-BA4B-49A8-B92B-CA4F787022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19" stopIfTrue="1" id="{285A4FBC-F19A-4F0C-B242-F6741FE09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18" stopIfTrue="1" id="{0B8B8D9B-9226-4B7E-BEF5-733EA28926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17" stopIfTrue="1" id="{A6EA6121-EA7E-457F-96B0-98AC4232F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16" stopIfTrue="1" id="{C9EFEF4F-E22B-4DCC-8276-044BCA3EEB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15" stopIfTrue="1" id="{56EB7BF4-23A8-403C-A917-5B2061DA10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14" stopIfTrue="1" id="{32CA77AA-2A1B-4838-A98A-744101507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13" stopIfTrue="1" id="{E0227D91-4F97-492E-B5BE-0ECDE72E36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12" stopIfTrue="1" id="{390D36AD-B935-4CEC-9EAA-A4BFAA9B34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11" stopIfTrue="1" id="{5BFF978A-B20C-4483-B225-F346A1CA9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10" stopIfTrue="1" id="{F40D0CB8-C943-4D29-B827-9599F747E3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09" stopIfTrue="1" id="{0ED1D1D3-102F-47BF-9C8A-969A0EFB93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08" stopIfTrue="1" id="{5EA6AFB0-825C-46E6-9065-9E39D60174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07" stopIfTrue="1" id="{21F610F6-A2C2-43A4-A07D-9DC2907520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06" stopIfTrue="1" id="{9C0BA446-0DF6-4784-9086-4991A21862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05" stopIfTrue="1" id="{16927ED2-347C-482E-96CA-AA0A258ADA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04" stopIfTrue="1" id="{2FB25054-CED9-4C9D-BF9E-D74E9E6784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03" stopIfTrue="1" id="{42FEF9D8-A7A1-4C4E-9820-89E512491F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02" stopIfTrue="1" id="{598DC38F-8CF2-4235-AFF5-3A44DDDC41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01" stopIfTrue="1" id="{721403FB-0278-4777-9F6D-20471F8016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000" stopIfTrue="1" id="{DA53F1BF-5D07-40D0-BCF3-CCFB0993F6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99" stopIfTrue="1" id="{506317CA-0578-430A-9F58-1EA92DA800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98" stopIfTrue="1" id="{21BFBD6C-1B7E-4BA0-A9B8-74017DBF62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97" stopIfTrue="1" id="{617F262E-3C8A-4E55-B2BA-E3F80E76E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96" stopIfTrue="1" id="{2100DC10-2905-478A-99AF-F5B6ECE2FF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95" stopIfTrue="1" id="{C5BB98FD-86F0-4FFC-819B-E8B6342E4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94" stopIfTrue="1" id="{E7AE74E9-D55C-4C1F-B9B1-6E0AE3A897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93" stopIfTrue="1" id="{47C067DA-01F8-4563-A921-9ACA6E261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92" stopIfTrue="1" id="{30C0E4D9-78B9-4D0D-810D-AF3556AD70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91" stopIfTrue="1" id="{2CE8F983-F1B5-4E62-9774-72CA4717FD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90" stopIfTrue="1" id="{93DD6D2F-CA28-405E-8274-43B3DCCDE5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89" stopIfTrue="1" id="{CC3FA1D1-2D08-4218-B4A6-02DC4E6F94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88" stopIfTrue="1" id="{D5256E5B-F23B-452F-9E1E-51896DFC4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87" stopIfTrue="1" id="{0DA7C7BA-65D4-41A2-AE3F-77E6CEBE3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86" stopIfTrue="1" id="{B5C3AF70-C773-472B-A5FA-999ED1B7C0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85" stopIfTrue="1" id="{A132C7F8-4BDE-4066-8444-5E9D8DFF2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84" stopIfTrue="1" id="{A73323E3-46CE-49DF-B43D-B44F4DCB88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83" stopIfTrue="1" id="{FB89DCF4-F67C-4AED-A08C-F5810B10B4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82" stopIfTrue="1" id="{F545A418-54BE-4FF6-A1CF-9EF9053D3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81" stopIfTrue="1" id="{D1C4D9FE-6C29-46D7-9306-2383E24532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80" stopIfTrue="1" id="{20FA841F-4CED-4FEE-B736-BB1E9B0A93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79" stopIfTrue="1" id="{F8287E56-F050-4659-9EB1-F888C11F1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78" stopIfTrue="1" id="{6DD5AE10-49A5-42D1-BC50-E19C5D89C4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77" stopIfTrue="1" id="{9EC90503-EE82-41CD-9DF1-1E1077DE6C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76" stopIfTrue="1" id="{1A0A19B3-B7C2-40F2-B7B5-DA24A7626B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75" stopIfTrue="1" id="{69497481-3634-401B-959B-ABDFF3E46E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74" stopIfTrue="1" id="{B28DEFC5-8EBE-42D5-AB3A-FF2EFA82FB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73" stopIfTrue="1" id="{05CB5997-434E-4D8A-A200-F90140746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72" stopIfTrue="1" id="{39A417FE-700D-4B4C-BA81-74AA4950D7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71" stopIfTrue="1" id="{0749EA8E-0BE1-466F-BAC5-E38E75CB2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70" stopIfTrue="1" id="{A92D170A-9C21-487D-86D7-F5480ACF3F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69" stopIfTrue="1" id="{8A8B44F7-9F9D-4493-B377-17061808C8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68" stopIfTrue="1" id="{91626406-0D10-4B6F-BD72-29C3C87EFA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67" stopIfTrue="1" id="{6AC8BF48-131A-4749-9A88-8CF3023239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66" stopIfTrue="1" id="{CE6BCC64-FC98-4483-9ECF-41DA45199C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65" stopIfTrue="1" id="{AA3A135A-68C3-45AB-80BB-8B27D980D5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64" stopIfTrue="1" id="{F69584D8-6E68-41BA-8BB0-1B58EE05B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63" stopIfTrue="1" id="{96143E54-390F-42FB-B038-FA5C2FF895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62" stopIfTrue="1" id="{1EBFEF32-89C6-4D90-8DE9-175A314454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61" stopIfTrue="1" id="{8A4EA10D-A566-4C24-9F14-FE52214462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60" stopIfTrue="1" id="{E02E9B6C-4867-4E82-8B79-82ED1AE5A3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59" stopIfTrue="1" id="{A1FF4C0E-0AB7-4E55-9D30-5DC6CAA65E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58" stopIfTrue="1" id="{B8B0050D-3735-4E2C-8A16-77BB2BE6C1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57" stopIfTrue="1" id="{33C48978-37EC-44B6-85C5-FE6CE0E22E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56" stopIfTrue="1" id="{44F3CC35-FE48-4DF3-B816-4C917F83CA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55" stopIfTrue="1" id="{FDC6DDAF-0767-4BAD-9CAD-DBA0827524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54" stopIfTrue="1" id="{51A1679B-389D-44F7-9B98-D356DDA17B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53" stopIfTrue="1" id="{7FE39702-7BA0-47B3-B1E3-F41FBE1C5B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52" stopIfTrue="1" id="{1D01855C-8826-42F0-B412-0CA9061335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51" stopIfTrue="1" id="{9CCB7FE3-1306-4D8D-8956-A049C74E9F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50" stopIfTrue="1" id="{64B7EA1C-13CD-4059-A9DC-F803842EA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49" stopIfTrue="1" id="{7E5D0E0C-9C5B-42BF-B1A8-D5A1D0AE34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48" stopIfTrue="1" id="{840BC85E-676E-475D-B0BB-A544F9850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47" stopIfTrue="1" id="{075CAC15-DA06-482C-A01C-970342CFEE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46" stopIfTrue="1" id="{8F12E10D-2B8C-4C9E-A567-3D2662DA50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45" stopIfTrue="1" id="{E239109B-31A2-4B49-A445-ACF81A0B5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44" stopIfTrue="1" id="{48DA16C7-934D-4E45-89ED-9A56FF6E28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43" stopIfTrue="1" id="{69BA2C32-7ABA-4547-A15D-292917C606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42" stopIfTrue="1" id="{7445CCAB-C257-4EE3-9599-5476E7F8CF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41" stopIfTrue="1" id="{FA999D57-3373-413A-AD79-EFCDC188DE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40" stopIfTrue="1" id="{3ADFF2C1-AF3E-4483-898A-FD55156982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39" stopIfTrue="1" id="{544FDA43-C8D2-4AFB-A607-3B8E1466F7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38" stopIfTrue="1" id="{D1BE3E4F-2AD2-4306-8F2C-0C046CB99F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37" stopIfTrue="1" id="{0E3C9525-3022-405F-8149-D54803C0B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36" stopIfTrue="1" id="{1F9614F9-8FA0-4FD9-9A2B-C216C8C57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35" stopIfTrue="1" id="{7B7A5119-F4AC-4D5D-8C4E-D136C0D14B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34" stopIfTrue="1" id="{B3D0CA93-8F94-45FC-911E-F7F0B6F12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33" stopIfTrue="1" id="{BCFA20BD-ADC0-44A1-9828-D80D2783DF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32" stopIfTrue="1" id="{E388E461-FF34-47C5-AAF7-829454C883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31" stopIfTrue="1" id="{8A49F4BD-3E11-4505-9E1E-73F4A36ABB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30" stopIfTrue="1" id="{1AF942F0-802E-48A7-AE3A-8240304658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29" stopIfTrue="1" id="{C0BA5745-5CEF-44B0-B4D9-6316F931B6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28" stopIfTrue="1" id="{78A66101-FBF8-419F-88CE-26963301F3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27" stopIfTrue="1" id="{B38D6067-A7C6-45F2-BEE3-3220336EC6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26" stopIfTrue="1" id="{D8EE0143-8005-4EE0-9BF4-E8E0BB773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25" stopIfTrue="1" id="{5DB5A132-4CB5-4285-93B3-CF0B4A72C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24" stopIfTrue="1" id="{131C89E8-B146-49B1-90DF-6A08345890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23" stopIfTrue="1" id="{CC0379EF-4C83-4038-8D05-400ACA888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22" stopIfTrue="1" id="{0CEFD547-935F-49DB-B940-38EE8E99C1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21" stopIfTrue="1" id="{EA1213C8-04D4-44E7-BCBA-C396745464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20" stopIfTrue="1" id="{E79BA03E-4F31-44B4-8BE4-D97555B08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19" stopIfTrue="1" id="{8604142F-06BC-4F99-BF5B-A804E50F96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18" stopIfTrue="1" id="{8E31896A-8969-4EC8-B7EC-B7F2CBB92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17" stopIfTrue="1" id="{80916FEE-C4B7-4DB1-8B2C-C60E815AB5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16" stopIfTrue="1" id="{DDDC6ECC-1D2C-4741-9444-083700911C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15" stopIfTrue="1" id="{5433DDAA-606D-4B46-94E7-E6C8ABE3E4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14" stopIfTrue="1" id="{146E29BE-6FDE-4A30-BF91-B900E6F7D9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13" stopIfTrue="1" id="{F04F7189-9EB9-4A8C-9C6D-13A09535D3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12" stopIfTrue="1" id="{5B93C5B6-6708-43F4-8024-E1A6C27F15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11" stopIfTrue="1" id="{56B41CB0-9D33-44D5-8E9E-30F2B62ADD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10" stopIfTrue="1" id="{6E598735-1F65-49E4-8066-29B706132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09" stopIfTrue="1" id="{E3580CF6-DC53-45B3-A9F3-9E2350E937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08" stopIfTrue="1" id="{BCDA4401-3496-4965-A2D6-7FC1C484A0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07" stopIfTrue="1" id="{0A0B32D2-C440-4201-B153-BA4420F785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06" stopIfTrue="1" id="{B94553AA-0A30-40B3-A4F2-F41E66597B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05" stopIfTrue="1" id="{35A14FEC-4800-4013-A9EC-B358A31B16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04" stopIfTrue="1" id="{850BE8BB-0809-47F0-986C-AF08CD3F80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03" stopIfTrue="1" id="{6E160086-B471-4583-8BFF-D118327E58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02" stopIfTrue="1" id="{34C06037-E2B1-4DAD-9050-64FE636E88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01" stopIfTrue="1" id="{B8204634-D498-4EAA-8868-6EDB31B8AE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900" stopIfTrue="1" id="{2A40C91A-7951-4CE9-B68C-830D9EDF5A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99" stopIfTrue="1" id="{DACF9623-A042-4F09-85E8-27FB449781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98" stopIfTrue="1" id="{CB17676B-958C-4A19-ABFF-652DDF28F0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97" stopIfTrue="1" id="{904541F9-4733-406B-B3FA-CBEC8DB5E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96" stopIfTrue="1" id="{349016BC-CC57-4454-BD6A-BE176431D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95" stopIfTrue="1" id="{99FA16C7-554F-4CFF-9F83-714C71187A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94" stopIfTrue="1" id="{900A6CBD-5516-464D-A362-809FE3852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93" stopIfTrue="1" id="{84F47553-0B08-4AAF-ACF7-718B004D0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92" stopIfTrue="1" id="{319747CE-0216-4450-8DE7-A53F4C5CC1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91" stopIfTrue="1" id="{4836002B-B3B6-4F15-8BC7-D80DE0788C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90" stopIfTrue="1" id="{45C3BF91-697D-4760-88F3-FEAD5A9E93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89" stopIfTrue="1" id="{CECF325D-3E50-4805-A88B-62EC671330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88" stopIfTrue="1" id="{9DCD33DF-6C31-47B6-ABAA-C5B1004F4F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87" stopIfTrue="1" id="{27103F36-4B4E-4F7F-991F-DF57A6579D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86" stopIfTrue="1" id="{F22B30B6-7957-479C-B9D7-12E4456A5B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85" stopIfTrue="1" id="{08D5C1C2-76C1-4F19-B582-0B1B003C2B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84" stopIfTrue="1" id="{82A0B0F7-12AA-4FD8-8E07-B6EF2709D9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83" stopIfTrue="1" id="{F11FCC08-F947-490B-8A5C-30E85CB27F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82" stopIfTrue="1" id="{751AE080-81C3-48BA-BF80-1564F374B3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81" stopIfTrue="1" id="{D06BCFC1-D9CC-458F-A8A8-898B3CD13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80" stopIfTrue="1" id="{0A6E79FC-D4D1-4918-8988-010637C880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79" stopIfTrue="1" id="{1A634044-D7D3-46E0-B57A-E9081B2423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78" stopIfTrue="1" id="{1B114997-E77F-4D69-ACFD-72360170FF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77" stopIfTrue="1" id="{CAAA4067-D03D-4A84-816C-4F0E447CB5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76" stopIfTrue="1" id="{EF1CDDFB-6B9B-4E98-8D9C-B9C29345E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75" stopIfTrue="1" id="{DC0F5C2A-91F0-43AA-92FD-0C7A2C396A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74" stopIfTrue="1" id="{543CDE9F-F0AD-49B1-A6D1-FE754E201F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73" stopIfTrue="1" id="{F822C6F4-AF7E-4C2B-B5B9-0AEE71BBC8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72" stopIfTrue="1" id="{C5AFD3F1-4E72-4773-A535-E80039AEBE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71" stopIfTrue="1" id="{2571035D-1338-4F7E-BDBA-0200F1983F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70" stopIfTrue="1" id="{D2E3FCED-4EF0-4320-AEB8-87E342A5A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69" stopIfTrue="1" id="{FD3870A2-9D1F-4637-8528-310360B91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68" stopIfTrue="1" id="{D05EEE09-9B1A-4CAE-859D-665143A16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67" stopIfTrue="1" id="{F4D7928F-856F-4E26-B533-4267C36D58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66" stopIfTrue="1" id="{5CA1DDE6-5559-41F6-A1B7-D732A1C61C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65" stopIfTrue="1" id="{64777D61-7674-4CDE-8EC0-C7B1C2C10F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64" stopIfTrue="1" id="{7BC59A6C-794E-44BC-9A15-99EF6E51B2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63" stopIfTrue="1" id="{AC1A6C70-D3F6-4818-8A11-3BD2988C5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62" stopIfTrue="1" id="{AC6C63D5-BE24-44AC-9764-34BE29C2A4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61" stopIfTrue="1" id="{E668B5D2-4416-4E65-AADB-DFC7E541F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60" stopIfTrue="1" id="{9AEC5C0D-AED9-4109-B455-A7DA64EFA9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59" stopIfTrue="1" id="{D6A2CA55-3DA7-4842-965A-693A5B3BEF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58" stopIfTrue="1" id="{0A2482BC-343B-448D-8327-D6E85AC298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57" stopIfTrue="1" id="{ED0F4A3D-AD04-46BE-BD58-569443B63B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56" stopIfTrue="1" id="{9736E4ED-D5AE-440C-A3A5-430AF2A776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55" stopIfTrue="1" id="{5F8963F2-E80C-4330-A8D4-FEAA1394AD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54" stopIfTrue="1" id="{8B676D34-0A0E-4B85-997A-9E286628B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53" stopIfTrue="1" id="{936EB64C-2BA0-4E25-A4F8-95BFD92222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52" stopIfTrue="1" id="{43063598-1717-4F0C-9B98-F498C6CF15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51" stopIfTrue="1" id="{34FEC615-2F09-4277-ABB7-A6560684F3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50" stopIfTrue="1" id="{99DC1FEC-307C-4897-A14F-82B515EDE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49" stopIfTrue="1" id="{998C5B51-E7BD-4866-A554-B6B30907F5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48" stopIfTrue="1" id="{23B2D3FF-74FB-431A-834F-2958BC2C38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47" stopIfTrue="1" id="{13EA28B7-F50D-41B3-B9CA-E5D894DE0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46" stopIfTrue="1" id="{F90B4073-F4B6-4CC3-8907-E37151EE9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45" stopIfTrue="1" id="{86D4F59C-C5A8-4DED-9FAB-3FF221B6B9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44" stopIfTrue="1" id="{4AC13E5B-EA4C-45B4-B1F7-093C3E25B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43" stopIfTrue="1" id="{48A457DE-0B9A-41D0-8CE0-1A15446DB9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42" stopIfTrue="1" id="{040F1FE1-5226-43D2-8EF3-248960038A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41" stopIfTrue="1" id="{C4F74C38-559E-4B0C-8034-8078604A40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40" stopIfTrue="1" id="{4C88E175-8347-4094-8726-51566A1C43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39" stopIfTrue="1" id="{B28BD6F1-906C-4751-A615-677C4CFF01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38" stopIfTrue="1" id="{5DA9121C-44C1-47C6-BCA3-7BBC05A6DA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37" stopIfTrue="1" id="{907680BD-C69C-4905-A03A-304C3CB0D3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36" stopIfTrue="1" id="{334E5F63-B620-407D-AD0F-B353748030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35" stopIfTrue="1" id="{0EC6523F-536C-4BBD-BF1C-7EF5C1BB02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34" stopIfTrue="1" id="{EA3AA176-89AC-4AF4-BFB6-1C126E6621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33" stopIfTrue="1" id="{28397E29-F661-46EB-9332-02FCD16835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32" stopIfTrue="1" id="{CC990E01-82A0-40EF-956D-4BA3F421D0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31" stopIfTrue="1" id="{7B6EF3CB-909A-4AC3-BCE0-5D3740E18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30" stopIfTrue="1" id="{9BFE783D-DAE9-4074-A9BD-EA407D0AAA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29" stopIfTrue="1" id="{67AB8F0C-119E-493F-A0C8-A98A606A0B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28" stopIfTrue="1" id="{595F4550-5D07-4EE3-B208-23FED6BFF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27" stopIfTrue="1" id="{A5BFFF99-3C24-4402-B18E-DD787AA120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26" stopIfTrue="1" id="{1E17B108-F941-484E-8147-7CAB773491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25" stopIfTrue="1" id="{E6F19488-9906-4C9A-8426-4C25A60A17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24" stopIfTrue="1" id="{898BCCD5-8640-4A56-A9C7-30355B3F0D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23" stopIfTrue="1" id="{6AFCAA62-CD22-4938-A251-7D2FDDFDBD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22" stopIfTrue="1" id="{F115B27D-9504-4DDC-BFD2-C8A32B45D7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21" stopIfTrue="1" id="{14578681-B0D4-4691-9F36-2575D7E336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20" stopIfTrue="1" id="{A4CB3168-D5F1-4302-AD30-9765BA1608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19" stopIfTrue="1" id="{067A4F74-66D9-4E10-B1FA-E93A8E848E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18" stopIfTrue="1" id="{5F936077-0E5E-42FB-9E3F-8CA0153674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17" stopIfTrue="1" id="{9A4BCBA9-0246-43AD-BADF-2C586C9232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16" stopIfTrue="1" id="{6F87FE8D-94D0-4294-9347-A738775B81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15" stopIfTrue="1" id="{A3F3FE47-DE0E-4188-88E6-886E25857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14" stopIfTrue="1" id="{13B27FEA-2BAC-48F3-B49A-7F5D0CF7F0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13" stopIfTrue="1" id="{8929B604-D1BE-4EFE-BA6D-CBAA0CF37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12" stopIfTrue="1" id="{C5135E02-01C2-40A5-B784-22EF63AFDE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11" stopIfTrue="1" id="{0DF85B3D-0CC5-41C2-8F53-E04A032B11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10" stopIfTrue="1" id="{ACBF0284-C731-4986-AC76-A312D3CE6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09" stopIfTrue="1" id="{E90558F9-0B91-4693-8767-400146E4D9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08" stopIfTrue="1" id="{E409CB78-072D-4154-8BDC-07A43E19CE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07" stopIfTrue="1" id="{EC37E7EF-3C83-4EE1-8E33-D9B1ED320E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06" stopIfTrue="1" id="{24AC448E-1099-4322-B8CF-360B4242EA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05" stopIfTrue="1" id="{87840598-3F3E-4EDA-8C42-F4E325408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04" stopIfTrue="1" id="{A530C6AE-B3EB-424A-9B9C-A21835A50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03" stopIfTrue="1" id="{BC6C25EA-E8AE-4F09-808E-ADB9CC5802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9802" stopIfTrue="1" id="{94CDB683-C201-4F88-8AB2-D2ED9AAF4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01" stopIfTrue="1" id="{A56BC212-2635-473D-B5DA-928290C468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00" stopIfTrue="1" id="{5B568673-3943-4BCF-9CB0-D8D613171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99" stopIfTrue="1" id="{752EE8FD-4BDC-4047-8AEE-614BE30011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98" stopIfTrue="1" id="{FBBF964C-0314-412A-8A0B-24F8E4119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97" stopIfTrue="1" id="{40E786C9-24E2-4DB6-80D3-17D75C2152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96" stopIfTrue="1" id="{3EE962FB-6CD0-44A5-AD57-A98359AA52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95" stopIfTrue="1" id="{E3C70C5D-B320-4922-B9AC-2421FA6D5D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94" stopIfTrue="1" id="{FACBFE78-FB83-490B-BE0B-308723CC1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93" stopIfTrue="1" id="{4CC6521D-A7E1-40C2-8423-83B77A5BC0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92" stopIfTrue="1" id="{D633FA3E-DA26-445E-9786-901AB8169F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91" stopIfTrue="1" id="{53FDCB2A-1249-4D0A-83FF-645B38B675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90" stopIfTrue="1" id="{763CDFC4-E2F5-4B91-8945-2EEFE2A942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9" stopIfTrue="1" id="{900147A2-05B2-4143-8526-80DAB6EFD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8" stopIfTrue="1" id="{11D7AB9B-D4B9-4BFA-8A66-3CC716248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7" stopIfTrue="1" id="{F57D6131-933A-4AC0-8FF8-FBF1DDD72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6" stopIfTrue="1" id="{3F6FA5BB-27A4-46B6-B350-395415F4E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5" stopIfTrue="1" id="{CE7B92E9-56F8-477F-BDAB-D1A02E5650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4" stopIfTrue="1" id="{D1E6BAED-CA4A-46B7-8B2F-5098D2F5A6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83" stopIfTrue="1" id="{B6702758-47C6-4798-86F7-DC68B8B0B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82" stopIfTrue="1" id="{B0ADD9E4-D61F-4EB8-96F3-F8187E112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1" stopIfTrue="1" id="{78C4A62B-6196-46CD-8EFF-E739E43D59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0" stopIfTrue="1" id="{6B7D1FCF-7F39-48DC-820C-5189CFC903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79" stopIfTrue="1" id="{7975959A-1893-4624-BEE2-45EF7711D4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78" stopIfTrue="1" id="{EC0EE211-3B1F-4CD3-9E2D-CDA6CFC7D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77" stopIfTrue="1" id="{D47C7076-7D57-4D88-A19A-309E9DFD44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76" stopIfTrue="1" id="{B71199D4-E856-4A80-833B-7B728B2963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75" stopIfTrue="1" id="{4B0828F9-6EFB-4CA7-A451-CEA36E0AE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74" stopIfTrue="1" id="{80B767B7-6851-4F3C-9FDA-95BC95446D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73" stopIfTrue="1" id="{C4257FC6-0AF4-476B-9DD9-95FF116663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72" stopIfTrue="1" id="{D36009C5-A2BD-47B4-B845-823AC1545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71" stopIfTrue="1" id="{982A9876-0706-4895-9BE6-0F11604117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70" stopIfTrue="1" id="{CE794362-A7EB-4285-8D22-FC3B294729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69" stopIfTrue="1" id="{F58996A4-987B-4783-8F3A-C3540E9A39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68" stopIfTrue="1" id="{AAEE95D7-25C1-4338-AB21-D523288CFE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67" stopIfTrue="1" id="{B0A169DB-F65D-4FCE-86AE-A91485E8EE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66" stopIfTrue="1" id="{6209D3C3-F8DE-4C19-8E12-59389B4E86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65" stopIfTrue="1" id="{8782F6CF-55B9-4B28-AF87-3EB35BAF51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64" stopIfTrue="1" id="{83AE04AC-41BF-4D2F-AD96-8EB7CBC902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63" stopIfTrue="1" id="{61F1E6E8-3D98-47EB-ACB1-174696F91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62" stopIfTrue="1" id="{35569F88-7E47-460D-98D3-B19BD0D44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61" stopIfTrue="1" id="{76CBE5B2-718F-420D-9A80-52E34E08FD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60" stopIfTrue="1" id="{16A23344-4EDB-4185-BC51-A82E14CA85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9" stopIfTrue="1" id="{691B741A-179A-476A-866B-C3F9A46EF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8" stopIfTrue="1" id="{6CA15879-227C-44EF-ACCF-DBC4F4F4DE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7" stopIfTrue="1" id="{23A5FD5C-9373-48A7-81BD-6D9E03EEE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6" stopIfTrue="1" id="{939A9FE8-9210-4B50-89F9-629FAC6BA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55" stopIfTrue="1" id="{C8C784B3-E14F-47C8-BE47-346F389FE5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54" stopIfTrue="1" id="{A2A42BCF-88D6-4AB0-B06D-96094BDDA5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3" stopIfTrue="1" id="{DEA3B395-A16B-40AC-88EC-40545A5146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2" stopIfTrue="1" id="{CA0C429C-8EC0-4633-8238-6249E1D24B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51" stopIfTrue="1" id="{640C29DD-45D1-4702-91D7-A396B71F3E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50" stopIfTrue="1" id="{C2867DFD-E991-414C-98E6-EDB1A82673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49" stopIfTrue="1" id="{93B3D5DF-87FD-4A04-8F2A-F086BE1E8F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48" stopIfTrue="1" id="{604E8273-4C3E-4811-B595-B133E94246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7" stopIfTrue="1" id="{66FC4F45-805B-466C-8BCD-1D7F5DCD16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6" stopIfTrue="1" id="{B0395B9A-0F93-4BDE-92A8-5923657041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5" stopIfTrue="1" id="{039075D8-8110-47A0-8C66-EBCA7349C8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4" stopIfTrue="1" id="{50115950-CA88-43FB-A99E-7377890772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3" stopIfTrue="1" id="{2EA8AB9B-85FB-478F-A75C-9342EE5814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2" stopIfTrue="1" id="{0BCFB461-BB8B-46C0-B0FC-38F85FD28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1" stopIfTrue="1" id="{02556AF1-3678-4AE3-B4A1-9DC47F5A47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0" stopIfTrue="1" id="{57E31C17-544E-48EA-90A7-DD64DAA91A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9" stopIfTrue="1" id="{A48E2CAC-1EAA-46A1-B11B-FA9A08C55A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8" stopIfTrue="1" id="{0281A2BE-AE87-4DA8-B2C0-59AFB8D547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37" stopIfTrue="1" id="{51B1E4EC-4D02-4F1D-BD83-E85A5EDDE8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36" stopIfTrue="1" id="{A8A579FE-FA9E-48B4-9919-D7EFD8CD02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35" stopIfTrue="1" id="{431DE96E-21E1-4EF9-BCAD-1437922636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34" stopIfTrue="1" id="{00E69860-7511-4D44-AD86-160496203C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3" stopIfTrue="1" id="{505C87A8-BA7F-4523-B5A3-7DCA6C0C1A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2" stopIfTrue="1" id="{534834CF-4B0B-4FAD-A80C-ABB6C263E9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31" stopIfTrue="1" id="{9348D6D8-64DD-459C-A7BE-A6456C2F60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30" stopIfTrue="1" id="{9B68251F-3C6F-496E-9D28-4DEB8EF472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9" stopIfTrue="1" id="{57068B73-9042-4CE5-9990-A5A8C239D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8" stopIfTrue="1" id="{F5C59AE6-A5F6-4862-9AB2-028EA6C34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7" stopIfTrue="1" id="{04D5BD4D-EAAF-4D38-AD72-9A9C0360FA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6" stopIfTrue="1" id="{9467349C-2781-45CA-ABCF-A2CC22E203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25" stopIfTrue="1" id="{64701EC5-CBEA-44A7-9A63-EFF54AC5E1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24" stopIfTrue="1" id="{00865ADF-969E-418C-B184-AA0E37E605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3" stopIfTrue="1" id="{81B55B03-F513-4D91-96B4-166088392D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2" stopIfTrue="1" id="{ECB16AF7-EE44-4D67-99EB-E3BBDC1ED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1" stopIfTrue="1" id="{76FF9CE2-8A68-4710-BCF2-2238EC3E7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0" stopIfTrue="1" id="{25553FCB-A697-46CB-BD95-96825967D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19" stopIfTrue="1" id="{6AA9A856-17A5-4376-A86B-0FB073AAF8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18" stopIfTrue="1" id="{056C0702-EF56-4904-984B-883E206D67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7" stopIfTrue="1" id="{7D627063-444B-4D0D-AE75-82FDD7F6BB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6" stopIfTrue="1" id="{ABF3B0A6-1185-45F6-B936-B7836B8D8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5" stopIfTrue="1" id="{2004018D-08BF-4896-A516-EF21947A57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4" stopIfTrue="1" id="{1527EB30-DD5E-450B-93FE-DE54C016FC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3" stopIfTrue="1" id="{FF507D14-6449-46C8-ADE2-468BF34FA2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2" stopIfTrue="1" id="{896E2664-2152-4C31-A1BF-3005F6DBD7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1" stopIfTrue="1" id="{85A2E184-EC5B-45E5-AE51-548817E46F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0" stopIfTrue="1" id="{C9A5BD06-F5DE-40D1-9C4E-2C804C6000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9" stopIfTrue="1" id="{2986E143-FA64-4DD7-B6CC-3737957663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8" stopIfTrue="1" id="{61837A19-276D-4E41-9091-B7780B9D51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07" stopIfTrue="1" id="{9F6CD017-051C-4954-88D3-2043DC5A9D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06" stopIfTrue="1" id="{DA753553-DEFD-48B9-AD29-51EB2222E3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05" stopIfTrue="1" id="{C9542C44-BC5A-4D51-848B-390891E907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04" stopIfTrue="1" id="{238DBA31-AAF1-47B2-88B9-25754DD18A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3" stopIfTrue="1" id="{72F0DCC5-E4B1-448B-A657-E9C8A4AEB6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2" stopIfTrue="1" id="{049964FD-7ED7-4781-8CE9-27F86F2A6E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01" stopIfTrue="1" id="{75695C9F-4E35-48AF-B007-433BEF3520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00" stopIfTrue="1" id="{17E8565F-9BF4-481D-8878-903456D34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99" stopIfTrue="1" id="{802E4765-CB08-4CE7-AFF1-0A5928221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98" stopIfTrue="1" id="{75647443-F171-4210-8C0B-E3D3736F7F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97" stopIfTrue="1" id="{A945D6C8-33E6-4E69-B3C6-1659A95DF4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96" stopIfTrue="1" id="{BEC95231-CD5D-4DB0-A7C0-1484412CB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5" stopIfTrue="1" id="{4A8429EF-5123-4DA7-A908-8DE84A593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4" stopIfTrue="1" id="{3ABAB298-8858-48F3-84B6-551AA37DA4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3" stopIfTrue="1" id="{ADD3C394-56C2-4C20-B7E2-5DD72A7F48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2" stopIfTrue="1" id="{82B437D7-CDE5-477C-84E7-F7D308A3B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1" stopIfTrue="1" id="{AAC7FDB2-9AC8-4678-A607-DF76439B58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0" stopIfTrue="1" id="{3CAD51E6-5B20-4C81-8C14-3D47597C2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89" stopIfTrue="1" id="{1A9E0607-D9AB-4CA3-A143-6E6BCB46E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88" stopIfTrue="1" id="{D9078CFC-5AC3-4179-A4F1-505839A581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7" stopIfTrue="1" id="{40207960-5518-44A2-AD98-37057DA260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6" stopIfTrue="1" id="{AA057BF5-0BDF-4A4D-AC7E-882FF7E604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85" stopIfTrue="1" id="{3A937D87-0E7C-4220-9C69-E01D83BB03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84" stopIfTrue="1" id="{4E254010-C46A-4024-9A01-AA4A2B8A09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83" stopIfTrue="1" id="{8C92C993-D34A-443B-8FDE-812577433E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82" stopIfTrue="1" id="{E96D4708-ECD9-43A5-837F-C8FCC50698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1" stopIfTrue="1" id="{EC8240F0-01A4-4719-908B-5239164C05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0" stopIfTrue="1" id="{BA47E464-1117-44BD-81F6-BCE227E565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9" stopIfTrue="1" id="{D3E35CF3-19A8-4867-9839-97028A1D44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8" stopIfTrue="1" id="{F2BE5374-0DE8-428C-8197-D6C4D196E4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77" stopIfTrue="1" id="{885931DA-5E7E-432D-9430-9AFD9F53F5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76" stopIfTrue="1" id="{4928F8BD-656F-494D-9D78-95EC59993C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75" stopIfTrue="1" id="{6E0E23B8-515B-46EE-AC83-98A01754A2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74" stopIfTrue="1" id="{A7BEF4B4-11CE-4B38-B5B6-48A046E470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3" stopIfTrue="1" id="{9B35210D-21E7-44E7-ACD4-4DD1470BD8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2" stopIfTrue="1" id="{2113269B-6C1F-4D27-9E97-788A29289C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71" stopIfTrue="1" id="{E70BB635-CCB6-463B-BC88-9CCB5EFCE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70" stopIfTrue="1" id="{B79F7A2F-CB56-4F77-B35A-311AE6DF82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69" stopIfTrue="1" id="{E9DCED3E-EA6E-4FBB-9EBA-6B2BF91BE3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68" stopIfTrue="1" id="{E50C46B9-8982-4BA3-A25B-0809BFB50D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67" stopIfTrue="1" id="{B9F996D6-4C73-40BA-B8FE-7F762D5C0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66" stopIfTrue="1" id="{F53F8492-534B-41E6-B710-812BA9259D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5" stopIfTrue="1" id="{5CD07567-D0BB-423C-8467-BC7B437307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4" stopIfTrue="1" id="{E39A2AF7-CA02-43C6-BD81-92413A7918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3" stopIfTrue="1" id="{75B6F29C-9D1D-4CBC-AE01-482B7BD51F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2" stopIfTrue="1" id="{485B4320-FDC2-4362-985C-5C18640FD1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1" stopIfTrue="1" id="{81A48762-7A9A-46FB-BF01-AF5DDF17EB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0" stopIfTrue="1" id="{B0ED2D64-3554-414A-B020-F3431792E1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59" stopIfTrue="1" id="{E074EBB0-74E1-42EC-A021-F757CACF41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58" stopIfTrue="1" id="{B8DC0590-38DC-42E8-A2AB-2361617699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7" stopIfTrue="1" id="{EB8F5F32-FD8E-433B-B5FC-3A80E5F2D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6" stopIfTrue="1" id="{1143149B-0465-43FB-8DC2-DC1DBEF36A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55" stopIfTrue="1" id="{63A42756-E425-46C6-ABF4-F088369E07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54" stopIfTrue="1" id="{0ACBFBBC-F667-4866-94C2-DF53B711E6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53" stopIfTrue="1" id="{B3D98ABB-3A1A-436A-99EC-87B9457617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52" stopIfTrue="1" id="{2DCBB52C-BE99-4D54-8268-0746447DF9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1" stopIfTrue="1" id="{41F916D7-185B-4966-9665-6096563D9E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0" stopIfTrue="1" id="{865B9F84-F7F0-453E-BABA-32CD4C388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49" stopIfTrue="1" id="{5A8A64E7-D230-4E80-A1FF-08AFBF2E5E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48" stopIfTrue="1" id="{A20FAC8C-2A68-447E-A46B-6CBE9677A9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47" stopIfTrue="1" id="{0F5F8BF6-5B37-4BF1-B191-517779C3C4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46" stopIfTrue="1" id="{64E87195-6154-482C-9B56-BC6613B9D4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45" stopIfTrue="1" id="{C0DD6D12-1DCE-4E22-ACDA-22141B4709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44" stopIfTrue="1" id="{BB78104C-2146-4CED-BE7E-4290FC9605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43" stopIfTrue="1" id="{13D6A7BC-BFFE-4DD0-BB31-692E15BDDB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42" stopIfTrue="1" id="{D10FCADD-E8F2-4434-95F7-70AF780EA7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41" stopIfTrue="1" id="{70F65CAE-598B-45A1-842D-AF248C4778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40" stopIfTrue="1" id="{02EFFAB1-C2B8-4D8A-9941-030B66EF09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39" stopIfTrue="1" id="{8DA3C469-099C-4568-B885-D621843E4F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38" stopIfTrue="1" id="{5C62FB9D-B136-4BDB-A45B-EB8E47C1C6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37" stopIfTrue="1" id="{C3A08286-2DFE-4584-A516-CEE671539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36" stopIfTrue="1" id="{141B7BA0-27EA-4C30-88F9-12F1C01D1C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5" stopIfTrue="1" id="{AA00A73D-CB27-4FDF-9D2F-3642BB4357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4" stopIfTrue="1" id="{C1502877-2F5D-4F4C-82F3-CBE5C091F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3" stopIfTrue="1" id="{BF07BAB4-C3FD-4C9D-B884-E2EAC0C87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2" stopIfTrue="1" id="{E0B33698-C37B-44F6-A6B5-8DEBFD53A8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1" stopIfTrue="1" id="{99B6EFA3-9734-4AFD-8A42-F26F6A1E5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0" stopIfTrue="1" id="{0102EC1B-4AF6-414A-8DF4-48F315069A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9" stopIfTrue="1" id="{54E196E3-E43C-4C53-BAC6-DBDE743847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8" stopIfTrue="1" id="{124F12C5-97E5-49EF-9C6B-EBC7DE5DDD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27" stopIfTrue="1" id="{8F061DDC-C2FC-4D23-A6BC-507446FDAC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26" stopIfTrue="1" id="{C1716F94-F5E4-43E6-B1DF-6F8345DBFB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25" stopIfTrue="1" id="{D6DE585A-DE36-4BD0-A444-CCF84BBE16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24" stopIfTrue="1" id="{95AE76D1-5CC5-4234-91E9-F8BCA2166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3" stopIfTrue="1" id="{80C2A4A4-0F6D-418C-958F-62B86FCD4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2" stopIfTrue="1" id="{BFEAB570-E9B7-4563-9817-FEE8235828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21" stopIfTrue="1" id="{ED2E0CB9-53C4-406E-BE82-31393954B0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20" stopIfTrue="1" id="{E94B5A61-2B6E-4A89-A4D4-512C78D616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9" stopIfTrue="1" id="{09B6E6D3-E0DE-47E3-A3BE-B75A55C1A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8" stopIfTrue="1" id="{802897A1-A317-4FD7-9DDF-1C74DFA66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7" stopIfTrue="1" id="{B41E05C7-94AB-471C-9E18-702BC62B20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6" stopIfTrue="1" id="{2403C210-8AD9-4AC8-8515-221931F47D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15" stopIfTrue="1" id="{0922991B-7232-4E9F-9AE9-8C7A1F9B91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14" stopIfTrue="1" id="{2A3A52B5-1D15-464A-AA3E-4FC26AE5FA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3" stopIfTrue="1" id="{D063BD8C-BDAF-4D9D-BB22-2BE7271477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2" stopIfTrue="1" id="{9A0687EF-F3BA-4F34-BCC0-906CD1E09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1" stopIfTrue="1" id="{CF20F626-1F07-4E31-A065-77B5098D15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0" stopIfTrue="1" id="{AE187EA2-C778-4D2B-974A-8BD69E98E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09" stopIfTrue="1" id="{233DC7BE-5D8F-4CFF-BC77-D63A23DFB4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08" stopIfTrue="1" id="{C27FC487-D424-434B-B2B0-942C9B1C58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07" stopIfTrue="1" id="{E5A8A4F1-80A9-4507-8A44-B0B92F126D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06" stopIfTrue="1" id="{67C24A50-82C2-4E8E-A3C0-1C1C40B69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5" stopIfTrue="1" id="{DE0DBB68-7C22-4DB2-9DEA-8811AFDBE9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4" stopIfTrue="1" id="{BC7E4D42-E58F-485F-B94D-E4E7DF17D5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3" stopIfTrue="1" id="{58F7DA28-C524-41FA-9451-B46ED8351E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2" stopIfTrue="1" id="{4D9A6A57-0458-42EA-A26C-944BAF4C5B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1" stopIfTrue="1" id="{2D1BD0CD-72F6-4032-9007-474B1738D2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0" stopIfTrue="1" id="{86AEA083-AEAA-462B-B906-3A306ACDB3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99" stopIfTrue="1" id="{D756D4C6-D0D3-4EFA-9D02-E6326C6FCD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98" stopIfTrue="1" id="{86A8E4BA-B46F-4C19-BF05-26E81E9599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7" stopIfTrue="1" id="{55F6B6E5-064F-49C3-9CC6-8C06283A8F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6" stopIfTrue="1" id="{98247796-A3F1-45B5-965C-295562484F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95" stopIfTrue="1" id="{03994981-6224-4065-8983-45F5CA7C1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94" stopIfTrue="1" id="{19F4446A-9590-40A1-A924-4ABFA3881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93" stopIfTrue="1" id="{CC9F81F8-BABB-4D44-B85F-D8DD650EE1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92" stopIfTrue="1" id="{CAA44B27-9508-4521-9201-BC73A77407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1" stopIfTrue="1" id="{7CEFC5C8-DF0B-478C-BEA9-EED4CCC010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0" stopIfTrue="1" id="{8E3B0A1E-5F3B-450F-B652-D02C770752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9" stopIfTrue="1" id="{426B2C55-4A5B-4B31-9C2A-2A2D3C88EE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8" stopIfTrue="1" id="{1A028442-F148-4951-920C-BFD3A0B861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87" stopIfTrue="1" id="{E9B3ED0F-F31A-4FB4-82FA-1377DAFDD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86" stopIfTrue="1" id="{B52DB727-5A79-4F64-B978-1420EEB300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85" stopIfTrue="1" id="{36B546E1-DEE7-4AF5-B3BD-EC7C3F4E3B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84" stopIfTrue="1" id="{5CDD9CD2-E3D5-401D-BE4B-FC7798532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3" stopIfTrue="1" id="{161BBD2F-0246-4743-ACDC-F2451F7C73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2" stopIfTrue="1" id="{D17EEB6E-6E71-40D6-933B-B65ACA3D5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1" stopIfTrue="1" id="{207056A6-261C-4C5A-AF2C-71B40B9704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0" stopIfTrue="1" id="{E40DAB5F-92DE-49AC-AE6C-C2DA84EF0E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9" stopIfTrue="1" id="{39E08BEB-393E-4BF0-8BDF-1B624479CE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8" stopIfTrue="1" id="{EEC3EAE3-F255-4550-B8B6-2FA50433DD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7" stopIfTrue="1" id="{4103C850-A7DF-4578-9C26-E331098777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6" stopIfTrue="1" id="{0ABAA732-C7BA-4A3A-983B-C67AADEF5C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75" stopIfTrue="1" id="{B5D9F1D5-DD5E-4522-A9F6-1DB1DFCC49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74" stopIfTrue="1" id="{863D0231-B4F6-4E99-A9D5-F3C4FBA1EF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3" stopIfTrue="1" id="{EDC659A3-D3CC-4D75-B414-670F1B5ED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2" stopIfTrue="1" id="{BDEC94DA-9B6B-4C60-9E1F-4F4A6AE7F3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1" stopIfTrue="1" id="{1782C234-9777-4245-B0E6-6C05CD422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0" stopIfTrue="1" id="{4EF79C4F-0381-45D8-91AA-7504C31DE4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9" stopIfTrue="1" id="{2E6C21A4-5F36-4089-B887-EA303481AC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8" stopIfTrue="1" id="{8DC26776-674D-4FF7-8D42-BEA30F7FD0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67" stopIfTrue="1" id="{3FD02EA2-4DF9-4D32-826A-94CA3726F5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66" stopIfTrue="1" id="{03EEDC82-F57B-4BF3-8353-35671F711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5" stopIfTrue="1" id="{E551D584-9C41-47D1-8704-D7AFC65394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4" stopIfTrue="1" id="{5C88E0A8-F2CF-4E35-AE8E-D26B78BF73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3" stopIfTrue="1" id="{94FFBABD-FA64-4C02-ABC5-455BD162A8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2" stopIfTrue="1" id="{D9E16ADB-CB1E-4BC2-842A-BFCF3E220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61" stopIfTrue="1" id="{1D9C641F-37C4-486F-9F07-7F9D5F7AB3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60" stopIfTrue="1" id="{828D1FF7-564B-486A-8C7E-0D913E3125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59" stopIfTrue="1" id="{50E29B05-0944-40A8-92D8-02EB05FA1A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58" stopIfTrue="1" id="{830CC6C9-BD46-498A-9E71-F9EF5FC35B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57" stopIfTrue="1" id="{C9CD22F6-A41F-4108-A257-3EA04C2308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56" stopIfTrue="1" id="{FE4CCBEE-B671-4C5F-AC70-F58788A0C8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55" stopIfTrue="1" id="{8E8EEDCB-971C-4977-91AB-93EE2F34DC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54" stopIfTrue="1" id="{2F9F406F-040C-4211-A231-5C61967D19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53" stopIfTrue="1" id="{DB159925-DF09-4C03-8067-5154B0EDE7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52" stopIfTrue="1" id="{B6970C7E-171C-4680-823B-4E4ACC04B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51" stopIfTrue="1" id="{56DCB84F-51C8-4226-AD56-CF5CFEA5E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50" stopIfTrue="1" id="{0EA87AC9-1E1D-44D8-907C-C195ADFAE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9" stopIfTrue="1" id="{B18F39D1-6A00-4D16-9A93-A28084DB14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8" stopIfTrue="1" id="{5A87C4DC-94D5-4EE7-A6B4-A7945CFB32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7" stopIfTrue="1" id="{66662E2D-CABF-45BC-823A-DDFF26A381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6" stopIfTrue="1" id="{C4B6FF31-BB55-454E-9EE8-289C78B212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45" stopIfTrue="1" id="{7A56CBF9-4D5D-42B0-80AE-ECAB380553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44" stopIfTrue="1" id="{8ACBC03F-5CB6-4143-B933-9A1A6F4E1A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3" stopIfTrue="1" id="{DA386ED6-7540-446E-A9FA-900DDC0D4E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2" stopIfTrue="1" id="{58DD6944-E022-440E-A001-0D1D4B90AC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1" stopIfTrue="1" id="{F8317F59-B633-414A-82D1-9F773B7236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0" stopIfTrue="1" id="{743F2898-0888-4192-8EA3-00D248E87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9" stopIfTrue="1" id="{98A89B09-F36A-433C-B769-CFBABCE1C6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8" stopIfTrue="1" id="{D66A71B0-DE79-4E50-B0E7-1DCE9A7F0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37" stopIfTrue="1" id="{D29FE4C5-E579-4CA4-9964-F8ADB4C4D4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36" stopIfTrue="1" id="{FB6160B4-DB0D-40A7-B729-0F5017C77F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5" stopIfTrue="1" id="{08E0A26D-15F1-4492-8EA3-1C70F248C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4" stopIfTrue="1" id="{B31CF1A7-0E1F-47EA-B416-49256187BF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3" stopIfTrue="1" id="{452C4B3E-7835-41E8-B239-A093073A7D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2" stopIfTrue="1" id="{C7501103-D5C2-46A6-B705-179533E9FC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31" stopIfTrue="1" id="{C9FD930F-D978-45B2-AB87-380D24290F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30" stopIfTrue="1" id="{A5AFBF1A-4F88-431E-8931-0BBF1CB3E5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9" stopIfTrue="1" id="{AEFBC3EE-EC7D-4104-B227-65FAF212C4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8" stopIfTrue="1" id="{C99049A1-FF71-41D8-B948-39E6A8D35F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7" stopIfTrue="1" id="{95A09D0A-E4B6-448C-BDCF-EDA065F362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6" stopIfTrue="1" id="{EC88117E-CB39-416F-8DD1-F45EBC79EF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5" stopIfTrue="1" id="{61D8EF9A-DF19-410C-8AB8-FE59EFC8FE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4" stopIfTrue="1" id="{E45D925D-3B6E-479F-9718-07D7E3B2BD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23" stopIfTrue="1" id="{BE152EF2-B953-4C71-B78C-22E961483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22" stopIfTrue="1" id="{2B45D13E-41AE-4F35-9540-D488D556CB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21" stopIfTrue="1" id="{F590EAF4-09BF-4551-9CD8-A5F10CE7D1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20" stopIfTrue="1" id="{06071A51-56D5-4B0D-9E49-B701436A95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19" stopIfTrue="1" id="{F12D7896-BC0E-4BF7-B63D-2FC685904D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18" stopIfTrue="1" id="{78602CBE-6BC3-4130-81BA-6E678997AC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7" stopIfTrue="1" id="{440C4546-7985-42F2-9FDA-694AF30AEF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6" stopIfTrue="1" id="{347B1EDD-9864-452B-A938-ED1BF4DA43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15" stopIfTrue="1" id="{1EA79A14-237D-47FF-A8D6-155A17B34D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14" stopIfTrue="1" id="{05DE5DAD-33A2-42D5-8336-F9A1697FC6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13" stopIfTrue="1" id="{328B1AFB-C364-4A26-B447-692616516F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12" stopIfTrue="1" id="{9C6E98E7-2677-4492-AC42-C545B65468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1" stopIfTrue="1" id="{5F4D71EC-7A55-4880-A188-87422E82F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0" stopIfTrue="1" id="{DF7BE90A-62F2-49E0-8AB4-8B92D01367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09" stopIfTrue="1" id="{D215E4C6-7427-4D6A-8414-CB6F5CBB7D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08" stopIfTrue="1" id="{36F6E240-4489-47A6-A3A9-844A58F17D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7" stopIfTrue="1" id="{34F65D64-314D-46A1-B118-1A3FB38A19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6" stopIfTrue="1" id="{A3FBFC67-81B7-44AD-AC40-30BD31BB8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5" stopIfTrue="1" id="{96C7B6A1-90A2-4DB4-8100-6B9AEE3724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4" stopIfTrue="1" id="{C331E5C6-C65E-414E-9BFB-51DC0F0932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03" stopIfTrue="1" id="{C9D46D23-FD7F-4DAD-BC91-74F8B8E0B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02" stopIfTrue="1" id="{7369E1F9-4FD7-4734-BC89-0D428665E0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1" stopIfTrue="1" id="{77E466A4-9DE5-4446-8D20-7E8AE53A4E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0" stopIfTrue="1" id="{94125AA4-F25E-416F-BC9B-26FA3A0E9A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9" stopIfTrue="1" id="{409B105E-A011-4E92-8978-F05A4E056A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8" stopIfTrue="1" id="{B491293C-4780-4BF0-A65A-E0209F61D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7" stopIfTrue="1" id="{52FB57C7-2416-49BA-AA23-3AED9DAD90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6" stopIfTrue="1" id="{49CCC635-9E5A-402B-A43C-8A1C4B666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5" stopIfTrue="1" id="{D0244E85-A3CF-4C1D-9FD4-9CBEBCE70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4" stopIfTrue="1" id="{1E9966CE-2B11-43FC-9DF6-8CAA89E8E8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93" stopIfTrue="1" id="{1BD4F730-1F56-45D8-9296-530AC0E7CD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92" stopIfTrue="1" id="{0E3020FD-A3F3-4B05-8448-1B3969D22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91" stopIfTrue="1" id="{95D47CD0-7ECF-4FB3-BCD4-96BE9E15DD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90" stopIfTrue="1" id="{6D00663E-62C8-4D4E-810A-119E2CA4DD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89" stopIfTrue="1" id="{FA8E99AA-DA7B-41F3-9639-A5B10BC1EA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88" stopIfTrue="1" id="{EEBBFC2D-FB89-4837-91ED-6C73DF334B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87" stopIfTrue="1" id="{FF8F983A-E957-4B83-999A-3421706D8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86" stopIfTrue="1" id="{806A6919-A9E8-471F-97CC-59A993918A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85" stopIfTrue="1" id="{9C2C438B-DF28-4AB2-AFFE-0AC91C9F95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84" stopIfTrue="1" id="{D8F20AF3-F00B-4FFC-83C6-54929B7337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83" stopIfTrue="1" id="{0125337E-9BDA-49BF-869A-BC4E24B15D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82" stopIfTrue="1" id="{44BEFAC7-8BC9-4A5B-A664-6A90E54AA2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81" stopIfTrue="1" id="{4D8BCB50-941F-400D-89D9-9021A8EB2F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80" stopIfTrue="1" id="{4F52B9E9-FAC2-4BE0-B23E-F5E61DFFED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79" stopIfTrue="1" id="{E6D4E333-3A6F-4B7D-89D1-1B6D408955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78" stopIfTrue="1" id="{73993DEF-C444-4319-835A-E4249F5B81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7" stopIfTrue="1" id="{5A5B97AD-07F6-4045-86A4-7E041E77D6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6" stopIfTrue="1" id="{8B2A09FA-5A51-4CFD-AE8E-764F2BD936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75" stopIfTrue="1" id="{33688759-EFCB-4256-8CA9-F791D5C9BC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74" stopIfTrue="1" id="{36952ADC-3FB3-4D9F-A39E-31DFDE51DF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73" stopIfTrue="1" id="{FDF56FF0-B585-46C7-8729-F22B2A6CBD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72" stopIfTrue="1" id="{C48532D6-F757-4CA0-8FBF-00EF1EB44D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1" stopIfTrue="1" id="{0C8E0DDF-5B65-4870-840A-5406947C0A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0" stopIfTrue="1" id="{A9FBC789-E39C-42CB-B5B2-FE14BA983C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9" stopIfTrue="1" id="{8E2591D9-CCA7-4EF5-838C-1302610EC0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8" stopIfTrue="1" id="{B2560A38-C8E0-498A-B540-ED14A37523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7" stopIfTrue="1" id="{F5E01E89-25FB-4576-8D1D-C89C3C186F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6" stopIfTrue="1" id="{B08C9059-5685-4B6F-A667-4F8ABDAC6F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5" stopIfTrue="1" id="{37020191-3B79-4F0B-8C34-3FD7C3695A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4" stopIfTrue="1" id="{4E3F35A7-5F07-46D9-AC4A-5A3200F303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63" stopIfTrue="1" id="{B85F616D-9B44-4117-B781-293832AEA7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62" stopIfTrue="1" id="{A35EDD22-1783-4CA4-B124-0E8856E513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61" stopIfTrue="1" id="{B6BCD12E-10FE-45F6-B0E5-4E33A5CC8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60" stopIfTrue="1" id="{2A53B27D-C2EF-4264-93AB-4459054ADE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9" stopIfTrue="1" id="{62092C48-BCFA-4CEE-BDDF-1B94FBB71D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8" stopIfTrue="1" id="{CEF7A4C9-81D1-442E-884D-F486F8116D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57" stopIfTrue="1" id="{EF93B74F-2C63-4A2D-80D3-EBE5E0EC84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56" stopIfTrue="1" id="{5AE34711-077B-48AC-939D-40FF9B4FD6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5" stopIfTrue="1" id="{F6E34617-5421-4CE6-94FC-C158315C0B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4" stopIfTrue="1" id="{89C34DDF-1D2D-490A-AAE9-B3E4E18718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3" stopIfTrue="1" id="{7B78034C-EE2E-4C5A-A2AF-E7122B9B93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2" stopIfTrue="1" id="{D3986918-BC0A-40A1-906C-849BE339CD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51" stopIfTrue="1" id="{B9EBD6F7-681D-4227-8D2E-0C7E212FBF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50" stopIfTrue="1" id="{2C384276-9B41-49A8-ABDA-E2A623F02E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49" stopIfTrue="1" id="{1AF02D98-673D-4020-99A3-10257B910A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48" stopIfTrue="1" id="{A5225869-B3A2-4734-B53F-F9981C71DF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47" stopIfTrue="1" id="{753B9885-B30D-4703-B744-0ADABFB126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46" stopIfTrue="1" id="{3E6B216D-6909-4FF5-B773-5A496B327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45" stopIfTrue="1" id="{0FF5ED25-0ADE-4725-8A6A-32F2E1596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44" stopIfTrue="1" id="{2EE96789-1E5B-48EE-9DE4-F5807690DB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43" stopIfTrue="1" id="{21D1218E-0C20-4443-97BC-FFDA3796F5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42" stopIfTrue="1" id="{ED1ED4DB-8615-475A-8F82-0B3FBF0C38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41" stopIfTrue="1" id="{3C4752EB-2E71-4D7D-9E99-DF0169E370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40" stopIfTrue="1" id="{D86552B6-74E1-4AE8-AE59-0C863EF142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9" stopIfTrue="1" id="{0C35AE33-2667-4E08-B066-6915121294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8" stopIfTrue="1" id="{B6109106-DD37-4579-BAC4-0A8058F20F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7" stopIfTrue="1" id="{94788D21-C2AD-459C-BFA7-288C2BAF4F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6" stopIfTrue="1" id="{7C8B44E7-F93A-4A1C-B66E-29ECC86527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5" stopIfTrue="1" id="{83BC6341-C6F9-47A0-A88B-A02BCF0DC9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4" stopIfTrue="1" id="{36E32479-AD8E-4EAF-BDD4-E046299F4D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33" stopIfTrue="1" id="{0CC5E9C8-C9DF-4DDB-832F-A79E3F63DB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32" stopIfTrue="1" id="{9E476D9B-8111-493C-9059-C547384F03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31" stopIfTrue="1" id="{E71E78A8-B02B-49FF-B1B5-FA4D14E22A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30" stopIfTrue="1" id="{7191E979-CDAE-4216-BAA1-22D47FB90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9" stopIfTrue="1" id="{7DFB5116-1729-4705-9130-FC6AD2F96C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8" stopIfTrue="1" id="{F507F93C-5486-454E-B9D2-71E51F50EF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27" stopIfTrue="1" id="{0E5CAF1F-48B7-40A0-8853-F1DDE45567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26" stopIfTrue="1" id="{63029887-67BB-4877-8C2B-EC609D21A9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5" stopIfTrue="1" id="{25414E0A-0DCC-4C2E-8706-DC06CEB1AB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4" stopIfTrue="1" id="{39A63E52-F10A-49D2-922A-1D42725CCF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3" stopIfTrue="1" id="{659DBCB3-E2EF-411F-8D36-572D840118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2" stopIfTrue="1" id="{E912920E-08A1-48B6-8990-2BB83C55D6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21" stopIfTrue="1" id="{D9C25DFE-DC39-44B3-8555-825D5A3E6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20" stopIfTrue="1" id="{B152165D-F93A-4B2E-A0BC-765CD4BDC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19" stopIfTrue="1" id="{160A3BB5-1EBD-489C-B162-52320F499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18" stopIfTrue="1" id="{8D99B289-B276-4782-A6E7-49622463A0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17" stopIfTrue="1" id="{056990FD-E25A-4FE3-809E-2ED1599B22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16" stopIfTrue="1" id="{386106AD-84B7-40B3-8FB6-B8B5646EA0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15" stopIfTrue="1" id="{F0E17149-C222-4F6E-8766-2B887D12B6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14" stopIfTrue="1" id="{A5B2780F-930A-4A19-806C-F92248AF4F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13" stopIfTrue="1" id="{9D7311E7-6E28-4411-B0E6-C646F2EEB9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12" stopIfTrue="1" id="{90EA97B2-CCFC-48E1-8F0F-99DD3EA56F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11" stopIfTrue="1" id="{51D09942-8D25-4F3F-A687-FBA5F7096B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10" stopIfTrue="1" id="{29431A8A-804D-42BF-8C96-2F221B44DB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9" stopIfTrue="1" id="{026C4571-A229-4C9A-9D06-967BB79107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8" stopIfTrue="1" id="{21970923-148F-4997-B249-C62058F8D6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7" stopIfTrue="1" id="{418A72F2-2527-4557-BA0A-40F4F32A61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6" stopIfTrue="1" id="{154E3B43-28CD-4E0D-AD50-658B4DCB94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5" stopIfTrue="1" id="{C8ECDC1A-D28A-4A57-99DA-386874C836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4" stopIfTrue="1" id="{0F2C29AF-A04B-483F-A37A-9D7B47B4C1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03" stopIfTrue="1" id="{1EA5B1C3-E927-4D84-BC35-4FB0D63039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02" stopIfTrue="1" id="{C98210AC-9461-49CE-A8D7-AD2E7FE33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01" stopIfTrue="1" id="{07B65651-F284-41A2-A713-EBB732DA7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00" stopIfTrue="1" id="{357F0956-C790-4E89-A4B3-B678A1522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99" stopIfTrue="1" id="{9AC2B71F-2C7F-4C88-8B6D-7DB33FCB73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98" stopIfTrue="1" id="{ECEB4DE1-3EF4-4A84-8851-30386C4894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7" stopIfTrue="1" id="{7128AE3D-38F0-4C4E-8069-166910E3B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6" stopIfTrue="1" id="{DCA6EA67-7453-46EE-BC78-20ABAD22C6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95" stopIfTrue="1" id="{C29C8494-B182-42A7-8B55-1B90F3C451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94" stopIfTrue="1" id="{DD5F55B9-790A-49A5-A53C-5D9473426A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93" stopIfTrue="1" id="{0925A769-AA86-4581-87EC-F46F472895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92" stopIfTrue="1" id="{139470D8-666C-487D-BB3B-4717F1EF7B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1" stopIfTrue="1" id="{82C97774-2DFA-41BF-BB57-D3A6565C2B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0" stopIfTrue="1" id="{003799F4-A12E-4B79-B89F-49D1695B73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9" stopIfTrue="1" id="{BF2F9DF5-F55E-4613-BBC6-EAFCB38273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8" stopIfTrue="1" id="{EDF22A75-A7B7-4D1A-B887-135A9412A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7" stopIfTrue="1" id="{0FE237E7-EA47-4A78-962E-CA5F29B0BD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6" stopIfTrue="1" id="{D53B3D36-5F09-409E-9514-F0CE5BEA6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5" stopIfTrue="1" id="{DF440323-2E45-4440-96A8-279DFE7B0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4" stopIfTrue="1" id="{1582C819-BAE2-4349-9146-36D46925C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3" stopIfTrue="1" id="{11209D47-0622-4590-BEC0-1D15660F7E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2" stopIfTrue="1" id="{BC1338D3-B70B-42F8-BECD-9A70A009F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81" stopIfTrue="1" id="{D25136BC-01B7-49AC-AB67-8268D58517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80" stopIfTrue="1" id="{6013DF7F-E6BC-4843-B2FE-22E63D1E23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79" stopIfTrue="1" id="{42ACBC3D-48D1-4F6D-B09D-00392B8A0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78" stopIfTrue="1" id="{ADC232D8-D0C5-48F4-8385-8809483AB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77" stopIfTrue="1" id="{BA02740B-09C4-426E-A92F-88CFA243F4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76" stopIfTrue="1" id="{33B73F02-37CC-4DC8-9D47-7E519207C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75" stopIfTrue="1" id="{E5814983-F281-4DAD-A06B-24BFA1A65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74" stopIfTrue="1" id="{C0B5077F-0CEB-4779-8704-9E029D6B68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73" stopIfTrue="1" id="{A97ACB98-8A89-44D8-8A89-9CDDDE3C2E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72" stopIfTrue="1" id="{535901EB-DE2E-4ED8-AFF0-B72B5DA2F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71" stopIfTrue="1" id="{ABA5F2C2-CDB4-4A5A-A5A3-697C0F4657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70" stopIfTrue="1" id="{D807E68D-C4FA-4D38-8102-2A445DAC10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9" stopIfTrue="1" id="{08CD36BA-FFAE-4667-9116-1BCEA8B544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8" stopIfTrue="1" id="{A429D7DE-9659-42D8-BFBA-18E934CE68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67" stopIfTrue="1" id="{5C26A469-6D3A-4E8D-B847-1D02D58851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66" stopIfTrue="1" id="{554E858D-1CD3-4AD5-97F1-FBCF79C1B1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5" stopIfTrue="1" id="{2D613770-87EC-43F9-8274-A0AA50BC6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4" stopIfTrue="1" id="{64B5E700-FE6F-462E-8613-05A602C9FA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63" stopIfTrue="1" id="{F9AC8686-073E-42BF-8E5A-6D6470D9FC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62" stopIfTrue="1" id="{8E706383-AE37-4D34-AB31-0BB680415E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61" stopIfTrue="1" id="{51CAD1EB-1814-4BAE-9AB9-FA04E2DFEB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60" stopIfTrue="1" id="{F4E0BA69-D973-4BDC-8EE0-AE53AA66E3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9" stopIfTrue="1" id="{2F63E403-8B1F-45AA-8453-130F41A027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8" stopIfTrue="1" id="{FE132644-8711-4BB1-8899-9CDD4CA108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7" stopIfTrue="1" id="{4880B9D0-C2DB-4ECF-B498-7795163E26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6" stopIfTrue="1" id="{E0952191-6526-48D3-BD7E-B81C73024B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5" stopIfTrue="1" id="{80C1B229-3ECA-4539-AC1F-9B79852437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4" stopIfTrue="1" id="{DC21BF59-43CF-4730-8EFA-778182949B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3" stopIfTrue="1" id="{8208B05D-C644-4D15-B77E-C2D0E54FB0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2" stopIfTrue="1" id="{590C61DE-6AF6-4849-979A-DAEBE63575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51" stopIfTrue="1" id="{B3D39333-F112-4A52-842D-208BC9A31E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50" stopIfTrue="1" id="{0255AFC5-A495-429E-81F7-3EF260D977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49" stopIfTrue="1" id="{0D28D2CF-F454-41D1-8BFC-FF13124360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48" stopIfTrue="1" id="{DCA35ED5-CD1F-4A65-A3F2-A132C39141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47" stopIfTrue="1" id="{93553A65-7788-49AB-BC76-23788A0003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46" stopIfTrue="1" id="{3C66DE43-B2E9-4ADF-9AC3-97423A3E0A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5" stopIfTrue="1" id="{6D91BD8A-43D7-4046-9394-BB783268F6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4" stopIfTrue="1" id="{C5ACA67D-5F7C-4661-AC48-44250CAC85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43" stopIfTrue="1" id="{B76E021C-A19B-4EBB-8B3D-3B8CEB2120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42" stopIfTrue="1" id="{C132B6EE-1580-4A3A-B060-44F2654980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1" stopIfTrue="1" id="{E2A90B1C-0B4B-4E67-ADAF-B803626D20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0" stopIfTrue="1" id="{8C104733-AE1B-4B30-A694-A3022725D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9" stopIfTrue="1" id="{61F5C5A5-6E08-4A1F-9A46-C3B3B3A62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8" stopIfTrue="1" id="{EFC8DA28-B0E2-4BFD-B078-2E67FF9534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37" stopIfTrue="1" id="{37896B4B-AF25-4AF4-ADE0-96EE5D2CA7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36" stopIfTrue="1" id="{DA39431C-CE2F-41E1-8F71-FDC7048B3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5" stopIfTrue="1" id="{110A7BC8-4FF5-433C-94B1-6B2D311AC2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4" stopIfTrue="1" id="{1D7E0C45-2D40-4A00-BAE2-3E9EA6B26E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3" stopIfTrue="1" id="{228A600B-4C57-4DD3-BE23-7E367F6A0B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2" stopIfTrue="1" id="{8F804740-7594-41A1-810F-B3D545B425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1" stopIfTrue="1" id="{718204DC-5F1F-4899-87E2-77310415E8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0" stopIfTrue="1" id="{1B357AE8-2F20-44E0-8F00-CA9DF91486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9" stopIfTrue="1" id="{48A58576-03BB-433D-844A-E8C3234F66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8" stopIfTrue="1" id="{BDF0CEB5-9393-457D-AD00-DF37F9AE3F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7" stopIfTrue="1" id="{3031FFC1-0501-4C12-A237-F2A5FE2AAC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6" stopIfTrue="1" id="{ADF95D2A-94D0-4D36-9958-D30F54C723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5" stopIfTrue="1" id="{19866A3D-C502-4D5D-882C-FFC08BF127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4" stopIfTrue="1" id="{FD5097B6-627E-4DC1-A261-CE4AC553CA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3" stopIfTrue="1" id="{18D99AB1-50ED-42CD-B7EC-DB3E0A22DF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2" stopIfTrue="1" id="{E996ABC2-7029-41AA-AE5C-F3A6BC618B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21" stopIfTrue="1" id="{E5B13C62-8532-4F03-9258-F0D09E0008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20" stopIfTrue="1" id="{9932289F-390D-4476-9786-7BA06B9CE8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19" stopIfTrue="1" id="{DCC8B8A3-025C-490C-8528-05588D6CD9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18" stopIfTrue="1" id="{96BCB914-3AAF-4638-9E2B-677920988D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17" stopIfTrue="1" id="{E1A288A7-E9BB-4968-AFC4-A8D4A0C02B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16" stopIfTrue="1" id="{CD2D3624-7BE5-4F4A-88B6-69C796ED1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5" stopIfTrue="1" id="{147D7F87-C24E-4EBB-B6A8-C5C255CBEB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4" stopIfTrue="1" id="{D66D5210-73EA-483D-ACE6-DCCB84F5F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13" stopIfTrue="1" id="{2445D619-A3A2-4908-A010-9F08976C66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12" stopIfTrue="1" id="{FA97C079-E685-499B-A681-48587F1537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1" stopIfTrue="1" id="{D2F84A5C-4041-41F8-9F9E-24CFD7FB0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0" stopIfTrue="1" id="{AA2365C3-26F0-4077-BB63-5F8C617FB1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9" stopIfTrue="1" id="{0B3261A8-CA07-4BBC-AE71-CEA02D80E8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8" stopIfTrue="1" id="{6A2E5408-8ADF-4DA1-8F09-810E9733C8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07" stopIfTrue="1" id="{481EEFDD-56D3-4696-8085-A740CBB314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06" stopIfTrue="1" id="{EFB79A81-6545-46D3-8974-9527D2D4D5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5" stopIfTrue="1" id="{B9F52583-D9EC-45D2-98F7-FC622F3620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4" stopIfTrue="1" id="{9096AD58-630E-4009-9F2A-BCB3F86A99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3" stopIfTrue="1" id="{7067EF90-4EE5-4298-B3D3-D1B9A89282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2" stopIfTrue="1" id="{EC4AD997-220C-4B5B-9F86-25FF34496A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1" stopIfTrue="1" id="{A1872F32-69CC-4772-910D-2082642910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0" stopIfTrue="1" id="{A63A087F-1501-4C46-B9B2-0CA341EF10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9" stopIfTrue="1" id="{540241BE-F78B-4947-A7EC-0CB536327C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8" stopIfTrue="1" id="{21A3DB2B-198B-42EB-A704-89C3B4618F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7" stopIfTrue="1" id="{C831E866-E734-4225-84F4-C15B71A31E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6" stopIfTrue="1" id="{9B07F5FC-B621-47D5-8BFE-B93FA9323C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5" stopIfTrue="1" id="{3721A853-5C20-4630-9639-49F831A2F0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4" stopIfTrue="1" id="{396A3286-CA95-46A2-B2B5-B76AAB64B9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93" stopIfTrue="1" id="{E802E616-853E-4E76-89FF-8653B0BD5C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92" stopIfTrue="1" id="{BBAD8DD9-28CD-413A-9FC7-C013EF2BDC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1" stopIfTrue="1" id="{AF588FE4-9546-47C6-BB8E-276E4851BE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0" stopIfTrue="1" id="{C3DD1267-C024-4DF1-A6B2-2DE5DDD17F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89" stopIfTrue="1" id="{A0B4DD83-C04F-430D-98AF-2BB1213A70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88" stopIfTrue="1" id="{2506F2FD-44EF-4277-97EE-49A111E0D0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7" stopIfTrue="1" id="{189BF8AD-8B95-4714-918F-D28FF7EBF6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6" stopIfTrue="1" id="{CC95DF1B-F4EC-4523-A73C-0ED07A0EDF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85" stopIfTrue="1" id="{16B61EFD-F18A-4E3E-8F1F-284D48536C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84" stopIfTrue="1" id="{2DDF94D8-B52A-4D5E-8AEF-6BFC09995B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3" stopIfTrue="1" id="{28331B8C-A2CA-488B-B03B-BB1F9A2044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2" stopIfTrue="1" id="{E2D20DB9-90C6-422D-ADF5-9E458B9E3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1" stopIfTrue="1" id="{721E0A01-4718-486B-B632-94A1E26A92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0" stopIfTrue="1" id="{74DD5A27-26B3-4A99-B007-C5BC97A158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79" stopIfTrue="1" id="{5A29D800-5901-4659-BDD9-9DB191D9A0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78" stopIfTrue="1" id="{A08007E5-EA99-4F54-9F9B-756E8DC28F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7" stopIfTrue="1" id="{4339B103-DA0E-4458-916C-9C145CE609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6" stopIfTrue="1" id="{99564E23-B495-4EC9-B4A8-E2ABF771DD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5" stopIfTrue="1" id="{9D2E61C4-9660-4172-B696-C91C95ED9D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4" stopIfTrue="1" id="{1ED9BADF-77F7-4F55-BB4A-454708C8E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3" stopIfTrue="1" id="{E027EF3A-3192-4A3E-9B90-6EB93F1872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2" stopIfTrue="1" id="{38296E92-80A1-498F-9FD4-BD3D32C4EB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1" stopIfTrue="1" id="{04BADD16-359B-46BC-B950-76BCD76AD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0" stopIfTrue="1" id="{06C35C99-972C-4705-B693-CCE703B00E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69" stopIfTrue="1" id="{D5558DE7-92C7-42A1-9126-A77C685515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68" stopIfTrue="1" id="{42295807-5922-4E2C-BD98-5F90906A87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67" stopIfTrue="1" id="{E62C13F0-7181-47EF-A4AC-F6E5AB3222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66" stopIfTrue="1" id="{02EE6CE0-B85B-4B7D-B8AB-ADACDFA33B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65" stopIfTrue="1" id="{0EDBA9F5-DAA1-40CB-A3BB-EB82CB0748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64" stopIfTrue="1" id="{C3FB56BE-2893-4D55-9DE3-D2332201CC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63" stopIfTrue="1" id="{4A554F99-7E6E-4A58-9506-144E481E90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62" stopIfTrue="1" id="{156DA63F-3068-4F01-92E6-9A22143F6F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61" stopIfTrue="1" id="{6A9A6EE7-A06F-4B91-8ECA-98AAFCE366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60" stopIfTrue="1" id="{21A37731-0B21-4F38-894D-8B5B860BF6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9" stopIfTrue="1" id="{85C613BE-BB19-41E4-B772-B557C503E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8" stopIfTrue="1" id="{8E66F2B3-CC9F-4627-874B-BCFFEDD6AA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7" stopIfTrue="1" id="{8284549B-D221-449F-9485-AC022642D7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6" stopIfTrue="1" id="{F318112B-FC43-4AB8-B761-22D8DE7187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55" stopIfTrue="1" id="{CBC38FC5-B718-455D-AE10-7D04166FB6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54" stopIfTrue="1" id="{74EB059D-56C3-4A07-B765-77644D49E1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3" stopIfTrue="1" id="{F0852C5D-E664-419B-9A44-C462E38A03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2" stopIfTrue="1" id="{79E1A423-2E05-44B2-B093-58A5D859D6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51" stopIfTrue="1" id="{22679D4B-4305-4142-8B68-97811491E0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50" stopIfTrue="1" id="{A3260604-F523-4418-B760-7C3AF97092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9" stopIfTrue="1" id="{B4B7D39B-633A-48A6-A6D1-6408F88F76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8" stopIfTrue="1" id="{048011A4-261C-4633-9B4B-FD4021E66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47" stopIfTrue="1" id="{8FCCBE1A-42E8-47BD-8D6E-793831A49F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46" stopIfTrue="1" id="{C50CEAF7-81CD-48CE-9787-943A54146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5" stopIfTrue="1" id="{C8B91F82-234D-49C3-90ED-34EA875F40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4" stopIfTrue="1" id="{1A2F4E05-63FB-4AD0-8D13-1B52EFE3D5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3" stopIfTrue="1" id="{D3B39D57-3C3B-480B-9F6D-CF1F299051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2" stopIfTrue="1" id="{EF737683-78C5-4EBF-B3E4-3F25083170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1" stopIfTrue="1" id="{011334AD-FC86-4A65-99F0-7DEDE7C053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0" stopIfTrue="1" id="{347CB838-0A7A-4179-88BD-4D32BC894E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9" stopIfTrue="1" id="{AA9439DE-32C4-464B-92B5-4EB8CAAEF0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8" stopIfTrue="1" id="{3DBA8EFA-B72E-418C-ABF7-01F1F4E974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7" stopIfTrue="1" id="{4591BEA6-27A7-4552-903F-25634A59E7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6" stopIfTrue="1" id="{0CED5E55-ADD5-49CF-82D3-5AE85FDE1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5" stopIfTrue="1" id="{B15ABF9D-A3E9-4F89-8353-C7515B9278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4" stopIfTrue="1" id="{2B5CE357-2D3F-438C-B4C6-2E5C1E807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33" stopIfTrue="1" id="{9859DE5B-7CB1-4908-A159-C5559FB553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32" stopIfTrue="1" id="{7C572E27-6CED-4820-8F8B-A82135A63E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1" stopIfTrue="1" id="{B0F494D5-3BED-417F-AB8D-CA11CECE9B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0" stopIfTrue="1" id="{B1AD4F5F-1ADD-42C8-85FA-95753494D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29" stopIfTrue="1" id="{77864F66-0E78-48D3-9284-F963E9015E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28" stopIfTrue="1" id="{8DF8C00E-A937-423F-B38D-F353941A3A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27" stopIfTrue="1" id="{BA4EEFBD-57B3-43D0-8711-A2F75E7DF9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26" stopIfTrue="1" id="{EDB5282A-784B-4F8A-91C9-C1C1CA49B3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25" stopIfTrue="1" id="{6281AE80-D50C-4C27-9C88-036D1AC355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24" stopIfTrue="1" id="{EAB55070-E4B6-4F08-B806-3399C78D3B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23" stopIfTrue="1" id="{1F90411B-852B-41A7-915E-426AE9F25B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22" stopIfTrue="1" id="{ED5B43E9-D73D-4F17-8822-D26389E55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21" stopIfTrue="1" id="{88A62C47-024F-4509-A116-76AA041BFB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20" stopIfTrue="1" id="{209C2F7E-22B0-4F68-93AD-3BD84681F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19" stopIfTrue="1" id="{67405EF0-DA7B-444C-85EE-30B1E47D4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18" stopIfTrue="1" id="{7E977E47-8158-49EA-9389-6CD3048D9B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7" stopIfTrue="1" id="{D2D95191-6268-4AF3-B8EC-3C39A8C93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6" stopIfTrue="1" id="{660329DF-523A-496A-B2C7-401F543CDA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5" stopIfTrue="1" id="{9A4CBE6F-ADC4-4B64-B196-B31F7EE24D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4" stopIfTrue="1" id="{A25E1FE3-BEF0-430B-ACB8-9C89E2C5C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3" stopIfTrue="1" id="{2D7E32A5-3D2C-42E7-B02E-089DD2F602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2" stopIfTrue="1" id="{352AE7C7-0EE5-4841-8F29-02FD60C39E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1" stopIfTrue="1" id="{8EA29E14-0F5F-430A-A116-FE62559E3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0" stopIfTrue="1" id="{788BF58C-FB38-457B-BC0D-EBCABCAC46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09" stopIfTrue="1" id="{5EC20E66-3CFD-490A-8D88-8E01E12A2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08" stopIfTrue="1" id="{E5C5348A-940B-4244-A238-F0411221F4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07" stopIfTrue="1" id="{CEDBFFC2-4CA8-4B03-8C6B-98245B12B5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06" stopIfTrue="1" id="{E8B62E4C-E2A1-445D-991D-082869CB31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05" stopIfTrue="1" id="{9BD70604-E857-4FE6-9ED4-2052D779D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04" stopIfTrue="1" id="{0EF85981-866B-41AA-9463-D3E89DB40B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03" stopIfTrue="1" id="{458D9FCA-2A57-4EAF-85D2-F32FAE118D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02" stopIfTrue="1" id="{629F8BCC-8BAB-45D4-98D6-20BC6A8680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01" stopIfTrue="1" id="{66FE72FF-91B4-403F-9ED6-D5DB4E9906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00" stopIfTrue="1" id="{AFD3C560-EB84-4F98-90DF-D78C4AE2AB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99" stopIfTrue="1" id="{614B3153-65C1-4C42-A356-77CBBF4654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98" stopIfTrue="1" id="{2626F1FE-2745-4CC3-BFC8-A40336CB0E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97" stopIfTrue="1" id="{BA707C46-CE3E-4905-9201-1E1D63A3F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96" stopIfTrue="1" id="{93F5734B-23D3-42F6-8F71-DDF0F3B03D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95" stopIfTrue="1" id="{F38635A2-947C-4A74-A33D-A4B4BC3382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94" stopIfTrue="1" id="{85DF9120-43A3-4723-BA77-F4F729D1FB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93" stopIfTrue="1" id="{DE579226-FF29-4BFF-8C22-4AC4AAECFC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92" stopIfTrue="1" id="{F6E25E67-FA5B-4C3B-A06F-2B10B9F6BC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91" stopIfTrue="1" id="{85652A19-899F-4EAA-8248-CCDA0EC75B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90" stopIfTrue="1" id="{BEA90976-D0C5-4EF0-9BE5-11733868E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89" stopIfTrue="1" id="{8E996A7A-6923-45FD-AB83-C58604D6D8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88" stopIfTrue="1" id="{FBDEF0D2-D64A-45EE-A60E-7FDF43AE9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7" stopIfTrue="1" id="{6564002F-B653-4492-AFE1-6CAE5FEB39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6" stopIfTrue="1" id="{DF1382DA-E9A2-459F-8B21-5A5820F54C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5" stopIfTrue="1" id="{B9BC47A7-9EBE-4027-9C4C-11AF61E5B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4" stopIfTrue="1" id="{CA41B4C4-B7E0-4C0F-8602-0AA022F2A3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3" stopIfTrue="1" id="{0B07F03D-8A4B-45DE-97A0-2CD3D3764A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2" stopIfTrue="1" id="{F673E4CB-9353-4CFE-9917-AB5DC3EEB6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1" stopIfTrue="1" id="{79EC5360-9FA6-4D44-8CF6-AC91CEC8D9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0" stopIfTrue="1" id="{737CC104-1EF8-4F13-876A-4B4D5B94D5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79" stopIfTrue="1" id="{F21FFD4A-5210-4630-B9F7-22080BD6B2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78" stopIfTrue="1" id="{26DD41C3-8E6E-4A38-9D2A-210F0CF937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77" stopIfTrue="1" id="{F6FF1ADE-F10D-4402-8EEF-0A82CA5D7C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76" stopIfTrue="1" id="{D3A9DBE2-B6C9-4E1B-B50A-AC64073372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5" stopIfTrue="1" id="{551800EB-1D80-4671-83FA-34F436B8CD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4" stopIfTrue="1" id="{FB4A4F63-C4DE-4B92-B7FF-57CC172227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73" stopIfTrue="1" id="{2F031108-FDD1-4E18-B549-3BF01744D6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72" stopIfTrue="1" id="{A389E265-62BD-4213-B5D3-DD66CAE6E5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1" stopIfTrue="1" id="{1FCC3D3D-78F8-4E6A-A18E-83F01196C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0" stopIfTrue="1" id="{0C3DF9FA-EF15-43A6-9F78-8A8A174B0F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9" stopIfTrue="1" id="{1DC2E8EE-0EC8-4280-A317-23FEB3383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8" stopIfTrue="1" id="{3A7BF45C-6E30-4BC2-8067-B6D2F9327E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67" stopIfTrue="1" id="{FCC07F88-B3FC-45FA-87C1-B1BC51F96A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66" stopIfTrue="1" id="{7CFF838C-6528-4C7F-A301-A912B2049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5" stopIfTrue="1" id="{1FD5C122-B035-4D92-91BE-A0DA2A8AC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4" stopIfTrue="1" id="{199927EB-A0CD-4C4F-9170-0DDBC850C6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3" stopIfTrue="1" id="{A646C65F-24D9-473E-8CD1-DDAC0194E2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2" stopIfTrue="1" id="{2230654C-194E-4DFB-9F26-D4E983CA04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1" stopIfTrue="1" id="{0758B091-F127-40F2-80F0-C1F0C12564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0" stopIfTrue="1" id="{19255F6D-3FCE-4032-9B23-EB1FCCF0B4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59" stopIfTrue="1" id="{3D7FA968-8E33-466C-85E2-140C6FEB72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58" stopIfTrue="1" id="{CC95E6F9-CCE1-4698-A852-E49B3335AD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7" stopIfTrue="1" id="{D9F5D449-74F9-48D9-86DF-8BAD25F917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6" stopIfTrue="1" id="{75BE210F-2DD4-4659-BFAA-019F06E32C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5" stopIfTrue="1" id="{6652D955-842C-43DD-8009-233E61752D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4" stopIfTrue="1" id="{4668C9D0-30F0-4544-807B-AEFCD03002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3" stopIfTrue="1" id="{AC545658-522B-4B51-A71C-34FB979870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2" stopIfTrue="1" id="{6FA805AA-1AAB-47C6-B669-1084B0C058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1" stopIfTrue="1" id="{DEB4FBC6-A160-49C5-B932-7E538774C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0" stopIfTrue="1" id="{BEE4283B-B5C9-4E50-9A9E-BB23855DE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49" stopIfTrue="1" id="{735C1F0E-306B-4FBD-98F2-FE3DE572E5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48" stopIfTrue="1" id="{FA737758-AAF0-45B3-BF34-8029AF086C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7" stopIfTrue="1" id="{41A190C5-A1D3-4250-8966-B6C38F2DD1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6" stopIfTrue="1" id="{E02E042A-CE90-4F72-9566-1991596A20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5" stopIfTrue="1" id="{E4F60D55-B305-406E-A51C-134664E1FB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4" stopIfTrue="1" id="{F7AFE730-AD92-41CA-99FA-7A7BFF0283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43" stopIfTrue="1" id="{FD5B7512-55B4-4B7A-92E7-CDB574AD0A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42" stopIfTrue="1" id="{E8D005D3-E259-4AEB-B687-9F2C543E9D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1" stopIfTrue="1" id="{C2FFC9E9-448E-4C4F-B359-B733810369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0" stopIfTrue="1" id="{99A0A6EF-3359-420A-90BF-EE3A2A1A46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9" stopIfTrue="1" id="{5B889E1F-6F08-461B-B95F-69E7B6B355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8" stopIfTrue="1" id="{2F9E353F-5BAE-4E64-B381-BFBE2F51C3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7" stopIfTrue="1" id="{808B8075-3693-462C-98AB-3E549B2874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6" stopIfTrue="1" id="{38CC42C7-EEFD-4897-B0C6-6065295F6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35" stopIfTrue="1" id="{723D4048-9684-4EE5-851C-CE2323BD96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34" stopIfTrue="1" id="{01B4F4BD-8CAC-45EF-9462-255D8A1D43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3" stopIfTrue="1" id="{8CA9B06F-D4C5-4E34-84CC-B84FC1D517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2" stopIfTrue="1" id="{94CD4378-8FB7-4FB7-AD07-567F659007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1" stopIfTrue="1" id="{A5E3317F-0AA1-48E0-AD2E-754F0EF716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0" stopIfTrue="1" id="{CD537F95-5617-4A3B-AFE4-15538A589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9" stopIfTrue="1" id="{7C18E33E-6EFA-4C0E-A33D-5E46C5D736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8" stopIfTrue="1" id="{5E819163-C948-4544-B443-A6B81B2E64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27" stopIfTrue="1" id="{4A218B15-7A01-436A-91C5-759CA614C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26" stopIfTrue="1" id="{0103A76B-0E1C-414C-BDBF-DE09AED4AE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25" stopIfTrue="1" id="{2A8A0F08-3A24-4BE4-B51F-C052C66393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24" stopIfTrue="1" id="{1EE9DAA2-FD1F-4AED-BE3B-2F77C7D8F7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23" stopIfTrue="1" id="{61759A24-E141-4022-924F-6446FC1E6A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22" stopIfTrue="1" id="{69768E18-217D-4091-B424-13F6AB723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1" stopIfTrue="1" id="{774D1142-AFD5-4C4D-B621-65798258EA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0" stopIfTrue="1" id="{3F55C220-E144-44A5-9230-D1DE68BB5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19" stopIfTrue="1" id="{B3F80981-E284-4A47-95DE-5B2C4C682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18" stopIfTrue="1" id="{A10759FA-706D-4796-908C-85F189CE52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17" stopIfTrue="1" id="{CF7A9EEC-9BE1-4C32-89BB-2E467AC8FA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16" stopIfTrue="1" id="{69581DA6-A44E-4303-AFCE-9A336D7F76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15" stopIfTrue="1" id="{F2942B2B-CF01-4CE9-A8FA-512985F6B9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14" stopIfTrue="1" id="{E1335CA0-783E-4527-AE16-BAE92CEED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13" stopIfTrue="1" id="{30041635-7D54-4D39-BFB5-D8AA7F7B6D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12" stopIfTrue="1" id="{9F7FAD43-5B21-45A5-9FC4-08C1AC2898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11" stopIfTrue="1" id="{3AB18C4D-AAE9-40ED-93C8-E9A9BF8261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10" stopIfTrue="1" id="{B9A82F21-D4D1-465B-9015-E58B790867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9" stopIfTrue="1" id="{CE2E6BF8-87D5-4B68-A26A-5FFDF1E42D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8" stopIfTrue="1" id="{E5251A33-DB5D-443C-A7EE-E977DC4F24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07" stopIfTrue="1" id="{EB073AF6-DC2E-403C-AE26-CE432D5F8A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06" stopIfTrue="1" id="{377F387C-0677-4B4D-A476-855CA95B83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5" stopIfTrue="1" id="{22681421-3E1E-4A11-AC13-75A6B38736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4" stopIfTrue="1" id="{B6B758C4-4445-424C-A807-E49EB1CA6F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3" stopIfTrue="1" id="{2540E26F-57E0-4351-9CDD-3721FCFAED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2" stopIfTrue="1" id="{DB231180-5C2B-400B-A44A-E6F93B8779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1" stopIfTrue="1" id="{B9FBD6FB-2288-4441-BCBA-176B84630B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0" stopIfTrue="1" id="{D33964C4-6E2F-4FB2-88CA-ACA6AB3EAA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9" stopIfTrue="1" id="{E574AE14-F938-412C-B666-9C86C5A08E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8" stopIfTrue="1" id="{0BF82E10-2ED5-47CE-BEEB-A8128DC19C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97" stopIfTrue="1" id="{4DBBF1B3-33A8-4B4E-9734-CDDE5CA52A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96" stopIfTrue="1" id="{009561FA-1180-4C8C-B80B-85A45202F6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95" stopIfTrue="1" id="{2211657F-738F-444F-A6A8-D0132AD4EF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94" stopIfTrue="1" id="{666675F1-0B05-4AC2-9053-6AC370561C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93" stopIfTrue="1" id="{5A096641-CC20-4F58-9570-B7DC28BF5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92" stopIfTrue="1" id="{6F628BEE-AF4B-4AE9-A162-9A54FC725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1" stopIfTrue="1" id="{E6312CE8-3A55-45D9-8251-300412C937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0" stopIfTrue="1" id="{1BAC003F-F1E3-4E23-A0B4-86FC9189B3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89" stopIfTrue="1" id="{53973F7F-165E-4C8D-A420-E8D58FB1C0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88" stopIfTrue="1" id="{F13D6FA8-A70C-4CDD-AC28-7301418035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87" stopIfTrue="1" id="{E9BAE8A6-C30A-475B-8573-682D380C1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86" stopIfTrue="1" id="{FC0E4639-92C2-40F0-ACAA-1D5F5BDF12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85" stopIfTrue="1" id="{1E387A53-781E-40E7-B2C3-929B16D772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84" stopIfTrue="1" id="{4FF4F0BD-2567-4996-90D7-AF41167BC5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83" stopIfTrue="1" id="{629DD06D-2362-4D9B-9A9E-78FDF3ABC6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82" stopIfTrue="1" id="{8D52081B-40A7-42AE-B964-669CD85CF7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81" stopIfTrue="1" id="{CA137563-E921-438F-893A-37409EE178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80" stopIfTrue="1" id="{5E4A3C75-AFFB-4FB8-AE47-F6A71FF826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9" stopIfTrue="1" id="{62035AC1-7583-43C8-8E2B-3225A10635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8" stopIfTrue="1" id="{E9A49597-6594-467D-8FCE-7E3808CD53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77" stopIfTrue="1" id="{CAE1FEEC-91C6-4A3F-BE89-DFF114315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76" stopIfTrue="1" id="{4EBB60B1-C451-4C3D-9A34-4294758A17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5" stopIfTrue="1" id="{92B1915E-68FE-4DE9-94B3-53008FC68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4" stopIfTrue="1" id="{3ADA2E1E-187A-4A33-9450-BE74063153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3" stopIfTrue="1" id="{604C0D31-D9B1-4839-875C-432BA67116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2" stopIfTrue="1" id="{C7AB9FC5-DF54-4953-90BF-33D44DB6D8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1" stopIfTrue="1" id="{FB6224D7-EEB8-4470-88F7-EB6D59E9A0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0" stopIfTrue="1" id="{6E88302C-455A-4187-9215-43F65D8623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9" stopIfTrue="1" id="{295CA8C7-A7D2-4D02-B257-A03E479BFD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8" stopIfTrue="1" id="{A8902C67-5AB1-4E9D-BF02-7D98B0CED9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67" stopIfTrue="1" id="{FB791245-A80C-4893-AE8C-810487A72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66" stopIfTrue="1" id="{1A3B7486-3DEC-4B94-8B63-EABF60AD5E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65" stopIfTrue="1" id="{BE975112-14F1-454F-BA0F-7A102FE3E6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64" stopIfTrue="1" id="{30B61A31-78FD-4932-A85D-359BCC6E33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3" stopIfTrue="1" id="{09819818-0909-4A19-BA7E-52C7C6AA32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2" stopIfTrue="1" id="{E89E6537-9DE0-46C7-ACF3-9993AD6FEF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61" stopIfTrue="1" id="{5DA13CE6-A0AA-44B1-A91A-A48B29B459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60" stopIfTrue="1" id="{6572A4DB-EF03-4944-8CAC-4C1666D842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59" stopIfTrue="1" id="{DE6D8521-7CDE-4EE9-A6BD-D337A532F1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58" stopIfTrue="1" id="{B79CFEC6-77AB-49A1-9692-C77838216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57" stopIfTrue="1" id="{C25A46BD-51ED-4F48-898A-F3144A3496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56" stopIfTrue="1" id="{BA0ADABB-C85E-4955-92A3-13F37D343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55" stopIfTrue="1" id="{337E6F87-37EE-4932-8046-9EED9D487C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54" stopIfTrue="1" id="{CD498C65-B782-437E-AED6-DB3E8714B9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53" stopIfTrue="1" id="{112A4088-13F9-45BA-A4F2-DDDC1455E1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52" stopIfTrue="1" id="{43BC9BF2-61C9-485B-8AD7-171CEACEF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51" stopIfTrue="1" id="{4C41B68B-3FCB-433D-A9C4-68B7430F08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50" stopIfTrue="1" id="{0985FDD0-522D-44E5-AE3C-40BBDCC72A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49" stopIfTrue="1" id="{95A08DCB-56A7-496E-91E3-6071B6CE7C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48" stopIfTrue="1" id="{2E5A62DF-DB88-4F5A-8226-037FE0073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47" stopIfTrue="1" id="{145C5564-811B-42D9-A6FA-5C85F921A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46" stopIfTrue="1" id="{8721AE7C-D117-40D7-9F7B-E92D402A67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5" stopIfTrue="1" id="{A607144E-B88E-46BA-86AA-4FB854041E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4" stopIfTrue="1" id="{EC8FAE8E-7DDF-479A-AFB7-2B459EDC3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3" stopIfTrue="1" id="{EDEC7CF7-5E3F-475B-9A4B-7C7709B8E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2" stopIfTrue="1" id="{9CD944D2-5177-4561-8BA2-2B630417F4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1" stopIfTrue="1" id="{699A08B9-83AF-48D6-8A77-22E031119E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0" stopIfTrue="1" id="{E578ED06-B6CD-4340-AE28-8ED5D49326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9" stopIfTrue="1" id="{F6934217-164D-413A-90D0-5A9C229C57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8" stopIfTrue="1" id="{384D0604-5FD6-43B7-9FA8-87796D69CF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37" stopIfTrue="1" id="{92B4F8E2-771F-4770-A6D8-DB5990E48C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36" stopIfTrue="1" id="{31E55030-AE3F-4AC3-A8EB-49FCF6DB2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35" stopIfTrue="1" id="{3A0DA690-C878-4D94-896E-FCD3D9932C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34" stopIfTrue="1" id="{5EF2ED66-0331-4385-A906-B57A08F04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3" stopIfTrue="1" id="{CB1C940E-FE81-415A-B0DC-1996CFBE97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2" stopIfTrue="1" id="{F158B317-AF28-4D24-9036-A1DECDA99C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31" stopIfTrue="1" id="{C68DDE31-3DD8-4A0A-83E1-A1FA803693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30" stopIfTrue="1" id="{E2F5908D-9A56-4243-85C4-5D36FE4AB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29" stopIfTrue="1" id="{09B00935-A303-4C9C-9176-F533810830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28" stopIfTrue="1" id="{95A90E8D-22A6-4090-BD09-AFB0D8E164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27" stopIfTrue="1" id="{8A58E5AC-4B5D-4456-AD0A-55BDD0F680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26" stopIfTrue="1" id="{F3434EEC-8BD5-4D75-B849-7BA445790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25" stopIfTrue="1" id="{B485365A-580E-4529-AFAF-2CF241B6AD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24" stopIfTrue="1" id="{EB8827A4-237B-4420-A69C-7B7AA034B4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23" stopIfTrue="1" id="{64767BCF-AC78-473E-BC07-60A88B82BA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22" stopIfTrue="1" id="{E59A7430-52B5-4D68-9C81-AAB861E500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21" stopIfTrue="1" id="{12274B33-3694-48AB-B41B-F7050DE6BB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20" stopIfTrue="1" id="{F35F5392-BB28-4D11-B4B4-3E68D6A476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9" stopIfTrue="1" id="{3C6BA6D6-7746-42AE-9310-BE429F899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8" stopIfTrue="1" id="{E8DDCFC1-DF81-40FF-8E0A-8AECF34587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7" stopIfTrue="1" id="{82168541-D63A-4803-ABB8-3AFFB01C9E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6" stopIfTrue="1" id="{E836CF13-3AF4-46C7-B3BA-6CC30ABD0F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15" stopIfTrue="1" id="{E6F01118-4DAF-42DC-958C-C64C6F1C54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14" stopIfTrue="1" id="{008D65E1-3241-476B-AFFD-CCA19C8B43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13" stopIfTrue="1" id="{C25F3569-F012-4B01-A6F7-1837AF5970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12" stopIfTrue="1" id="{497D521F-82DD-496D-8743-AB39194C0A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1" stopIfTrue="1" id="{67F94078-0B1F-4B27-8897-300FE40243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0" stopIfTrue="1" id="{E22CD362-2DDD-459B-983D-D217DB26FB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09" stopIfTrue="1" id="{45661555-848D-4904-8748-F9D43B1C22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08" stopIfTrue="1" id="{BA5233D4-8F23-4AF4-A3FA-7A561C489B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7" stopIfTrue="1" id="{0F3454C9-58D8-47C1-AB95-16AF6B7FB4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6" stopIfTrue="1" id="{91DF2436-065D-4DE7-954F-9C12246301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5" stopIfTrue="1" id="{979EEA56-9C33-4199-99C4-4E9F9D512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4" stopIfTrue="1" id="{4B1A6265-33DD-4891-BCFC-2781868E71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03" stopIfTrue="1" id="{0CD8A292-78D3-44A9-B3EA-6283AE0F3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02" stopIfTrue="1" id="{3278DDF7-2175-4108-B611-F767621F9F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1" stopIfTrue="1" id="{189E9290-FBFE-4DF5-8F2F-08EBCD2FDA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0" stopIfTrue="1" id="{7D750217-372C-46C2-B9DF-7791A193B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99" stopIfTrue="1" id="{1E2DDB2F-CF0A-4686-AC4C-48D228C246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98" stopIfTrue="1" id="{33AC6515-B7B1-4E8B-8B0C-D806D891C3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97" stopIfTrue="1" id="{19A757C9-2A74-443D-A4AD-9C1F32CC4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96" stopIfTrue="1" id="{D016CEC7-99D2-452C-A2A3-2CF2402892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95" stopIfTrue="1" id="{069B2353-7812-413E-8E79-FC903116AF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94" stopIfTrue="1" id="{80CD8339-7C92-4760-9132-5D80F7A1F1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3" stopIfTrue="1" id="{290FF0D8-DE7A-4C92-91DE-B68589DCFA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2" stopIfTrue="1" id="{7EF47BAC-676A-4ED4-9B63-8BA4791A2D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1" stopIfTrue="1" id="{61AA145F-8510-4332-818B-1AA21D1AE8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0" stopIfTrue="1" id="{49847B7D-1E56-4E8E-9F98-DF98DD20F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9" stopIfTrue="1" id="{D6A485C6-D649-4660-B656-6FCF12CCE2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8" stopIfTrue="1" id="{E1D67C2C-2837-4212-BFC7-4783E12C39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87" stopIfTrue="1" id="{791F61D6-296C-4229-9A99-E721F06BC2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86" stopIfTrue="1" id="{305F5CA6-8B23-4B42-A557-C422135016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5" stopIfTrue="1" id="{2C5A12AF-4CF3-4D54-A0A1-5A9E9E19D7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4" stopIfTrue="1" id="{5A920605-97BB-4DD9-9323-FB8FE92FF9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3" stopIfTrue="1" id="{7996C785-F022-44B2-814B-F07F42DA28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2" stopIfTrue="1" id="{DDCD3079-0D25-4999-BD6B-5887E03F7A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81" stopIfTrue="1" id="{1ADC2116-46AC-4C16-BAAD-AB58D82F4A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80" stopIfTrue="1" id="{EAB680D8-3D9A-4058-80E6-0671133AA5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9" stopIfTrue="1" id="{2DF39853-8674-4006-B404-398D23E8A8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8" stopIfTrue="1" id="{74011AA8-28AE-4EA3-B253-670A1EB681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7" stopIfTrue="1" id="{D885F16A-E891-4C84-9BFF-C021EA3C6D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6" stopIfTrue="1" id="{8B16F8DF-A22C-4D8F-94F5-44A3CE46DB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5" stopIfTrue="1" id="{2C1B09F5-556E-4E82-B264-D2A39BEF9F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4" stopIfTrue="1" id="{4EACDED5-A701-449C-AD1C-A3C21F140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3" stopIfTrue="1" id="{E487E362-E37E-4B72-8B9A-7881366578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2" stopIfTrue="1" id="{B6EE66EE-DABA-4688-9F2E-D2633DED2B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71" stopIfTrue="1" id="{E8674FAC-D84B-40C6-BC47-400DD9B014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70" stopIfTrue="1" id="{57A8F868-2A7E-45C8-B3EB-DC4C58FF30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9" stopIfTrue="1" id="{8D086C4B-5DB1-494C-8F25-EFEBA43817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8" stopIfTrue="1" id="{DCE1B959-0F6F-4A9E-84B7-7AF8C0383C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7" stopIfTrue="1" id="{63E7872E-2FBA-4164-9735-AE53F1FD3A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6" stopIfTrue="1" id="{FAE4F6C0-8969-499F-97A2-F524786CC3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5" stopIfTrue="1" id="{DBF726F9-3D03-4E80-9794-2DBD47CDFD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4" stopIfTrue="1" id="{2022447D-5F53-4779-9677-33B21F04CB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3" stopIfTrue="1" id="{25875475-3850-4570-B5B3-3F27113C6B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2" stopIfTrue="1" id="{255B16EB-D19F-4BAD-9735-17D63EEC3F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61" stopIfTrue="1" id="{E55E4FFF-9CC5-4420-8BEC-0C1D429A5C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60" stopIfTrue="1" id="{6E602807-B0B7-45CE-9F38-82A32EACE0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59" stopIfTrue="1" id="{9C42FB96-72C1-4076-B0BF-D261AE7789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58" stopIfTrue="1" id="{4E625198-5AF8-4241-8989-334AEEF2A2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57" stopIfTrue="1" id="{B3AF20E1-4800-4751-8CE1-CB92E80020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56" stopIfTrue="1" id="{472E267E-7AE7-4A1B-A308-931E4C2291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55" stopIfTrue="1" id="{F1E878CA-EA52-4C16-B194-F661FF395D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54" stopIfTrue="1" id="{65EA9380-EBC3-4699-A5AA-0B34DFF7A1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53" stopIfTrue="1" id="{801893A8-E272-4BD8-93B4-8BCB374D9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52" stopIfTrue="1" id="{251114BC-2426-4221-BD25-0312549D84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51" stopIfTrue="1" id="{4CB5A876-28C8-4C23-A8EA-C1B14F9415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50" stopIfTrue="1" id="{4ECC57BB-01B6-4CA1-88FF-ED67A0E902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9" stopIfTrue="1" id="{A3659034-EB0F-40FE-BB9D-9B8BE807D8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8" stopIfTrue="1" id="{7A6D068B-D5E5-41C1-B104-E9ED58DDBC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47" stopIfTrue="1" id="{9E56CCF2-F9D4-4D17-9881-5E3A97A20E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46" stopIfTrue="1" id="{B5CE696D-C04C-4E36-ACF2-F860A1262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5" stopIfTrue="1" id="{64E4513F-154B-4A99-AE8E-CCE74A7083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4" stopIfTrue="1" id="{B06C3B44-DA44-4ACD-BB41-F59D249EC6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43" stopIfTrue="1" id="{7F2A8B58-8A0C-4334-9E26-4D28CD80A0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42" stopIfTrue="1" id="{7704AEC5-CB7F-428A-A905-3FBA81E35C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41" stopIfTrue="1" id="{1A7A8CAA-4665-41C6-A882-3D5C88BCDE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40" stopIfTrue="1" id="{C0BC36F0-8598-43FC-8F09-EC1C94DBB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9" stopIfTrue="1" id="{159E254B-755B-4FFD-AB18-05B6512553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8" stopIfTrue="1" id="{E5B484C5-FF57-416A-A85C-FD9660CC3B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7" stopIfTrue="1" id="{6928F61F-451F-4C4C-ABDB-4D52E09D82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6" stopIfTrue="1" id="{F5182771-A499-4E36-B98E-7EAB478D2A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5" stopIfTrue="1" id="{9A405EB1-0936-4B63-AD60-B79047DCFC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4" stopIfTrue="1" id="{1EE53A86-8AED-4D27-9164-3F5389C0F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3" stopIfTrue="1" id="{95B79E16-CFFA-4D36-B30E-AE6E0C8100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2" stopIfTrue="1" id="{C97CBCD0-C15C-4C9D-AC33-08A956454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31" stopIfTrue="1" id="{9B14AC17-0F1E-40D5-A00E-6C7019B47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30" stopIfTrue="1" id="{599BF4C8-5B2F-4BD6-9B51-7BB913C416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29" stopIfTrue="1" id="{85E0D266-CE4F-4640-8A1F-0CE410E51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28" stopIfTrue="1" id="{E15B4A2A-C3A7-48EE-84E3-AD111481DD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27" stopIfTrue="1" id="{24D093BC-81BF-411B-8669-761648DFCD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26" stopIfTrue="1" id="{04816A8B-B09D-4DF9-8215-29A1ADB41F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5" stopIfTrue="1" id="{31F20E06-8E32-4212-A8E1-9FD768593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4" stopIfTrue="1" id="{F932E413-C412-428F-9566-851B527D56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23" stopIfTrue="1" id="{8EA005BB-3A56-4DCA-8417-9444F2684F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22" stopIfTrue="1" id="{CEAE5471-767E-4A0A-9417-88C2B94EC6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1" stopIfTrue="1" id="{351BFFE1-9BD7-4A30-964B-11213EA0C0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0" stopIfTrue="1" id="{E5FC1E83-691E-4024-8BB6-0D9848A04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9" stopIfTrue="1" id="{493634EC-817F-4DF7-8300-9ED8D06EB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8" stopIfTrue="1" id="{7898327D-1800-4600-B3AC-F343D64E4B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17" stopIfTrue="1" id="{6E707E24-7FAF-4051-884C-97332B0904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16" stopIfTrue="1" id="{860EC3A6-F8F1-46CC-8CF2-C4E0BBDCB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5" stopIfTrue="1" id="{3A07F944-3E90-4906-8DF1-AC15927CC4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4" stopIfTrue="1" id="{8BB3F43F-288C-4116-99DA-4B363B91C4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3" stopIfTrue="1" id="{F8D40DD0-BB98-4C3F-815C-8270DF2932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2" stopIfTrue="1" id="{1CE415A9-A705-4985-942A-1DBE11012B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1" stopIfTrue="1" id="{8BA6DDEB-1F5F-481A-9049-05EE416B1D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0" stopIfTrue="1" id="{B1CE6C79-7AA6-4D80-87CC-B58DAFDE0B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09" stopIfTrue="1" id="{02911F13-60B3-49A3-86B5-5A98E9188C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08" stopIfTrue="1" id="{0C941902-30EE-4B2C-A8A3-764499F526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07" stopIfTrue="1" id="{A4134220-00D7-4769-8A22-5A1EB6F3E7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06" stopIfTrue="1" id="{63080511-5143-4EF9-B2FF-DB331D6337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05" stopIfTrue="1" id="{E4A4F59B-7C87-4C9E-BA6D-9433EC07B2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04" stopIfTrue="1" id="{49D04040-33AC-45AB-BC5B-924FAB01C5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03" stopIfTrue="1" id="{B59CB02E-385B-4A26-AD34-F395CED19D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02" stopIfTrue="1" id="{CD74CB54-7EAA-406E-ADF0-DA0B09DFB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01" stopIfTrue="1" id="{BC534F5B-C193-4360-A4F2-70B468EF5E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00" stopIfTrue="1" id="{B4766D04-2E98-4AA9-98DF-14B40074B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9" stopIfTrue="1" id="{DDCF44DB-B57B-4BD1-A7C8-0B41DC1435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8" stopIfTrue="1" id="{2F93BA37-1DC1-4F1A-B564-617DC226F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7" stopIfTrue="1" id="{8168ECDF-8A00-43D1-BA8A-AEF48A65D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6" stopIfTrue="1" id="{C8AB2F62-049A-4AFC-A34C-BE0740C43A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95" stopIfTrue="1" id="{B8FA70FD-2B79-4462-9AE6-2E7D22EE95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94" stopIfTrue="1" id="{88748AA1-0B2A-4205-896B-EAD05B4EB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3" stopIfTrue="1" id="{00747768-D1BE-4E85-A18B-9555D8E4DC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2" stopIfTrue="1" id="{8F1A8D4C-859E-4C63-931C-B22AA96A8C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91" stopIfTrue="1" id="{A0ACEB16-8531-4415-9CA2-65CA23516D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90" stopIfTrue="1" id="{6B86A26F-A85F-4655-A2DA-F869B2DB58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9" stopIfTrue="1" id="{8F1F913B-7D50-4942-91E8-E418E99218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8" stopIfTrue="1" id="{3219C339-8225-4285-AA0E-1A345366ED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87" stopIfTrue="1" id="{D77C6E88-AD5C-48BC-B4EB-9BC325843A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86" stopIfTrue="1" id="{4381BF77-846D-4021-BC73-55A400FF69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5" stopIfTrue="1" id="{F42FFA4C-415F-44AA-8EA1-6E60005D1E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4" stopIfTrue="1" id="{85640DB6-3F59-4F02-9718-FCAF208E77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3" stopIfTrue="1" id="{6E427A4D-ECF6-4418-9DAF-5F38B06FFE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2" stopIfTrue="1" id="{4BD52D68-E3BC-48B7-A8EE-7489BBA1C9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1" stopIfTrue="1" id="{BEF0D8EB-9F60-4F05-B61B-D4F5F6F270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0" stopIfTrue="1" id="{A0C36D9E-203B-4CD8-AC16-7F75E3C53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79" stopIfTrue="1" id="{16351BB0-0F77-450D-BE57-7345E93387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78" stopIfTrue="1" id="{2549DB6A-5DCD-44BE-88DA-F8D2F4E9CF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77" stopIfTrue="1" id="{88978460-D765-435E-892B-D7A20A6A70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76" stopIfTrue="1" id="{DF2657DA-9E27-4174-85D7-6589E6DE81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75" stopIfTrue="1" id="{8677C3C1-F6D7-44BF-A2F0-D77686201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74" stopIfTrue="1" id="{4CBD34AE-FEAC-4180-8B4F-41E8565EC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73" stopIfTrue="1" id="{1FCC2E74-4A1E-4FC2-8154-61B9A465F0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72" stopIfTrue="1" id="{0467D58D-9027-41A7-A0E8-E9F94A797C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71" stopIfTrue="1" id="{AC61CA66-FE28-45BF-B8F4-80B6CDCB33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70" stopIfTrue="1" id="{29721DFE-1797-4F2F-82EE-4E2C6BE3D2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69" stopIfTrue="1" id="{B80E2214-7B5E-4CBE-B8B0-002565E1C1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68" stopIfTrue="1" id="{DB886EAD-F28D-49F8-8677-73441717A5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7" stopIfTrue="1" id="{13099D2F-844A-405C-A530-ECC550681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6" stopIfTrue="1" id="{B20DF4FE-7C87-4D9E-AD4D-A665F86538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65" stopIfTrue="1" id="{76F978A2-E932-4D71-B7C9-449FB57738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64" stopIfTrue="1" id="{7090F7E9-CAAA-4E03-9302-98E2DD6A34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3" stopIfTrue="1" id="{9F60F2A6-CCB3-4BFF-95F3-8411271EA4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2" stopIfTrue="1" id="{0360F674-3845-446E-AB39-45C06D58AB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1" stopIfTrue="1" id="{C5ADD88C-4B3A-4A91-8F13-09A8D68BFD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0" stopIfTrue="1" id="{A8F76F2B-9FC7-467B-928E-EED801DC2A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59" stopIfTrue="1" id="{6C72D5E1-DF21-4156-9D14-0F615139E9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58" stopIfTrue="1" id="{B3977D87-96F7-4D19-A8C9-857C3A6BEC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7" stopIfTrue="1" id="{900B62CA-37A1-422E-B7D7-491095AC9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6" stopIfTrue="1" id="{5ADDAEFE-3676-49BB-8BAB-AF2307DF17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5" stopIfTrue="1" id="{7F939EDA-9AB6-40B6-B86C-DDD6A3307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4" stopIfTrue="1" id="{BBB60D4C-0F4D-4898-8A62-AD4769D2B8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3" stopIfTrue="1" id="{787550D4-B8B0-4E7C-B619-FED4E73A9F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2" stopIfTrue="1" id="{EFA5206D-7962-462D-B108-37CE4BA396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1" stopIfTrue="1" id="{ADE3947D-A8C1-4782-996D-44F92748A3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0" stopIfTrue="1" id="{5871B8F3-8F34-4916-9E14-62ABFF3E89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9" stopIfTrue="1" id="{4B2FD3CA-9C44-4512-BD57-04DDEC50A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8" stopIfTrue="1" id="{E0015241-54D9-471B-BAEF-54C490B5B0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7" stopIfTrue="1" id="{3B076BB3-C2C4-4907-9558-B330EC6841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6" stopIfTrue="1" id="{332158F0-979E-44F9-B76F-AD387C7976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5" stopIfTrue="1" id="{B3D07818-ACD6-403C-BA2C-9ECC8FA20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4" stopIfTrue="1" id="{7D03B9AA-2737-4A88-8747-AA6BB4C8A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3" stopIfTrue="1" id="{5DC2FA4F-D151-4844-A1A0-02AE5C7555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2" stopIfTrue="1" id="{75761E24-A3E8-430A-A694-438655779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41" stopIfTrue="1" id="{039A93A2-37E7-48CD-BC75-1E14B18A4F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40" stopIfTrue="1" id="{760E3D51-D63E-49EB-A346-2BFC6BB43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39" stopIfTrue="1" id="{020B9ECC-7853-47C9-9AF0-B3FD575E4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38" stopIfTrue="1" id="{38F31415-87D1-4FA5-9BE3-B6F9F0FBBB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37" stopIfTrue="1" id="{A1C4ABBF-BB5D-4692-84C8-1DDCBEC5FE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36" stopIfTrue="1" id="{EB876892-9F71-4523-877B-4126C8AE2D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35" stopIfTrue="1" id="{03A7F671-D4E0-4649-B365-B576CF84F6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34" stopIfTrue="1" id="{9C0EB8D0-6AA5-42FD-8EA3-1A8DFFE335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33" stopIfTrue="1" id="{F0A3DA16-FC1B-4820-A1B2-6DFD784426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32" stopIfTrue="1" id="{AD3F7E64-04FF-4762-AA79-177F02BD90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31" stopIfTrue="1" id="{3A8B3E31-CFDF-4361-ADA8-4D9BC25144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30" stopIfTrue="1" id="{9674F1BE-4F1E-4540-B961-BB70AD3DAD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9" stopIfTrue="1" id="{776D6296-B1C1-479B-953F-1BD00C200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8" stopIfTrue="1" id="{892EBB21-B75D-409D-AC1C-8C017637CB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27" stopIfTrue="1" id="{E3A20FD1-BA4D-485C-A105-C58497C09C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26" stopIfTrue="1" id="{65307CE0-8993-4056-B738-3D9ABE037D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5" stopIfTrue="1" id="{73E0222F-2946-45EC-A369-45D06ACE50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4" stopIfTrue="1" id="{866E074A-25DA-4801-98DE-D87737FC2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3" stopIfTrue="1" id="{199AF5D2-4DBF-4979-9D39-4FF4385F2B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2" stopIfTrue="1" id="{679C4D47-26C9-4A8D-8B17-981DD9507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1" stopIfTrue="1" id="{EB6C70C3-2219-4B24-930E-0329198D3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0" stopIfTrue="1" id="{54A1D9B1-A7D7-4BE2-8A34-8BAE7BDA03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9" stopIfTrue="1" id="{C3369A92-2CB0-4F6B-9B76-CC20622CC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8" stopIfTrue="1" id="{A3355B2D-12C8-41CF-88D1-B5C9832554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7" stopIfTrue="1" id="{5988AE69-63FF-4726-89FC-07FE8AE2E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6" stopIfTrue="1" id="{CACEA6E0-27E8-4429-97AC-5D88E6469A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5" stopIfTrue="1" id="{E2985E0C-6808-4EB5-9A87-631BE2EC50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4" stopIfTrue="1" id="{9AFE04EF-E6C4-4912-B425-59F849DB21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13" stopIfTrue="1" id="{EE912975-4883-43E7-ABD8-980C93BD3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12" stopIfTrue="1" id="{0B6A12D3-0C44-4689-8EC2-B4094514E6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1" stopIfTrue="1" id="{F856F0CB-5DAF-497C-9C17-F18DC06258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0" stopIfTrue="1" id="{EE016180-2C4E-4B89-AD39-65EA1466B8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09" stopIfTrue="1" id="{7AE82D65-33E1-4933-B9C4-1C75CEE22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08" stopIfTrue="1" id="{A25F8836-C9DA-425C-BEB9-1C90C7EEC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7" stopIfTrue="1" id="{080ADF64-222B-46CF-BAC2-02C8DE47A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6" stopIfTrue="1" id="{50B7460B-F482-45B1-9B7D-8AAEF7BC45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05" stopIfTrue="1" id="{98D243DE-3DCC-4A60-9A5C-3F1EC6979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04" stopIfTrue="1" id="{3EC16998-6F81-49E7-A854-172633FBFA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3" stopIfTrue="1" id="{B69CFED5-521C-498E-AE25-C02B7D1932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2" stopIfTrue="1" id="{4D2D7BB6-E4E7-4966-B59E-B3DF11BBC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1" stopIfTrue="1" id="{C8045694-E0D7-447F-9310-B5911FC2CA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0" stopIfTrue="1" id="{502160FA-CF48-4EDA-80B9-07A04B730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99" stopIfTrue="1" id="{602A1BE3-2CE1-468A-B696-0728070BDA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98" stopIfTrue="1" id="{53BBE44D-00B8-46DE-8437-632E059D2C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7" stopIfTrue="1" id="{47BE66C5-E808-489D-B7D2-0FB97F748D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6" stopIfTrue="1" id="{19EE04A8-BF4A-4C21-878D-047BA7E1F3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5" stopIfTrue="1" id="{3B0DFFA8-AE50-41D0-A7DD-91497773E1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4" stopIfTrue="1" id="{A17E6B92-4D16-44AD-8CB8-5E1E15C54D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3" stopIfTrue="1" id="{9EBF2805-605B-47FF-B00F-6B092AA4B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2" stopIfTrue="1" id="{CD930DE9-29B5-4359-A12F-EA042DD8AB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1" stopIfTrue="1" id="{7F81E2DA-D491-43BB-9163-55B80CE582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0" stopIfTrue="1" id="{91E7D5AF-ABCD-4BD9-8E72-5CEA7EE6BB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89" stopIfTrue="1" id="{CDF96937-9DE3-4B77-9B1F-E1D795E617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88" stopIfTrue="1" id="{B9DAFBC9-EF1E-4D58-B6EF-BBAA71DC2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87" stopIfTrue="1" id="{1587EFB3-7AB8-497B-9BD2-1154F617ED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86" stopIfTrue="1" id="{2E5661F5-4A4C-4684-8C49-8DD0EE3D7C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85" stopIfTrue="1" id="{F9E60B2D-579E-4FB8-8CFB-EDB5F89B21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84" stopIfTrue="1" id="{3EFD7AF4-76D5-4F96-96C9-FD4353691E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83" stopIfTrue="1" id="{8337C69A-51FE-4E9E-874C-F4E76A5320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82" stopIfTrue="1" id="{32779242-F6F3-45BE-85F1-732E136B18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81" stopIfTrue="1" id="{59458FCA-DAB0-40AC-BE3F-BC697F6789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80" stopIfTrue="1" id="{225F1C79-B409-4EBB-8535-91CFD215BA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79" stopIfTrue="1" id="{86648CA7-5146-4AE5-A42B-A9543430B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78" stopIfTrue="1" id="{74F33AA0-AD2A-40C5-8B71-0C8004BF11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7" stopIfTrue="1" id="{3E8D8F23-7E07-4F6F-9A3F-1E954E52A2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6" stopIfTrue="1" id="{5E808EDD-32DB-4850-9361-7CA19910BD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75" stopIfTrue="1" id="{7529089D-0B2F-43DE-A85F-A4FBEA5E92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74" stopIfTrue="1" id="{303CA485-A73D-44FB-A4A8-2A6FCE083A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3" stopIfTrue="1" id="{041646BD-716A-45EF-8428-FF74F8FD40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2" stopIfTrue="1" id="{7980FE71-2376-4F33-97E6-B4AC68A185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1" stopIfTrue="1" id="{7BF8FFD3-DACB-4657-B962-C4D9C72954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0" stopIfTrue="1" id="{4B715021-ECED-4DB8-859F-0B80F05859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69" stopIfTrue="1" id="{508938A7-81B8-493C-AF09-8F4524018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68" stopIfTrue="1" id="{968494A4-9AB5-4935-BD25-20763D2AFD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7" stopIfTrue="1" id="{DE8B834F-B8FE-454A-9A68-73318D42F3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6" stopIfTrue="1" id="{B7A8490B-D028-4577-84A0-BB2A98D7B4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5" stopIfTrue="1" id="{5E7F4DCF-A2FB-44B0-A02E-0926B9CCE6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4" stopIfTrue="1" id="{11EFE61D-1345-409D-9765-C0EAF0E545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3" stopIfTrue="1" id="{22A804F1-5127-4546-A5AD-BB5D14DDC5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2" stopIfTrue="1" id="{892E8292-00A8-4DB2-9DE9-6D9D25CBAB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1" stopIfTrue="1" id="{CC4E2388-6A9F-4D9C-9DBE-DF2573EB6B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0" stopIfTrue="1" id="{B6CC4177-3293-418D-A169-B1AC2540F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59" stopIfTrue="1" id="{43AB3B82-54EB-47F4-BCE2-B04012C52F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58" stopIfTrue="1" id="{03F3DD00-2418-4262-9BF6-E4D869F4AC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57" stopIfTrue="1" id="{E5465A4B-D80B-422C-93CD-259609C6C1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56" stopIfTrue="1" id="{F9059EBC-1570-4AEA-AA9B-1D89324E44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5" stopIfTrue="1" id="{DF83407E-42FF-42BF-9827-432B2807BF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4" stopIfTrue="1" id="{C1C59FA6-7D8F-4CAE-9BDD-6D35D81B7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53" stopIfTrue="1" id="{160F2FA0-0CDE-4D94-9321-6112C789FF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52" stopIfTrue="1" id="{FB3DD295-27BC-4475-909B-A500D1A8F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1" stopIfTrue="1" id="{76E98953-2A81-4E45-82E6-F92666DE79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0" stopIfTrue="1" id="{90859079-9A05-4C9C-A269-E2D739F82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9" stopIfTrue="1" id="{0DC04308-FC24-4B15-9E23-BE594D3ED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8" stopIfTrue="1" id="{A1E50AA6-536D-4948-8AF5-E004D3790E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47" stopIfTrue="1" id="{6ACD7D1C-52BA-4B88-9877-37B46E197D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46" stopIfTrue="1" id="{9E2D5F81-96E0-4DCD-8FA4-1C23726E9A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5" stopIfTrue="1" id="{46A40826-FDA7-44C0-8D3A-E845E305F6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4" stopIfTrue="1" id="{BD0A7495-8D45-49DE-B4A7-560802F6D1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3" stopIfTrue="1" id="{C69065D6-729D-4E2A-A5C9-5AA1D28FF1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2" stopIfTrue="1" id="{48CE303D-41AB-4B0B-A766-412D5D3AE1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1" stopIfTrue="1" id="{B275B3FC-35EA-49D7-B043-EE7AA2433E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0" stopIfTrue="1" id="{541BF966-B454-4E7B-8778-A645F3F054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39" stopIfTrue="1" id="{6A53B27E-C583-4C4C-AFC6-EB17A450AF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38" stopIfTrue="1" id="{AEFFE8E8-41D1-4B4D-9F60-0D64996B55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37" stopIfTrue="1" id="{36B88FDB-2F17-45BE-A5C2-394963E01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36" stopIfTrue="1" id="{8737244C-6E50-4A27-8074-FC7038F091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35" stopIfTrue="1" id="{7AC47E79-90AD-4F96-AD41-E624390DEF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34" stopIfTrue="1" id="{5D79327B-B387-4656-82FB-D3DCFC8EC3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33" stopIfTrue="1" id="{3E060E64-9A50-40BE-86D6-8892CA1F62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32" stopIfTrue="1" id="{02EBFF3D-6691-46FA-A6CD-5B4B5995EF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31" stopIfTrue="1" id="{856B8446-C454-4E77-AA72-0A761067AD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30" stopIfTrue="1" id="{5833BFEC-F8AF-4C97-8420-20678611CD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29" stopIfTrue="1" id="{AC31A736-7280-4983-807B-A8085CCF1D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28" stopIfTrue="1" id="{B448E310-DE52-4324-AE7D-10D2D175A7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27" stopIfTrue="1" id="{54F3C11B-C5F0-4983-9826-BBEB2B6143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26" stopIfTrue="1" id="{0B6815E6-107C-4B36-AE0F-F581B411D8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25" stopIfTrue="1" id="{F187EE2C-16FF-4D21-B95D-51B7403271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24" stopIfTrue="1" id="{E13C436D-579C-4ED0-82CF-345E2BFEAE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23" stopIfTrue="1" id="{D78B9D8E-BB4A-452F-AAA9-A32C26340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22" stopIfTrue="1" id="{FD863F33-7EF1-47CF-B278-C1636D063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21" stopIfTrue="1" id="{74F8CC58-5D23-4D9F-A77C-1851EC7F02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20" stopIfTrue="1" id="{831846BF-2EE6-42E8-B64C-AB35E4C49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19" stopIfTrue="1" id="{A589DEC9-EF32-4B19-AB57-85996302EB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18" stopIfTrue="1" id="{D1F5B4AD-5BE7-4307-AE12-5FB5D45931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17" stopIfTrue="1" id="{11DE1988-5920-4A2A-B8E6-A54C655CA9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16" stopIfTrue="1" id="{4467E6C5-A721-4B13-88FB-8CE16486A1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15" stopIfTrue="1" id="{4B762441-EF7F-4024-9708-552F610388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14" stopIfTrue="1" id="{9830F873-B223-451E-89C0-ACFEB0829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13" stopIfTrue="1" id="{D890B756-EDC8-4D09-9D5D-3EFCB08F9A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12" stopIfTrue="1" id="{D9C338AE-0C65-48FA-A5D3-80C84454B9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11" stopIfTrue="1" id="{1DCD6F7D-AA39-4316-8E27-E0DAAAA9BA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10" stopIfTrue="1" id="{62D71F23-5AA5-4FBC-8951-DBEC7D128C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09" stopIfTrue="1" id="{6D2DFA87-6780-41EE-98D2-0107D268FB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08" stopIfTrue="1" id="{E4B4E9E6-5B3D-4BE6-9F28-88EAEFA6FB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07" stopIfTrue="1" id="{6B42D369-EA14-49CE-ABE4-C80A570F16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06" stopIfTrue="1" id="{B070B0AA-F1C5-49F9-B1E1-8E189481C0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05" stopIfTrue="1" id="{CFED57FF-4544-4BB2-9901-BF084096D4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04" stopIfTrue="1" id="{68C6C732-9515-4CFF-A45E-EE84DDE040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03" stopIfTrue="1" id="{A2F00A37-DF9B-4D2A-9EDE-D33D9BC628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02" stopIfTrue="1" id="{A318D491-52E4-466D-9956-B38EDDBF48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01" stopIfTrue="1" id="{05309E40-374A-40B8-A9A9-8D3F5E3A99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00" stopIfTrue="1" id="{08463E49-AA42-495B-97F3-304820A123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99" stopIfTrue="1" id="{15F4C53F-28F1-4432-9CD7-C3CCDA2428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98" stopIfTrue="1" id="{AC7CB9B1-B45F-4CAB-A14A-6424C2244C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97" stopIfTrue="1" id="{28AD08ED-2D91-476F-9474-503C992A60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96" stopIfTrue="1" id="{B6198987-19EB-43F0-9F55-F786D19129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95" stopIfTrue="1" id="{883F981E-0DAC-4165-8B24-E9839EF7B0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94" stopIfTrue="1" id="{91D47FC0-4927-4856-A187-D4B5CAA7E6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93" stopIfTrue="1" id="{10AA744B-9C77-4BB9-9AA0-A4EA983990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92" stopIfTrue="1" id="{39097F73-E786-4A1F-891B-1D4DA1490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91" stopIfTrue="1" id="{FA4398EF-A8F2-4336-9733-8091D219BB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90" stopIfTrue="1" id="{7CE72C2D-C16A-41DE-A2B4-0CE0DE9522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89" stopIfTrue="1" id="{1228AC99-3E02-44E7-B2C6-8331C80384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88" stopIfTrue="1" id="{3C36BCD8-AAB0-4F2E-99AB-E7C0E45B1C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87" stopIfTrue="1" id="{7B07787F-3F5C-4CCF-BEDC-0A86532396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86" stopIfTrue="1" id="{932E0C88-7BD5-4D51-BA05-3D1629E3B0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85" stopIfTrue="1" id="{B66FC5B0-DFBE-4110-AE87-BF7D505E46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84" stopIfTrue="1" id="{A8C7B912-86EA-4EEB-A983-6E463BC62E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83" stopIfTrue="1" id="{16734817-4F4A-478C-A08A-BFAAAEC03B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82" stopIfTrue="1" id="{D42CEE6A-E06C-42C3-89EC-DAFA5A53C8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81" stopIfTrue="1" id="{8BB8618A-713E-4E66-B81B-98DD468CC8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80" stopIfTrue="1" id="{F3B2441A-6ADF-46A1-90E2-11FE9B686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79" stopIfTrue="1" id="{63B93C87-D83E-454F-838A-207FB330BD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78" stopIfTrue="1" id="{E5BFE1D8-1A09-440B-B5FC-F6C2E6FC5C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77" stopIfTrue="1" id="{6A0CFD8D-141C-4445-A7D2-A2F0F2789E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76" stopIfTrue="1" id="{2BBCAAC4-F3BC-48CC-BE7B-48338CCF4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75" stopIfTrue="1" id="{688FE41C-BC62-4EF5-9B4B-0B732055B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74" stopIfTrue="1" id="{E6B64D2D-3E15-478B-BECD-06D6F87442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73" stopIfTrue="1" id="{D5565A92-67F4-40AA-A2AD-91619973B1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72" stopIfTrue="1" id="{952852CF-07B2-4385-ABC4-F15D3F3E2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71" stopIfTrue="1" id="{C1A3F903-EE21-49D9-8B20-C0AC8D31A0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70" stopIfTrue="1" id="{52D40376-0A0D-4F4D-A2C0-98C1A52DBB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69" stopIfTrue="1" id="{16905796-BDB2-4DEE-9D8A-7AF3E51EE9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68" stopIfTrue="1" id="{66E131BA-CFAF-476E-A261-0A4591308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67" stopIfTrue="1" id="{32950585-2A45-4406-A897-F6CD68EDE0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66" stopIfTrue="1" id="{6C6BEEBC-C7C7-4600-9E1F-BC69A0AADC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65" stopIfTrue="1" id="{B3BAC8B3-0FCA-4D18-8474-FEA24ADC7D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64" stopIfTrue="1" id="{F4C1D322-0E94-4FAE-9DF7-E2D6A966F3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63" stopIfTrue="1" id="{BB5E3223-20CC-4671-9163-7E3BF3D53C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62" stopIfTrue="1" id="{734BDC20-A025-4205-A49B-258AE08103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61" stopIfTrue="1" id="{E7977910-3F32-4C0B-95A6-48310E1880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60" stopIfTrue="1" id="{55DEE07D-1818-4F9C-9BC0-67A026A933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59" stopIfTrue="1" id="{AC606409-D356-405C-8B54-DF214C0E07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58" stopIfTrue="1" id="{312D8E28-F869-4527-B506-2DE527D11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57" stopIfTrue="1" id="{FE6A290F-C0FE-47F9-8FFC-F4A98A541E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56" stopIfTrue="1" id="{541AF0E3-90CC-480D-8776-424243D8F5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55" stopIfTrue="1" id="{F1714E11-E772-4829-BD1A-081992C508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54" stopIfTrue="1" id="{B6678629-E720-4E0C-AAB4-D538B7E6D2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53" stopIfTrue="1" id="{C77DA5BE-D0D5-455E-84E7-5118CE9E11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52" stopIfTrue="1" id="{E81F7B8E-68F2-4EA3-BDCA-559391896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51" stopIfTrue="1" id="{DB36B88C-BD0A-410C-A793-2496F621F0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50" stopIfTrue="1" id="{752B7C92-5908-4769-9A4F-95F66C199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49" stopIfTrue="1" id="{C244A166-025E-40A7-923B-C0DD2DC22E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48" stopIfTrue="1" id="{979D3F1C-4EE1-4C57-9194-205F8B3CEE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47" stopIfTrue="1" id="{EC2DD53B-FABE-4F64-B5B2-CFEFE2529D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46" stopIfTrue="1" id="{94D34EDC-AC72-40B3-A671-5C28BEA612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45" stopIfTrue="1" id="{99D793F5-C228-444D-8541-862DB098B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44" stopIfTrue="1" id="{2F92C524-2BE9-4FC0-B393-45A8096D57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43" stopIfTrue="1" id="{922A3B37-D153-4853-99AA-832E0D0037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42" stopIfTrue="1" id="{727BBFDA-48DC-4F96-BE2B-A592D421F2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41" stopIfTrue="1" id="{E1FD1D21-1913-4A54-B35F-862E88358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40" stopIfTrue="1" id="{07D9F443-EDBD-4444-9158-EF705D040E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39" stopIfTrue="1" id="{730A08AD-3302-4495-B7F0-2614B43AFF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38" stopIfTrue="1" id="{6538BE81-7EB6-4FCC-AADD-44D052CFA3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37" stopIfTrue="1" id="{66051665-B541-4C48-B821-021664B069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36" stopIfTrue="1" id="{3C3974ED-5542-4521-AF48-9CE7F176E6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35" stopIfTrue="1" id="{69E9319C-751D-48A2-ABFF-4679E3AC5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34" stopIfTrue="1" id="{632E4988-0549-4E5A-AC32-9061C953DE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33" stopIfTrue="1" id="{19892573-8ABC-490E-9009-4F6F620326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32" stopIfTrue="1" id="{93874323-2863-4AA9-B0C8-23E5697B93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31" stopIfTrue="1" id="{117D9E93-F321-4E86-9E61-5B07A5EBA8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30" stopIfTrue="1" id="{B83D083E-1055-4E36-B5DD-C9E049687E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29" stopIfTrue="1" id="{297C3425-AA4B-4E06-8EED-09D20E3626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28" stopIfTrue="1" id="{62F877DA-5890-4F6D-8466-6647736629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27" stopIfTrue="1" id="{AB93F421-7A97-4349-91DB-AFBB11EA0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26" stopIfTrue="1" id="{D036D136-BFDC-4CF8-BDED-6DFBE2A424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25" stopIfTrue="1" id="{B4215E2B-FF92-410B-817E-1956955253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24" stopIfTrue="1" id="{2FDDAFBC-71B9-4614-9A19-9FDF324C43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23" stopIfTrue="1" id="{957A0C6B-030D-4A4F-9321-C6BA566ED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22" stopIfTrue="1" id="{2759EAC5-83CB-4795-A469-2F4AADB58A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21" stopIfTrue="1" id="{EB5F5667-1D53-46B0-B55F-B4CA48AAE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20" stopIfTrue="1" id="{67C3E27C-9285-45A2-8003-F2CF8EE6CC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19" stopIfTrue="1" id="{3D617C59-40A9-4CF1-A4AC-462DB8BAEE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18" stopIfTrue="1" id="{BB149186-81C6-4D8F-AC2A-E0CC6B65B2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17" stopIfTrue="1" id="{58E9ED26-6511-4874-8449-6E65512F25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16" stopIfTrue="1" id="{738E5A57-6F34-4A05-97E5-95F3684D04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15" stopIfTrue="1" id="{B58D7FC6-339C-4FBF-9A97-E567D53FD0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14" stopIfTrue="1" id="{18FB0156-6983-49A7-A1BC-83F6D3D75F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13" stopIfTrue="1" id="{44186E6E-373E-4C5B-A5FE-F24E6C32E6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12" stopIfTrue="1" id="{DA828BB8-B74B-41A3-8B79-7474EBB189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11" stopIfTrue="1" id="{5C244406-AD18-4762-8D98-CF085C4934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10" stopIfTrue="1" id="{BF77F97F-1AEB-46FA-8502-18FB3EFEC0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09" stopIfTrue="1" id="{519E5555-C53E-4F10-8386-00C013E6B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08" stopIfTrue="1" id="{7CE27C0F-60E3-4E3E-9AAC-05069C9DB9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07" stopIfTrue="1" id="{EED60EB6-B9F5-4A78-B2D9-768D5FAAC5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06" stopIfTrue="1" id="{B6BFA57C-2A22-4592-A40D-6B3D26CF02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05" stopIfTrue="1" id="{B8908126-55ED-4E38-946E-175317AFF3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604" stopIfTrue="1" id="{A93209E8-4DC9-4DF2-BCD8-C8668B266B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03" stopIfTrue="1" id="{86460DB1-D7A7-4204-8054-B22E5A06C5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02" stopIfTrue="1" id="{0DF403E4-53F8-47C3-8A2A-0AF50FAEA7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01" stopIfTrue="1" id="{2AAAB074-6E50-423F-879B-82DEAF7B2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600" stopIfTrue="1" id="{37C61929-F914-4511-AAA6-210B802726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99" stopIfTrue="1" id="{A160447E-E9BE-4629-A2EA-953BD0A295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98" stopIfTrue="1" id="{C7EC25AB-ECD5-48BD-A51E-D653156332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97" stopIfTrue="1" id="{92958CED-B75C-4E2E-A097-61FB4C026A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96" stopIfTrue="1" id="{C3C5AB44-4DF6-42D6-97F7-7C702EFC33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95" stopIfTrue="1" id="{CF10DDC3-B726-4B4D-BEB2-230C76221E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94" stopIfTrue="1" id="{03C50F4D-718E-48F5-B2E5-D48D275038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93" stopIfTrue="1" id="{7DC7F78F-172B-43EE-B1BE-5CA41B4EFA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92" stopIfTrue="1" id="{2F55845C-37C7-4F00-86B5-6D66BA55A1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91" stopIfTrue="1" id="{FBDF8743-FB95-48A6-BB5A-5F69071378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90" stopIfTrue="1" id="{73A4D208-4D66-4C98-AEF0-9E02A90E81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89" stopIfTrue="1" id="{ED90B48F-BB29-4C3E-A96B-4F0F1073A6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88" stopIfTrue="1" id="{0E1E3EEF-1D4D-4382-9DBF-8A14B9ABEA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87" stopIfTrue="1" id="{0A481CA5-197B-4A42-9E00-E964686E9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86" stopIfTrue="1" id="{BF692171-F08F-4E84-9B2B-EE0643D505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85" stopIfTrue="1" id="{43C38DF3-E81D-41E7-9407-6A973C1D6F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84" stopIfTrue="1" id="{0AF9B777-900F-400F-B26A-990CACD36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83" stopIfTrue="1" id="{624E2771-9033-4DFC-98F0-E1BF715FE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82" stopIfTrue="1" id="{1FA0C63F-0D3B-4C9E-97DE-5FC85FC5AB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81" stopIfTrue="1" id="{6D6867FA-E410-4285-B301-49AD0F948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80" stopIfTrue="1" id="{C27E4C15-5AF0-443F-BFE8-BCE595001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79" stopIfTrue="1" id="{72B5ADD4-86E8-437A-97BF-7EFE18562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78" stopIfTrue="1" id="{884BAC3B-3E8B-45D2-ABC4-B4F9348505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77" stopIfTrue="1" id="{7C50BDD1-E471-44B1-89FC-DA1BFD0173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76" stopIfTrue="1" id="{505A6456-3568-486C-B5E0-E09C403522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75" stopIfTrue="1" id="{C93D603B-CBFE-4759-A2B1-B5DBE9C01D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74" stopIfTrue="1" id="{C57D5B1C-0368-40F8-B20E-471E69F1C0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73" stopIfTrue="1" id="{65E8C7F0-AD86-4886-9B74-9EEC8DF2F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72" stopIfTrue="1" id="{CD3EB19E-1D8E-4446-8092-C34E09A2E9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71" stopIfTrue="1" id="{61F92601-1CC7-45B7-94DE-A4B407F0EE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70" stopIfTrue="1" id="{BC57FBBE-1CE0-4C4B-9494-F6F546AA4E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69" stopIfTrue="1" id="{8EB42592-F723-42DD-8082-14656A1B8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68" stopIfTrue="1" id="{D4F149C4-EC85-489F-A975-AA3F2869B8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67" stopIfTrue="1" id="{2B4147CA-6ACD-476B-AF1C-422F60E930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66" stopIfTrue="1" id="{CE9666F6-6F4F-410D-A8FA-7B3BEE7C2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65" stopIfTrue="1" id="{BF51018C-8A93-4BDA-BF7F-974C3EABA4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64" stopIfTrue="1" id="{6C655F8A-7D7B-4113-927C-B19C0BE02C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63" stopIfTrue="1" id="{578082DE-E6A4-4ACB-93D2-4728FEEC90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62" stopIfTrue="1" id="{AADDEA5F-6189-4052-82D1-63161D20DA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61" stopIfTrue="1" id="{E357053B-9D26-452F-BDA7-C4AB53F9AE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60" stopIfTrue="1" id="{51B4DBA9-286D-4E86-A018-1B787908E6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59" stopIfTrue="1" id="{4DAB9B22-31E4-4E98-8677-050B6EFDE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58" stopIfTrue="1" id="{6B7D6EE6-85C0-486D-88E3-DC669A826F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57" stopIfTrue="1" id="{FE5B4639-757A-4DA8-B008-787EC73991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56" stopIfTrue="1" id="{99D07313-973D-4A42-9207-D78667E18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55" stopIfTrue="1" id="{5AC15260-3487-4752-98B7-CF526C449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54" stopIfTrue="1" id="{7299E3B4-4866-4B1E-90B5-722F0B82DE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53" stopIfTrue="1" id="{2AFD0D03-876A-49C7-A390-F845733DA6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52" stopIfTrue="1" id="{91142144-C7D6-4766-8008-7AD3129062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51" stopIfTrue="1" id="{4AC7695A-FE4E-4A1F-9D47-BEBB49D4C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50" stopIfTrue="1" id="{F9F3F5FA-56EF-4C94-9687-4BC6E2374C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49" stopIfTrue="1" id="{48D64487-F5A1-4E87-B418-8BCAB214E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48" stopIfTrue="1" id="{EB742AE0-E42F-4208-A3C3-BC4D38F5BA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47" stopIfTrue="1" id="{AF65327F-D4ED-4A05-A2D3-A623129C91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46" stopIfTrue="1" id="{CBFA1506-84E6-42F6-96CF-0B95005EC0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45" stopIfTrue="1" id="{2650D7A8-5F6A-4E39-BDCF-10B888C6A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44" stopIfTrue="1" id="{F5F97E8F-D05E-4AFE-9AF3-6D48548972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43" stopIfTrue="1" id="{E45FF674-677E-4B50-9F9A-F6C96B60F1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42" stopIfTrue="1" id="{6E6D2189-9E30-4184-BCCD-D1E82C3CAE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41" stopIfTrue="1" id="{F50FE049-8C9C-47C5-8C62-A9211FE077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40" stopIfTrue="1" id="{D74CE2D8-8E7E-40CA-BC2D-704B2C0BC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39" stopIfTrue="1" id="{C2AD9C45-3413-42B2-A043-9A87EA1F62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38" stopIfTrue="1" id="{67C4E7B5-FC8B-4871-871E-B049C84B6B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37" stopIfTrue="1" id="{AC807A8C-C473-4885-BAB4-30A395F01A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36" stopIfTrue="1" id="{2575460E-6A7A-4129-AF75-7DA0209F6F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35" stopIfTrue="1" id="{1AF7F395-3525-4A15-B37E-372062F0AC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34" stopIfTrue="1" id="{39356699-578A-4736-9FC5-95BA03F79F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33" stopIfTrue="1" id="{0123C465-03F5-45F7-A239-1E11D5DD7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32" stopIfTrue="1" id="{70F07F46-A114-416F-84DE-183407A85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31" stopIfTrue="1" id="{CA6C9B7F-191A-4A32-9731-340117A927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30" stopIfTrue="1" id="{A3CB7445-51BF-4382-87F1-F9B0B0FB2B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29" stopIfTrue="1" id="{70ADB63A-AC53-4045-BB9C-FA4C1036F2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28" stopIfTrue="1" id="{924864E7-43AB-40D0-B858-833414D88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27" stopIfTrue="1" id="{76E63D5E-F3C3-48CF-9A49-0F1119B811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26" stopIfTrue="1" id="{D7DEFE68-9B6A-41EE-80AF-E443661843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25" stopIfTrue="1" id="{4695BF42-04A8-4EE0-B7DC-0F216EE314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24" stopIfTrue="1" id="{3914EB78-CE02-4AD1-A076-6449D70D01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23" stopIfTrue="1" id="{B9A590E3-29E0-451D-9FE7-0264FCC4B3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22" stopIfTrue="1" id="{9A468158-CDF1-4F00-BB5D-D87DEF75F6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21" stopIfTrue="1" id="{E82E8278-E08B-4A1A-81A1-240EEEB083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20" stopIfTrue="1" id="{3129BB8F-D93D-4086-8196-E59B5FA92E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19" stopIfTrue="1" id="{54D30A40-EEA4-48FB-9293-D146D2AF40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18" stopIfTrue="1" id="{2AFDD128-FCDC-4AF9-B8D6-6DAF09A0EB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17" stopIfTrue="1" id="{B485E472-5418-4487-A028-9001D25FD8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16" stopIfTrue="1" id="{6B90C1B4-22F6-4119-9B97-98DE33DD4B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15" stopIfTrue="1" id="{8FB7DBB6-BD85-4447-9578-210CD898F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14" stopIfTrue="1" id="{FF0DC3E6-B567-44C7-B566-52815012BD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13" stopIfTrue="1" id="{25E46586-21B2-4477-86B5-F88AA53C48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12" stopIfTrue="1" id="{456EA42A-D915-43B7-9972-A3B2346E8D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11" stopIfTrue="1" id="{FA6C4440-A735-467D-92E1-4BF2228822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10" stopIfTrue="1" id="{167FE2A0-7A76-4234-8A12-4DF6A3E06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09" stopIfTrue="1" id="{5C1579FC-6974-46EB-949C-A9527CB374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08" stopIfTrue="1" id="{F054B23E-894E-4AD1-B92D-01565D53FE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07" stopIfTrue="1" id="{6E7B67F9-96FC-4CAD-9931-1FF0C41BFB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06" stopIfTrue="1" id="{62DCC90B-928F-4C03-BC21-16C583AB6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05" stopIfTrue="1" id="{8231B495-05BB-4A20-B7D8-A6B1E8DE5F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504" stopIfTrue="1" id="{F3906026-59C2-4768-A22A-D71E140CA5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03" stopIfTrue="1" id="{E5BE1B06-499F-451C-B80F-A729AEAD1C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02" stopIfTrue="1" id="{D900116B-113F-489D-B95B-CB7F31BDF1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01" stopIfTrue="1" id="{70C30BC0-0AA2-4DB2-8474-D088B2A033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500" stopIfTrue="1" id="{ED4DA88C-0F82-4B60-A833-B16FB80461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99" stopIfTrue="1" id="{08522CF4-08AE-414B-9C8C-0471CD02B3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98" stopIfTrue="1" id="{58630511-CBF8-4009-9870-704BEB0198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97" stopIfTrue="1" id="{0C239C26-098C-4C64-B670-B31CE828B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96" stopIfTrue="1" id="{6665A4A0-E3D9-4865-A3AB-DBF1A149F8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95" stopIfTrue="1" id="{580C5970-7B5A-493A-AE99-0FA355A6AE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94" stopIfTrue="1" id="{C7039D74-DB9F-4954-BE49-F1A899454E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93" stopIfTrue="1" id="{5E9E0E39-1851-459E-8CFF-2BF4258D98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92" stopIfTrue="1" id="{8B4DC311-1ACF-4DD5-899A-D23612A4A6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91" stopIfTrue="1" id="{ED158A9F-87AD-42B0-AFAC-030072FF6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90" stopIfTrue="1" id="{016869E4-BCD7-4B9D-A61F-CF8BB754F6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89" stopIfTrue="1" id="{4ADD2AE9-E684-40AB-ACA0-9DF7E72E2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88" stopIfTrue="1" id="{D5E77094-B0C7-49D0-88BE-0BF1473AD5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87" stopIfTrue="1" id="{46510A16-9044-4FE7-90C3-C1C5E903BB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86" stopIfTrue="1" id="{4D648A15-DC37-495E-96B6-893606E399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85" stopIfTrue="1" id="{E815FD2E-A71C-4811-9547-DA56DF65EA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84" stopIfTrue="1" id="{6AD3F7B8-7704-4A85-A989-477B6E5178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83" stopIfTrue="1" id="{3C3D4EE0-0F77-427E-999B-58B8E64A2D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82" stopIfTrue="1" id="{0D5BC546-1D5B-441A-AA9B-03CB492FD7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81" stopIfTrue="1" id="{C2F310EB-D039-40EC-9F0B-2133190A96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80" stopIfTrue="1" id="{3CEE8F9F-A454-472F-91A7-166B51CBFB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79" stopIfTrue="1" id="{D0148D01-0B67-45E9-8DFE-C0DBE46F06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78" stopIfTrue="1" id="{0DA934F0-5658-4A53-BD2E-7C8333C1F8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77" stopIfTrue="1" id="{84CCA673-FED6-4E86-B368-F6302D18B1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76" stopIfTrue="1" id="{2682E81A-5462-44A2-AB40-58F256C87D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75" stopIfTrue="1" id="{FE3F1E16-AF68-4865-AE8F-8E4F6B6C21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74" stopIfTrue="1" id="{37C441D5-C01F-4512-8CF1-43E6B780FC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73" stopIfTrue="1" id="{A9B8C45D-BDC9-4F1E-91CB-75A98C40FA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72" stopIfTrue="1" id="{517C7756-1972-4ACA-AFF4-17971587C5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71" stopIfTrue="1" id="{D43C1E00-BB5E-443E-A351-01C7B646EB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70" stopIfTrue="1" id="{D50A7000-AB45-4A9C-B8C1-920F46ADB7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69" stopIfTrue="1" id="{2BA4E04C-7CD8-46BF-AFF4-585C6BF19E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68" stopIfTrue="1" id="{A5EF7492-1301-4978-B1CB-1FEE342B0B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67" stopIfTrue="1" id="{BB3AC436-206E-4719-AC80-FA26C52AD6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66" stopIfTrue="1" id="{E1832CF1-8129-4808-BFC6-BFCA3716F3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65" stopIfTrue="1" id="{BFDBAA36-6D06-4FB5-8F45-E798DAB4F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64" stopIfTrue="1" id="{E86D0698-E9E5-4952-A06F-FD2316A529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63" stopIfTrue="1" id="{B425C0CC-BDE6-43C1-8145-E074E4D14C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62" stopIfTrue="1" id="{11A0C0B8-BB15-4C9B-92B7-2BD0219184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61" stopIfTrue="1" id="{C49570B4-9FA7-47CE-9A05-65470A8ABC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60" stopIfTrue="1" id="{A2625F5B-4520-42BB-88BB-3C1FF8CC3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59" stopIfTrue="1" id="{7A6EFC47-30BA-4E64-AFCE-0D70F8947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58" stopIfTrue="1" id="{95652D64-F83C-471F-B4EC-149EA8A9BA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57" stopIfTrue="1" id="{8869480E-1D4A-4031-97FD-34397A702E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56" stopIfTrue="1" id="{AC3E5AF7-4DBD-4638-A802-0A0A986F0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55" stopIfTrue="1" id="{71BBF1E4-95D0-4DCD-8B15-D0ABB3E5BA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54" stopIfTrue="1" id="{10F57C2E-B818-41F6-BA5E-03313B8A22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53" stopIfTrue="1" id="{7A90B092-5997-4044-B061-BAAD9F3575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52" stopIfTrue="1" id="{4D9B9A8C-3B61-485D-8021-25CDF51AAF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51" stopIfTrue="1" id="{C678CF8E-EE7C-4A81-8A58-CE3D0401F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50" stopIfTrue="1" id="{A9BF2EAE-4C01-4CC6-BBB6-686B49A66B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49" stopIfTrue="1" id="{ADE74398-8664-4EA6-8127-11125AAD64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48" stopIfTrue="1" id="{9A55D7C2-F038-4DFE-9EAE-2432F91694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47" stopIfTrue="1" id="{6EDB6B23-7F30-4FE5-9D09-8EA5D2ED66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46" stopIfTrue="1" id="{042F2986-584A-42A2-A94D-E69D052E31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45" stopIfTrue="1" id="{BF3C312A-242B-482B-8D46-D2A56597E8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44" stopIfTrue="1" id="{657C90E9-6F05-471D-A18A-3312DECF95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43" stopIfTrue="1" id="{628ACBD2-D860-4367-9514-9DEF397334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42" stopIfTrue="1" id="{AD50D1DF-E08C-422F-A156-5335DE5AB9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41" stopIfTrue="1" id="{B802E7A8-0871-440F-8F89-0206250208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40" stopIfTrue="1" id="{5F71D32D-2AF8-40AB-808A-3D2AFC333D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39" stopIfTrue="1" id="{F0CF9F8A-D09B-4046-8D6D-CAFB57522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38" stopIfTrue="1" id="{F1202EF9-D6B1-4295-B254-EABD27944A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37" stopIfTrue="1" id="{50CC7F63-0C8C-46F8-9784-242BB0EEF1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36" stopIfTrue="1" id="{32C93FF3-9C6F-4C37-89BD-8A242DF80C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35" stopIfTrue="1" id="{B1F0E52B-987D-405E-83B5-31DF9517FE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34" stopIfTrue="1" id="{BAB325D0-A9AE-441C-94C3-F81B7BA3BB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33" stopIfTrue="1" id="{30F5F844-A446-4E3B-BC30-4C42174DEA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32" stopIfTrue="1" id="{91251A4D-4E16-45AB-B40D-44073C066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31" stopIfTrue="1" id="{9BBA2461-4436-42F5-9DF5-3317B1F1BD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30" stopIfTrue="1" id="{D3BCC305-D82E-46B9-A4D1-EC8B9368D4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29" stopIfTrue="1" id="{D2947179-AD2A-4801-BA7C-E74E3750F8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28" stopIfTrue="1" id="{189CF4BB-328D-4BA0-9F2D-FF0A602F38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27" stopIfTrue="1" id="{66428AA3-C7A4-47E6-AD42-B52E5732D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26" stopIfTrue="1" id="{33C9363C-6058-46D7-8A7F-BAB1140CF2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25" stopIfTrue="1" id="{C51CB9E7-2479-4F70-80AC-1BB136C8B2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24" stopIfTrue="1" id="{A97D352A-7B36-4B82-B975-52B33919A2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23" stopIfTrue="1" id="{5189CACF-B1B6-4BEE-82AE-79B6587382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22" stopIfTrue="1" id="{2EE4738B-7F50-4CFC-9F5C-C773368C4A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21" stopIfTrue="1" id="{86D0F850-F0A0-48E8-BB7F-F2726DF403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20" stopIfTrue="1" id="{FEDF1CEA-7FC0-41EB-B59E-95946D60AC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19" stopIfTrue="1" id="{880A7172-6C8A-4537-90C0-E2DF3AAB8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18" stopIfTrue="1" id="{E9216074-0972-4E7F-82CA-DAB52C80F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17" stopIfTrue="1" id="{22F4175C-5DB5-4C4E-95AA-2AE09F5570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16" stopIfTrue="1" id="{4A4A0A52-49D3-471D-ACCC-83F20879F0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15" stopIfTrue="1" id="{8EFC4B29-6A64-4D77-B5EA-6BC026A4B4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14" stopIfTrue="1" id="{C33FC409-7ADA-4751-AFD9-CA1709F2B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13" stopIfTrue="1" id="{74741DB9-6962-4E0A-A625-50CA7EC8B3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12" stopIfTrue="1" id="{4AF1C828-2CF1-4621-882B-56776A975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11" stopIfTrue="1" id="{48498772-DC72-4E95-89F8-C08390ED4D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10" stopIfTrue="1" id="{CA793E1E-CE5F-4B84-AE16-A281AA38A2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09" stopIfTrue="1" id="{CF017118-106A-40C6-8131-A97C86B2D1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408" stopIfTrue="1" id="{44472A7E-838A-4D95-A58F-FB82558C73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07" stopIfTrue="1" id="{B044258A-E5A4-4F09-9395-3F4780FF82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06" stopIfTrue="1" id="{4CD11B28-ECC9-4BBE-BCFF-2F6C570DF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05" stopIfTrue="1" id="{1488702C-421B-4185-9253-3A6BA4C55B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04" stopIfTrue="1" id="{0A07FE76-47A5-49FF-9FFD-8CD6CEA9F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03" stopIfTrue="1" id="{029DA5E8-5386-4EEA-996F-F56412DB0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02" stopIfTrue="1" id="{6BC0CE35-A2C2-420D-8D5C-960AB5DDBA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01" stopIfTrue="1" id="{18C2EA19-3CB8-4BDB-B2E2-4B7DAA2FEA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400" stopIfTrue="1" id="{C43F10D9-D637-4894-BD56-94FAE0A37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99" stopIfTrue="1" id="{17D23C75-1D36-4C91-934A-AB62A0FCAF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98" stopIfTrue="1" id="{62F4BEEF-2A6F-4949-9DB0-C45FC1732F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97" stopIfTrue="1" id="{127B7E72-C8E0-4469-B3EA-92FB2BF59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96" stopIfTrue="1" id="{4F6421DF-FD89-4E57-ABCB-7469D8FEE1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95" stopIfTrue="1" id="{6BBCF019-30B8-4101-B00E-17FB02DFE2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94" stopIfTrue="1" id="{73570E5E-3E2B-46F6-AF31-B288534C44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93" stopIfTrue="1" id="{998035CD-BB31-49EE-BBAE-242A8DEBC5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92" stopIfTrue="1" id="{FCCAEEF5-6306-44C2-A28A-22A478983B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91" stopIfTrue="1" id="{0D7A9D98-4FE0-4B3B-9352-FC798A067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90" stopIfTrue="1" id="{5A1F0259-DA1A-49A6-BFDD-368A2DF7B7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89" stopIfTrue="1" id="{04ACB95F-06BA-40BD-BB55-3DACEE3AC8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88" stopIfTrue="1" id="{59120388-B541-4B53-8C6A-9857E95E97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87" stopIfTrue="1" id="{45C8B77D-5E5A-4406-B40F-BE867CC47B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86" stopIfTrue="1" id="{2A79367D-1C5B-42B5-BF0E-ECB8584C01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85" stopIfTrue="1" id="{2CD068F0-C3C1-40E3-B6D0-75A2DCEFE9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84" stopIfTrue="1" id="{13B34E90-70D1-468D-91D9-A50F910BCF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83" stopIfTrue="1" id="{B56F2A4E-29BB-4DA0-A517-0BB595B95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82" stopIfTrue="1" id="{3DE9051B-EC13-48F3-8A15-DCC25D6AAA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81" stopIfTrue="1" id="{9F2519D7-E76A-4CB1-B3C7-9932F6FD51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80" stopIfTrue="1" id="{8F86D86D-D32F-482D-8B9B-AC6D7FCA13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79" stopIfTrue="1" id="{78520647-149E-4E30-9EF5-978130C30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78" stopIfTrue="1" id="{0EA39048-C149-4224-993C-0E5A4760C8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77" stopIfTrue="1" id="{A8C6DCF3-BC75-4F85-A049-151F00CD7C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76" stopIfTrue="1" id="{EB3E7979-36AC-4524-A8E4-9F416AA7D4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75" stopIfTrue="1" id="{AC90857A-6D56-4AA6-9D4A-E980FEC7A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74" stopIfTrue="1" id="{0A636ACA-A385-4B1A-AB7E-E4C2025F7E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73" stopIfTrue="1" id="{058026C5-909C-4940-A52A-B022B6D2AB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72" stopIfTrue="1" id="{8DD0469A-DF04-44A1-953B-145C602E72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71" stopIfTrue="1" id="{A4102BB3-1552-4FD4-9A5D-6BA2CCF0A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70" stopIfTrue="1" id="{EB9DA579-D371-4AF8-8032-AA5F707AB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69" stopIfTrue="1" id="{48B30EC1-2006-4902-A91B-92656A2073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68" stopIfTrue="1" id="{9E8BAAF4-7006-44B2-8A46-D8A14EBC49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67" stopIfTrue="1" id="{9817AD3B-CC9C-406F-9637-18EFE5D10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66" stopIfTrue="1" id="{DC60C6D2-9E72-4F90-B55E-6912056CC3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65" stopIfTrue="1" id="{54F8B532-74CD-4E0E-8E7B-11C42843C3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64" stopIfTrue="1" id="{3225E21C-6507-4237-8C03-A12F99FE59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63" stopIfTrue="1" id="{E55851FF-0327-4611-ADAD-244A668A77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62" stopIfTrue="1" id="{E54EDA4C-EE12-4971-9ED8-48E2E35DF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61" stopIfTrue="1" id="{175EBD7C-C9B3-431B-BC3D-DC39432B96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60" stopIfTrue="1" id="{2F14622B-FDE3-4C4A-AF25-9CF341AC3D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59" stopIfTrue="1" id="{C3EDCF32-1508-4B4E-BC5F-5AAE1E5399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58" stopIfTrue="1" id="{A78C4F4B-B750-4E30-B879-30A68F92C9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57" stopIfTrue="1" id="{D03B2A57-CC6D-48E4-9EB5-93E6E1509B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56" stopIfTrue="1" id="{B2882244-A3D7-4404-81FC-F922B7E4F4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55" stopIfTrue="1" id="{0669489C-8EEB-415E-8E02-ED919740A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54" stopIfTrue="1" id="{B310022C-6BE7-41AB-AA31-F26817A13E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53" stopIfTrue="1" id="{6039E112-B20E-4F34-8189-29925ABBCF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52" stopIfTrue="1" id="{E4DB6796-508D-4363-9A85-DE44DB7D1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51" stopIfTrue="1" id="{DFE59A2D-18D5-4537-B3B8-19FDC2F6E3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50" stopIfTrue="1" id="{181BF185-6B7C-436E-9688-F39BE8E2C7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49" stopIfTrue="1" id="{58A4BAE1-18E3-4E19-9219-D2BF573AF3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48" stopIfTrue="1" id="{0BF72337-E9AD-48B2-8848-7E5F730D9B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47" stopIfTrue="1" id="{46F53609-2134-48CF-BFDF-36B7AB003B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46" stopIfTrue="1" id="{BB0D6396-BF6E-44FD-82D1-16CDDE096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45" stopIfTrue="1" id="{2D3F425F-7007-42DD-98BC-B6E0D3552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44" stopIfTrue="1" id="{23663E02-FB7F-4A14-B80E-26F7127C64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43" stopIfTrue="1" id="{AB8131AD-D256-4A2B-9D38-12FAD78B12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42" stopIfTrue="1" id="{E697ADAD-3736-4E7A-A647-7E0793EC27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41" stopIfTrue="1" id="{2108A9F1-230D-401D-9537-D900949FD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40" stopIfTrue="1" id="{E52FA612-827A-45C4-9AE1-8D181BF5DD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39" stopIfTrue="1" id="{4DB5AF5D-77E7-4A7C-A6D1-7C736050A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38" stopIfTrue="1" id="{99D7048D-F248-4C23-AFF7-674BDE0B77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37" stopIfTrue="1" id="{31639867-DA29-4D0E-BF1A-F23CD090D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36" stopIfTrue="1" id="{A06B516E-191A-419F-B473-81589565EF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35" stopIfTrue="1" id="{FB4C609E-6A43-491F-AB60-F477119713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34" stopIfTrue="1" id="{E464829B-A65C-4124-9FB0-C8CA5C257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33" stopIfTrue="1" id="{E9E80CD6-3E2A-4A4E-840B-8BA171619C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32" stopIfTrue="1" id="{E06E7EDE-77F1-4E4E-8F36-FAF871AACA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31" stopIfTrue="1" id="{BB93EC08-EDDA-4233-92A2-C7E1398601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30" stopIfTrue="1" id="{E40402A2-9ECF-4B6A-9576-005569B266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29" stopIfTrue="1" id="{49F713DC-58B9-49D8-968C-2196916C16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28" stopIfTrue="1" id="{79EA395F-9F25-4314-BB21-FC8F55CEF3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27" stopIfTrue="1" id="{462BF51B-38C9-45CD-9140-F14D2FEE6D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26" stopIfTrue="1" id="{5D5EF74A-5785-42AF-900D-D5F1899036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25" stopIfTrue="1" id="{935C6B2D-FEB2-4783-AC7D-35CB1D0F9F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24" stopIfTrue="1" id="{FFCDE3E4-F846-4361-8AF8-8B35270428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23" stopIfTrue="1" id="{D7513E97-5520-4CE6-98A7-64B926D571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22" stopIfTrue="1" id="{8B0FC5FC-B680-44C1-A850-D471D4451E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21" stopIfTrue="1" id="{B246B4DD-DF8F-4A83-998B-CC4BE6677C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20" stopIfTrue="1" id="{926621DF-A312-49B0-A8F0-1F69832437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19" stopIfTrue="1" id="{E1CF191B-3871-4DBE-A1BB-5E9957F1D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18" stopIfTrue="1" id="{437B3303-30C7-4E77-83D9-0E2E72719E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17" stopIfTrue="1" id="{19F214A0-D4A2-4A33-865F-701DBB8E10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16" stopIfTrue="1" id="{7B06CE61-1E8D-4861-AB28-6F15182737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15" stopIfTrue="1" id="{200900FF-E860-4645-9F91-A2C5A13001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14" stopIfTrue="1" id="{41514A65-EA72-44D8-8131-E30C96B105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13" stopIfTrue="1" id="{D4E74ED3-C76D-44C9-8DD5-C233FD7BF3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12" stopIfTrue="1" id="{EB74BB43-5453-4335-96E1-A275FFE347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11" stopIfTrue="1" id="{316D91D1-4232-4318-9191-DB69B07776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10" stopIfTrue="1" id="{51DDF6A5-CCEF-41F0-B691-AE0503333C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09" stopIfTrue="1" id="{C650CB96-29FB-4014-8A47-C26033300F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08" stopIfTrue="1" id="{9D4D518B-4154-4A70-96B5-E76D8FC040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07" stopIfTrue="1" id="{CB46433F-C39C-422E-9A5A-54CD7C9F94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06" stopIfTrue="1" id="{5537C7FA-C165-459A-9535-BE84DE9D22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05" stopIfTrue="1" id="{436260BD-A97F-4ED0-976C-FF7B70890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04" stopIfTrue="1" id="{8F4EA8DA-31A2-45C1-96FC-D2687FA4FC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03" stopIfTrue="1" id="{D0990053-C5A7-4C50-AE7A-BD1C8CAA7A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302" stopIfTrue="1" id="{2F966B63-9DEA-4090-B4E5-151924BB2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01" stopIfTrue="1" id="{67FAC1C1-01E8-41E0-A8CD-D5B0771880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300" stopIfTrue="1" id="{EB265153-C550-4740-A21D-F9486427C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99" stopIfTrue="1" id="{5B36A03C-2B1F-4586-828A-6E3FBA19CE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98" stopIfTrue="1" id="{50B1E851-383E-47E2-9C86-AA793937A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97" stopIfTrue="1" id="{00D69CB8-BDBF-409C-BAE7-28271AC1AE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96" stopIfTrue="1" id="{31ACA272-B588-4A02-AA16-ACE495F4FC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95" stopIfTrue="1" id="{7B5ACE2F-EA86-4EEF-A757-B5F055F94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94" stopIfTrue="1" id="{AC624DE8-90C2-417E-88F3-F74967F6B3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93" stopIfTrue="1" id="{ECF1A3E2-ADD4-4CE3-B575-47D2DC9C7F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92" stopIfTrue="1" id="{A7847A02-76F8-4B7B-B228-92342FEF62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91" stopIfTrue="1" id="{850A984E-FD5D-41A2-9E24-0DA759901E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90" stopIfTrue="1" id="{8F71B3AD-59C4-4C82-BDC4-F1123CA804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89" stopIfTrue="1" id="{C438956B-DAF4-4B35-A770-BDF792B236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88" stopIfTrue="1" id="{96B71011-030A-41A9-B387-E0CD150C01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87" stopIfTrue="1" id="{D8940A83-2986-4A75-9E26-7985F62F30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86" stopIfTrue="1" id="{1CC555E1-2A73-4F6B-99B5-5794724833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85" stopIfTrue="1" id="{619AFFB3-58FD-419A-A739-7FD6B34E61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84" stopIfTrue="1" id="{8BC91EA7-DD4A-44BD-924F-D0D5025BEC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83" stopIfTrue="1" id="{99F62536-142A-45D8-912F-AB481DC186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82" stopIfTrue="1" id="{44C39E5A-5FE4-4D07-909B-7ECEEB6996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81" stopIfTrue="1" id="{43AA6607-3979-4B6A-9D99-9637469AAF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80" stopIfTrue="1" id="{A9AD1EEB-B1A1-4225-BD71-9B2A59FA93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79" stopIfTrue="1" id="{93614BB6-E4DA-4C1D-822B-3FDA0FD4F3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78" stopIfTrue="1" id="{6F111E2D-41FE-4E5C-A8DB-0B23A0317B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77" stopIfTrue="1" id="{82C86D14-93FC-4F9D-A7D6-11CB091B48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76" stopIfTrue="1" id="{DDC2013B-DCA5-4042-84DB-A618F9683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75" stopIfTrue="1" id="{F1CB4CC0-267B-46BD-B6DA-923B2A9379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74" stopIfTrue="1" id="{27C7EB2B-E653-4B8B-9D2E-83276DB2FE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73" stopIfTrue="1" id="{49630BBF-906D-40E5-B0F0-A43D5AB7DA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72" stopIfTrue="1" id="{859C6E18-FF03-43B1-AAA0-7B9AA39B57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71" stopIfTrue="1" id="{C0518845-ABEE-412E-B8D2-16B1A5F443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70" stopIfTrue="1" id="{8B70FAA9-96A3-4F95-B54A-376278255C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69" stopIfTrue="1" id="{B41547C9-9445-4E93-B707-EFF21888F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68" stopIfTrue="1" id="{C6E25EAC-0F84-4FF4-9ADB-41B8209EFC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67" stopIfTrue="1" id="{DA570DEB-F4C1-48B0-A6BE-206870216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66" stopIfTrue="1" id="{3BA07E7A-54A9-4BE0-8BCE-8F99BAC4E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65" stopIfTrue="1" id="{337E3728-5096-464E-8A67-5B02516EBE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64" stopIfTrue="1" id="{70EA76B2-6694-4C4F-B1F8-22834A8B41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63" stopIfTrue="1" id="{6E5DD8B5-0316-4E54-96C2-C7809AE2F0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62" stopIfTrue="1" id="{D7A90FD9-B40A-41FB-9411-2686D35BC2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61" stopIfTrue="1" id="{008ED793-EBBF-44F1-BAE8-32EA75C8BB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60" stopIfTrue="1" id="{34750997-6971-49E1-93E4-FFD5B2E421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59" stopIfTrue="1" id="{BF345156-404F-46D2-B868-25E6A3B6B6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58" stopIfTrue="1" id="{6A31BE4E-CC68-43D8-9884-D14845C316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57" stopIfTrue="1" id="{83D2C6F7-C6FD-4AF6-A8CF-6357F454D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56" stopIfTrue="1" id="{029D6174-6A13-4076-B2FA-68BBF28832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55" stopIfTrue="1" id="{E1B7FB31-83BB-495D-9E90-B804725FD5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54" stopIfTrue="1" id="{1928408D-08DB-42C7-98D6-D11010CFE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53" stopIfTrue="1" id="{7BDF3CE5-6C75-4D9C-9B72-79B9780979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52" stopIfTrue="1" id="{2003C963-AD6B-4F2C-B853-199463869A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51" stopIfTrue="1" id="{76025808-FBA7-4F76-8722-39A337CD7A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50" stopIfTrue="1" id="{8F2DFBE6-0C55-4263-9D5A-2F02D93E69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49" stopIfTrue="1" id="{FDA89F0F-42AF-4AFA-B387-CD7F9BFA30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48" stopIfTrue="1" id="{CD01C895-1405-465B-BC4A-411077428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47" stopIfTrue="1" id="{6E6E6F5E-D7AC-4EDD-AE68-13A7B8EE51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46" stopIfTrue="1" id="{E26CC2A2-6CD3-4AB7-A541-6F0FDACDD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45" stopIfTrue="1" id="{0B583053-136F-4A9F-929A-3D9FB14F2A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44" stopIfTrue="1" id="{7889D3E6-5B92-4FA0-8BDF-E5F545C16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43" stopIfTrue="1" id="{746B0B31-077E-4EBF-8FD1-4BBBC00177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42" stopIfTrue="1" id="{9ADBAA38-65B7-448C-A109-086BFBE0F0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41" stopIfTrue="1" id="{AC3125F7-90C4-4112-9D29-D2AA15B7B6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40" stopIfTrue="1" id="{671907C1-6CBD-45DC-B5FA-AFCE858663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39" stopIfTrue="1" id="{84FA5B78-B60D-493B-B6DD-78F116AC70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38" stopIfTrue="1" id="{07F55524-F10C-4DB7-95CB-CBA45BBFA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37" stopIfTrue="1" id="{F4D24D73-598B-488E-9808-7FE8712A2C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36" stopIfTrue="1" id="{59D9E9D0-6846-4B76-8C24-F4911C1D47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35" stopIfTrue="1" id="{088BED54-7789-4777-A3A8-04ABBF0FAB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34" stopIfTrue="1" id="{49D82EAB-4BD2-4E86-989A-0CF65654B5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33" stopIfTrue="1" id="{4D418A27-E3F4-407E-BBF5-E609A021C4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32" stopIfTrue="1" id="{B48281DD-543F-4D6B-8D70-2BE3E7974F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31" stopIfTrue="1" id="{E64AE736-74FE-44BE-9B85-CE031785F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30" stopIfTrue="1" id="{4DC84F6F-2AF6-47A4-878A-49B5D443F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29" stopIfTrue="1" id="{8AB13D1F-CE80-4559-AFD9-DA01557D4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28" stopIfTrue="1" id="{60A6D885-C08E-4986-A8AA-0CCAC555A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27" stopIfTrue="1" id="{E978A095-B040-448E-8DE5-02A266556D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26" stopIfTrue="1" id="{A0F34FAD-F95E-4C0B-AC8C-8D3B3C332B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25" stopIfTrue="1" id="{F672102C-4B3B-4786-9C3D-D6731484AA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24" stopIfTrue="1" id="{FD8E9910-5971-47FD-9D01-972AAAA63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23" stopIfTrue="1" id="{83FF96EA-C760-4351-91EE-E32CB85AF2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22" stopIfTrue="1" id="{E74013E6-90BF-4D8F-A843-C0742ADD5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21" stopIfTrue="1" id="{9234A2C6-525F-4AE2-A47A-D639C3120B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20" stopIfTrue="1" id="{E128A1A9-2B99-48D5-AFD6-AEC0B2D37A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19" stopIfTrue="1" id="{D0B00AC6-C6A8-4673-8B4F-95A635BCD1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218" stopIfTrue="1" id="{9F0250BF-4D10-4A57-A50F-E5A0028AD1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17" stopIfTrue="1" id="{A2222C42-5877-49E1-B01A-D11FD829C9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216" stopIfTrue="1" id="{61FC123F-3C4D-488D-9954-8B47C29D21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F322:G322</xm:sqref>
        </x14:conditionalFormatting>
        <x14:conditionalFormatting xmlns:xm="http://schemas.microsoft.com/office/excel/2006/main">
          <x14:cfRule type="expression" priority="8215" stopIfTrue="1" id="{B3A4140A-18E7-41E4-ADC7-C419FAC108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F322:G322</xm:sqref>
        </x14:conditionalFormatting>
        <x14:conditionalFormatting xmlns:xm="http://schemas.microsoft.com/office/excel/2006/main">
          <x14:cfRule type="expression" priority="8214" stopIfTrue="1" id="{0C436368-EBEB-4CD8-8108-A226BD0802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F323:G323</xm:sqref>
        </x14:conditionalFormatting>
        <x14:conditionalFormatting xmlns:xm="http://schemas.microsoft.com/office/excel/2006/main">
          <x14:cfRule type="expression" priority="8213" stopIfTrue="1" id="{95243E0B-80E3-470B-90C4-BA1CF0A3D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F323:G323</xm:sqref>
        </x14:conditionalFormatting>
        <x14:conditionalFormatting xmlns:xm="http://schemas.microsoft.com/office/excel/2006/main">
          <x14:cfRule type="expression" priority="8212" stopIfTrue="1" id="{C1F56053-19CC-4889-994E-BAC855CEC2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11" stopIfTrue="1" id="{19D7F36B-DAED-4E65-B2E1-89E9A64616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10" stopIfTrue="1" id="{BF21D999-83B6-4047-BAC5-7520E03C95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09" stopIfTrue="1" id="{0DC70344-0346-48A6-91A8-30A9330B1B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08" stopIfTrue="1" id="{EEE87D18-2AB5-416A-B028-61F9CAA75C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07" stopIfTrue="1" id="{D4DCAF64-BFC4-4240-8B71-FA0505888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06" stopIfTrue="1" id="{32DE956A-B686-4711-85A4-00D5A67423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05" stopIfTrue="1" id="{A2581A8B-7205-4078-A2EB-D391640336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04" stopIfTrue="1" id="{03B50758-3879-47FD-B867-2654B954A7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03" stopIfTrue="1" id="{5C6B626C-28B6-45B9-810E-51C0D4F77A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02" stopIfTrue="1" id="{D1A1DECC-6D9A-4D08-A5D4-EB8015CDF0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01" stopIfTrue="1" id="{1D6ABF75-C6E9-4B6A-A9BA-EE2E424D99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200" stopIfTrue="1" id="{4619C3F5-2D76-43A7-B546-27026664E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F420:G420</xm:sqref>
        </x14:conditionalFormatting>
        <x14:conditionalFormatting xmlns:xm="http://schemas.microsoft.com/office/excel/2006/main">
          <x14:cfRule type="expression" priority="8199" stopIfTrue="1" id="{27147104-0887-4122-93F1-95E29AB8BD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F420:G420</xm:sqref>
        </x14:conditionalFormatting>
        <x14:conditionalFormatting xmlns:xm="http://schemas.microsoft.com/office/excel/2006/main">
          <x14:cfRule type="expression" priority="8198" stopIfTrue="1" id="{124F81FD-8B5A-450A-AA41-68644D734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F423:G423</xm:sqref>
        </x14:conditionalFormatting>
        <x14:conditionalFormatting xmlns:xm="http://schemas.microsoft.com/office/excel/2006/main">
          <x14:cfRule type="expression" priority="8197" stopIfTrue="1" id="{C94E49B5-FD24-48E0-828F-5DC0D78CDE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F423:G423</xm:sqref>
        </x14:conditionalFormatting>
        <x14:conditionalFormatting xmlns:xm="http://schemas.microsoft.com/office/excel/2006/main">
          <x14:cfRule type="expression" priority="8196" stopIfTrue="1" id="{C9C1DABC-27E1-40DB-934D-F65CD4FEE4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F424:G424</xm:sqref>
        </x14:conditionalFormatting>
        <x14:conditionalFormatting xmlns:xm="http://schemas.microsoft.com/office/excel/2006/main">
          <x14:cfRule type="expression" priority="8195" stopIfTrue="1" id="{ABEB7B3C-6715-447A-98B4-399C735CF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F425:G427</xm:sqref>
        </x14:conditionalFormatting>
        <x14:conditionalFormatting xmlns:xm="http://schemas.microsoft.com/office/excel/2006/main">
          <x14:cfRule type="expression" priority="8194" stopIfTrue="1" id="{A1180A0B-8933-4C69-BAAF-32D9DCFB3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F430:G430</xm:sqref>
        </x14:conditionalFormatting>
        <x14:conditionalFormatting xmlns:xm="http://schemas.microsoft.com/office/excel/2006/main">
          <x14:cfRule type="expression" priority="8193" stopIfTrue="1" id="{A48FD1C6-4EA0-4515-93BC-D66628AEB3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F432:G432</xm:sqref>
        </x14:conditionalFormatting>
        <x14:conditionalFormatting xmlns:xm="http://schemas.microsoft.com/office/excel/2006/main">
          <x14:cfRule type="expression" priority="8192" stopIfTrue="1" id="{F1E5CCEA-08BC-4521-9732-E97B7698CE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F432:G432</xm:sqref>
        </x14:conditionalFormatting>
        <x14:conditionalFormatting xmlns:xm="http://schemas.microsoft.com/office/excel/2006/main">
          <x14:cfRule type="expression" priority="8191" stopIfTrue="1" id="{63382787-B0D1-4E45-9E9B-63418C0C90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F433:G433</xm:sqref>
        </x14:conditionalFormatting>
        <x14:conditionalFormatting xmlns:xm="http://schemas.microsoft.com/office/excel/2006/main">
          <x14:cfRule type="expression" priority="8190" stopIfTrue="1" id="{44B46001-78C9-4FE1-9F3F-9E65BD74D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F435:G436</xm:sqref>
        </x14:conditionalFormatting>
        <x14:conditionalFormatting xmlns:xm="http://schemas.microsoft.com/office/excel/2006/main">
          <x14:cfRule type="expression" priority="8189" stopIfTrue="1" id="{AE9A965B-519B-40D1-937C-7A30DDEFB0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F439:G439</xm:sqref>
        </x14:conditionalFormatting>
        <x14:conditionalFormatting xmlns:xm="http://schemas.microsoft.com/office/excel/2006/main">
          <x14:cfRule type="expression" priority="8188" stopIfTrue="1" id="{9FB29653-6D8A-41C9-96A5-F6415CA26B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F428:G428</xm:sqref>
        </x14:conditionalFormatting>
        <x14:conditionalFormatting xmlns:xm="http://schemas.microsoft.com/office/excel/2006/main">
          <x14:cfRule type="expression" priority="8187" stopIfTrue="1" id="{70963FAB-9043-49B0-B22F-3A8582DC8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F434:G434</xm:sqref>
        </x14:conditionalFormatting>
        <x14:conditionalFormatting xmlns:xm="http://schemas.microsoft.com/office/excel/2006/main">
          <x14:cfRule type="expression" priority="8186" stopIfTrue="1" id="{E2303F22-2D02-4535-A779-21E4BAA8AD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F437:G437</xm:sqref>
        </x14:conditionalFormatting>
        <x14:conditionalFormatting xmlns:xm="http://schemas.microsoft.com/office/excel/2006/main">
          <x14:cfRule type="expression" priority="8185" stopIfTrue="1" id="{5A072B7E-C4D0-40EB-AD3D-C28280016E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F441:G441</xm:sqref>
        </x14:conditionalFormatting>
        <x14:conditionalFormatting xmlns:xm="http://schemas.microsoft.com/office/excel/2006/main">
          <x14:cfRule type="expression" priority="8184" stopIfTrue="1" id="{1C6A1B1D-BC0E-4B79-B551-7D1CBBA3D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F441:G441</xm:sqref>
        </x14:conditionalFormatting>
        <x14:conditionalFormatting xmlns:xm="http://schemas.microsoft.com/office/excel/2006/main">
          <x14:cfRule type="expression" priority="8183" stopIfTrue="1" id="{0301D79A-579A-4D47-AF79-1F4B3A32F5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F450:G450</xm:sqref>
        </x14:conditionalFormatting>
        <x14:conditionalFormatting xmlns:xm="http://schemas.microsoft.com/office/excel/2006/main">
          <x14:cfRule type="expression" priority="8182" stopIfTrue="1" id="{57D0A9D9-31BC-4297-86ED-03FE7ED60C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F450:G450</xm:sqref>
        </x14:conditionalFormatting>
        <x14:conditionalFormatting xmlns:xm="http://schemas.microsoft.com/office/excel/2006/main">
          <x14:cfRule type="expression" priority="8181" stopIfTrue="1" id="{6A55158C-5E59-447D-A3AF-6541983A07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F453:G453</xm:sqref>
        </x14:conditionalFormatting>
        <x14:conditionalFormatting xmlns:xm="http://schemas.microsoft.com/office/excel/2006/main">
          <x14:cfRule type="expression" priority="8180" stopIfTrue="1" id="{7DB91A61-9F36-469A-B410-D53ADA7A77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F453:G453</xm:sqref>
        </x14:conditionalFormatting>
        <x14:conditionalFormatting xmlns:xm="http://schemas.microsoft.com/office/excel/2006/main">
          <x14:cfRule type="expression" priority="8179" stopIfTrue="1" id="{86C69121-0B0B-4072-BEDC-DF3FE84471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F456:G456</xm:sqref>
        </x14:conditionalFormatting>
        <x14:conditionalFormatting xmlns:xm="http://schemas.microsoft.com/office/excel/2006/main">
          <x14:cfRule type="expression" priority="8178" stopIfTrue="1" id="{2F67C88B-DEDA-4619-B74D-D95590F28E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F456:G456</xm:sqref>
        </x14:conditionalFormatting>
        <x14:conditionalFormatting xmlns:xm="http://schemas.microsoft.com/office/excel/2006/main">
          <x14:cfRule type="expression" priority="8177" stopIfTrue="1" id="{B45FC650-BAF7-4F03-8378-18C4D28F98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F458:G458</xm:sqref>
        </x14:conditionalFormatting>
        <x14:conditionalFormatting xmlns:xm="http://schemas.microsoft.com/office/excel/2006/main">
          <x14:cfRule type="expression" priority="8176" stopIfTrue="1" id="{C960A414-DA51-46CA-814D-A407B1943E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F458:G458</xm:sqref>
        </x14:conditionalFormatting>
        <x14:conditionalFormatting xmlns:xm="http://schemas.microsoft.com/office/excel/2006/main">
          <x14:cfRule type="expression" priority="8175" stopIfTrue="1" id="{DDD33F7E-F407-4FBD-9FB7-28D0B59FD2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F461:G461</xm:sqref>
        </x14:conditionalFormatting>
        <x14:conditionalFormatting xmlns:xm="http://schemas.microsoft.com/office/excel/2006/main">
          <x14:cfRule type="expression" priority="8174" stopIfTrue="1" id="{9ACA59B6-7A0B-44BD-BCCC-8CB6DF62A3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F461:G461</xm:sqref>
        </x14:conditionalFormatting>
        <x14:conditionalFormatting xmlns:xm="http://schemas.microsoft.com/office/excel/2006/main">
          <x14:cfRule type="expression" priority="8173" stopIfTrue="1" id="{745ABF1A-4062-46DE-8385-0FE115F695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F448:G448</xm:sqref>
        </x14:conditionalFormatting>
        <x14:conditionalFormatting xmlns:xm="http://schemas.microsoft.com/office/excel/2006/main">
          <x14:cfRule type="expression" priority="8172" stopIfTrue="1" id="{BDE3645B-7F76-4FF1-B53B-E1C4B207B7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F468:G468</xm:sqref>
        </x14:conditionalFormatting>
        <x14:conditionalFormatting xmlns:xm="http://schemas.microsoft.com/office/excel/2006/main">
          <x14:cfRule type="expression" priority="8171" stopIfTrue="1" id="{ECC458FE-9735-4B0C-BCE8-73A15C398B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F470:G470</xm:sqref>
        </x14:conditionalFormatting>
        <x14:conditionalFormatting xmlns:xm="http://schemas.microsoft.com/office/excel/2006/main">
          <x14:cfRule type="expression" priority="8170" stopIfTrue="1" id="{42FD5881-9498-47F2-8DB1-D9218524BD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F470:G470</xm:sqref>
        </x14:conditionalFormatting>
        <x14:conditionalFormatting xmlns:xm="http://schemas.microsoft.com/office/excel/2006/main">
          <x14:cfRule type="expression" priority="8169" stopIfTrue="1" id="{0766C0CC-E22B-45FB-A400-8967B84768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F477:G477</xm:sqref>
        </x14:conditionalFormatting>
        <x14:conditionalFormatting xmlns:xm="http://schemas.microsoft.com/office/excel/2006/main">
          <x14:cfRule type="expression" priority="8168" stopIfTrue="1" id="{BB3A2F48-EE8F-4D21-88D6-25E95343F7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F479:G479</xm:sqref>
        </x14:conditionalFormatting>
        <x14:conditionalFormatting xmlns:xm="http://schemas.microsoft.com/office/excel/2006/main">
          <x14:cfRule type="expression" priority="8167" stopIfTrue="1" id="{E8BFAE55-AA86-422A-B28E-1B81601F09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F479:G479</xm:sqref>
        </x14:conditionalFormatting>
        <x14:conditionalFormatting xmlns:xm="http://schemas.microsoft.com/office/excel/2006/main">
          <x14:cfRule type="expression" priority="8166" stopIfTrue="1" id="{474C9FA9-CB7E-4AB5-8783-B06C30EEEC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F482:G482</xm:sqref>
        </x14:conditionalFormatting>
        <x14:conditionalFormatting xmlns:xm="http://schemas.microsoft.com/office/excel/2006/main">
          <x14:cfRule type="expression" priority="8165" stopIfTrue="1" id="{38B419C7-4E42-48A8-970F-E46A64C502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F482:G482</xm:sqref>
        </x14:conditionalFormatting>
        <x14:conditionalFormatting xmlns:xm="http://schemas.microsoft.com/office/excel/2006/main">
          <x14:cfRule type="expression" priority="8164" stopIfTrue="1" id="{097967E1-10CA-4A72-825C-4EB78BA476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F485:G485</xm:sqref>
        </x14:conditionalFormatting>
        <x14:conditionalFormatting xmlns:xm="http://schemas.microsoft.com/office/excel/2006/main">
          <x14:cfRule type="expression" priority="8163" stopIfTrue="1" id="{AFFEE2F8-E598-48AF-897E-577906F754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F485:G485</xm:sqref>
        </x14:conditionalFormatting>
        <x14:conditionalFormatting xmlns:xm="http://schemas.microsoft.com/office/excel/2006/main">
          <x14:cfRule type="expression" priority="8160" stopIfTrue="1" id="{3B64345A-3BDD-48BE-BBA2-CB3FCA24B4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F488:G488</xm:sqref>
        </x14:conditionalFormatting>
        <x14:conditionalFormatting xmlns:xm="http://schemas.microsoft.com/office/excel/2006/main">
          <x14:cfRule type="expression" priority="8159" stopIfTrue="1" id="{AED3C2EC-60C5-49D8-B367-F0577675C3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F488:G488</xm:sqref>
        </x14:conditionalFormatting>
        <x14:conditionalFormatting xmlns:xm="http://schemas.microsoft.com/office/excel/2006/main">
          <x14:cfRule type="expression" priority="8158" stopIfTrue="1" id="{C51540D9-A7F4-49C3-8911-D495156DF9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F491:G491</xm:sqref>
        </x14:conditionalFormatting>
        <x14:conditionalFormatting xmlns:xm="http://schemas.microsoft.com/office/excel/2006/main">
          <x14:cfRule type="expression" priority="8157" stopIfTrue="1" id="{BBE61E0A-3A1E-4C50-AA2B-C7A2884D7D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F491:G491</xm:sqref>
        </x14:conditionalFormatting>
        <x14:conditionalFormatting xmlns:xm="http://schemas.microsoft.com/office/excel/2006/main">
          <x14:cfRule type="expression" priority="8155" stopIfTrue="1" id="{E49C64A6-8CCF-414B-96E5-D8A2EB63D1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F500:G500</xm:sqref>
        </x14:conditionalFormatting>
        <x14:conditionalFormatting xmlns:xm="http://schemas.microsoft.com/office/excel/2006/main">
          <x14:cfRule type="expression" priority="8154" stopIfTrue="1" id="{17015B07-67CB-48F4-BBC7-D0369D08C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F501:G501</xm:sqref>
        </x14:conditionalFormatting>
        <x14:conditionalFormatting xmlns:xm="http://schemas.microsoft.com/office/excel/2006/main">
          <x14:cfRule type="expression" priority="8153" stopIfTrue="1" id="{D0A0A297-C8DC-4755-8749-6F7512D59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F503:G503</xm:sqref>
        </x14:conditionalFormatting>
        <x14:conditionalFormatting xmlns:xm="http://schemas.microsoft.com/office/excel/2006/main">
          <x14:cfRule type="expression" priority="8152" stopIfTrue="1" id="{E6FBFD10-C6AA-491A-AD6B-7E206AEB52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F503:G503</xm:sqref>
        </x14:conditionalFormatting>
        <x14:conditionalFormatting xmlns:xm="http://schemas.microsoft.com/office/excel/2006/main">
          <x14:cfRule type="expression" priority="8151" stopIfTrue="1" id="{D42BE4F1-936C-4079-84C7-AE73D13720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F506:G506</xm:sqref>
        </x14:conditionalFormatting>
        <x14:conditionalFormatting xmlns:xm="http://schemas.microsoft.com/office/excel/2006/main">
          <x14:cfRule type="expression" priority="8150" stopIfTrue="1" id="{4A24596D-6D38-4A01-BC48-9C8E4A6C3B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F506:G506</xm:sqref>
        </x14:conditionalFormatting>
        <x14:conditionalFormatting xmlns:xm="http://schemas.microsoft.com/office/excel/2006/main">
          <x14:cfRule type="expression" priority="8149" stopIfTrue="1" id="{2F2F92FD-7A4D-4F23-B104-72F23BA1E4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F513:G513</xm:sqref>
        </x14:conditionalFormatting>
        <x14:conditionalFormatting xmlns:xm="http://schemas.microsoft.com/office/excel/2006/main">
          <x14:cfRule type="expression" priority="8148" stopIfTrue="1" id="{EA9CC896-9C99-4C76-B955-F220686D77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F514:G514</xm:sqref>
        </x14:conditionalFormatting>
        <x14:conditionalFormatting xmlns:xm="http://schemas.microsoft.com/office/excel/2006/main">
          <x14:cfRule type="expression" priority="8147" stopIfTrue="1" id="{7ED1D398-3B22-48FD-A5CD-296D981F08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F514:G514</xm:sqref>
        </x14:conditionalFormatting>
        <x14:conditionalFormatting xmlns:xm="http://schemas.microsoft.com/office/excel/2006/main">
          <x14:cfRule type="expression" priority="8146" stopIfTrue="1" id="{A89DDE1C-88C2-4C5D-8FF7-098DFBAFF0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F515:G515</xm:sqref>
        </x14:conditionalFormatting>
        <x14:conditionalFormatting xmlns:xm="http://schemas.microsoft.com/office/excel/2006/main">
          <x14:cfRule type="expression" priority="8145" stopIfTrue="1" id="{407F9312-B2F1-42AD-8D75-6038AE52FC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F517:G517</xm:sqref>
        </x14:conditionalFormatting>
        <x14:conditionalFormatting xmlns:xm="http://schemas.microsoft.com/office/excel/2006/main">
          <x14:cfRule type="expression" priority="8144" stopIfTrue="1" id="{59D84210-BF01-45E8-95F4-AFD47A7FEF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F517:G517</xm:sqref>
        </x14:conditionalFormatting>
        <x14:conditionalFormatting xmlns:xm="http://schemas.microsoft.com/office/excel/2006/main">
          <x14:cfRule type="expression" priority="8142" stopIfTrue="1" id="{AB4C15D2-AE36-463D-A2FF-DD475C50D7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F527:G527</xm:sqref>
        </x14:conditionalFormatting>
        <x14:conditionalFormatting xmlns:xm="http://schemas.microsoft.com/office/excel/2006/main">
          <x14:cfRule type="expression" priority="8141" stopIfTrue="1" id="{775CE808-F85E-45C0-AC01-D946F2DD4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F524:G524</xm:sqref>
        </x14:conditionalFormatting>
        <x14:conditionalFormatting xmlns:xm="http://schemas.microsoft.com/office/excel/2006/main">
          <x14:cfRule type="expression" priority="8140" stopIfTrue="1" id="{7D2FD27B-9BCF-4574-8CF3-65999A768E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F525:G525</xm:sqref>
        </x14:conditionalFormatting>
        <x14:conditionalFormatting xmlns:xm="http://schemas.microsoft.com/office/excel/2006/main">
          <x14:cfRule type="expression" priority="8139" stopIfTrue="1" id="{10BFD442-6D9D-41B2-B032-A0C79DF990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F525:G525</xm:sqref>
        </x14:conditionalFormatting>
        <x14:conditionalFormatting xmlns:xm="http://schemas.microsoft.com/office/excel/2006/main">
          <x14:cfRule type="expression" priority="8138" stopIfTrue="1" id="{C7BC2095-808B-48C4-B583-205CC338A4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F526:G526</xm:sqref>
        </x14:conditionalFormatting>
        <x14:conditionalFormatting xmlns:xm="http://schemas.microsoft.com/office/excel/2006/main">
          <x14:cfRule type="expression" priority="8137" stopIfTrue="1" id="{60C0A8AD-0EDF-4055-BF9D-F6AF15F7BA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F526:G526</xm:sqref>
        </x14:conditionalFormatting>
        <x14:conditionalFormatting xmlns:xm="http://schemas.microsoft.com/office/excel/2006/main">
          <x14:cfRule type="expression" priority="8136" stopIfTrue="1" id="{C0BBCDE0-3549-47BD-B30B-87EC111B80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F529:G529</xm:sqref>
        </x14:conditionalFormatting>
        <x14:conditionalFormatting xmlns:xm="http://schemas.microsoft.com/office/excel/2006/main">
          <x14:cfRule type="expression" priority="8135" stopIfTrue="1" id="{F2E75669-6996-4CA6-B9E8-D1E5EE2451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F529:G529</xm:sqref>
        </x14:conditionalFormatting>
        <x14:conditionalFormatting xmlns:xm="http://schemas.microsoft.com/office/excel/2006/main">
          <x14:cfRule type="expression" priority="8134" stopIfTrue="1" id="{00C420E3-F224-4480-9F5F-4741AD8311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F534:G534</xm:sqref>
        </x14:conditionalFormatting>
        <x14:conditionalFormatting xmlns:xm="http://schemas.microsoft.com/office/excel/2006/main">
          <x14:cfRule type="expression" priority="8133" stopIfTrue="1" id="{5294942B-9DE2-42CF-8862-0F96BB1DD7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F534:G534</xm:sqref>
        </x14:conditionalFormatting>
        <x14:conditionalFormatting xmlns:xm="http://schemas.microsoft.com/office/excel/2006/main">
          <x14:cfRule type="expression" priority="8132" stopIfTrue="1" id="{ABFEBCCD-46A6-457F-A3FE-6DE6A668C5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F537:G537</xm:sqref>
        </x14:conditionalFormatting>
        <x14:conditionalFormatting xmlns:xm="http://schemas.microsoft.com/office/excel/2006/main">
          <x14:cfRule type="expression" priority="8131" stopIfTrue="1" id="{83F23D5D-C26F-4942-A149-4913EF2A2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F537:G537</xm:sqref>
        </x14:conditionalFormatting>
        <x14:conditionalFormatting xmlns:xm="http://schemas.microsoft.com/office/excel/2006/main">
          <x14:cfRule type="expression" priority="8130" stopIfTrue="1" id="{B9F57447-60C2-46CD-ADA9-842B294C8E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F540:G540</xm:sqref>
        </x14:conditionalFormatting>
        <x14:conditionalFormatting xmlns:xm="http://schemas.microsoft.com/office/excel/2006/main">
          <x14:cfRule type="expression" priority="8129" stopIfTrue="1" id="{774F35BA-5D3D-4180-9AC9-C16BF2218B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F540:G540</xm:sqref>
        </x14:conditionalFormatting>
        <x14:conditionalFormatting xmlns:xm="http://schemas.microsoft.com/office/excel/2006/main">
          <x14:cfRule type="expression" priority="8128" stopIfTrue="1" id="{79455589-319E-4C36-A4C9-49E4DACF55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F552:G552</xm:sqref>
        </x14:conditionalFormatting>
        <x14:conditionalFormatting xmlns:xm="http://schemas.microsoft.com/office/excel/2006/main">
          <x14:cfRule type="expression" priority="8127" stopIfTrue="1" id="{61CE71E0-A03A-4268-892C-589A71C39B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F552:G552</xm:sqref>
        </x14:conditionalFormatting>
        <x14:conditionalFormatting xmlns:xm="http://schemas.microsoft.com/office/excel/2006/main">
          <x14:cfRule type="expression" priority="8126" stopIfTrue="1" id="{1C8BEC23-9476-4EAA-B401-77D364308B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F555:G555</xm:sqref>
        </x14:conditionalFormatting>
        <x14:conditionalFormatting xmlns:xm="http://schemas.microsoft.com/office/excel/2006/main">
          <x14:cfRule type="expression" priority="8125" stopIfTrue="1" id="{02E9CAB9-3DFF-4CD4-9171-EE39EB2762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F555:G555</xm:sqref>
        </x14:conditionalFormatting>
        <x14:conditionalFormatting xmlns:xm="http://schemas.microsoft.com/office/excel/2006/main">
          <x14:cfRule type="expression" priority="8124" stopIfTrue="1" id="{0751BD90-CAB2-426F-85BA-AF40AF3F18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F560:G560</xm:sqref>
        </x14:conditionalFormatting>
        <x14:conditionalFormatting xmlns:xm="http://schemas.microsoft.com/office/excel/2006/main">
          <x14:cfRule type="expression" priority="8123" stopIfTrue="1" id="{F1939994-7420-4556-A084-885E8878EA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F560:G560</xm:sqref>
        </x14:conditionalFormatting>
        <x14:conditionalFormatting xmlns:xm="http://schemas.microsoft.com/office/excel/2006/main">
          <x14:cfRule type="expression" priority="8122" stopIfTrue="1" id="{9E8D447C-A364-4002-B10D-C97D02469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F563:G563</xm:sqref>
        </x14:conditionalFormatting>
        <x14:conditionalFormatting xmlns:xm="http://schemas.microsoft.com/office/excel/2006/main">
          <x14:cfRule type="expression" priority="8121" stopIfTrue="1" id="{DB8C2565-A989-490C-9699-F5246E8DD5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F563:G563</xm:sqref>
        </x14:conditionalFormatting>
        <x14:conditionalFormatting xmlns:xm="http://schemas.microsoft.com/office/excel/2006/main">
          <x14:cfRule type="expression" priority="8120" stopIfTrue="1" id="{011175B7-B7A2-4870-A260-5732F4C4D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F566:G566</xm:sqref>
        </x14:conditionalFormatting>
        <x14:conditionalFormatting xmlns:xm="http://schemas.microsoft.com/office/excel/2006/main">
          <x14:cfRule type="expression" priority="8119" stopIfTrue="1" id="{2D820B5A-C784-44E7-8142-E78566519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F566:G566</xm:sqref>
        </x14:conditionalFormatting>
        <x14:conditionalFormatting xmlns:xm="http://schemas.microsoft.com/office/excel/2006/main">
          <x14:cfRule type="expression" priority="8118" stopIfTrue="1" id="{04439291-9828-4B99-93F5-74438760EB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F569:G569</xm:sqref>
        </x14:conditionalFormatting>
        <x14:conditionalFormatting xmlns:xm="http://schemas.microsoft.com/office/excel/2006/main">
          <x14:cfRule type="expression" priority="8117" stopIfTrue="1" id="{26BBB8C2-A888-4C47-B5CB-D905724848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F569:G569</xm:sqref>
        </x14:conditionalFormatting>
        <x14:conditionalFormatting xmlns:xm="http://schemas.microsoft.com/office/excel/2006/main">
          <x14:cfRule type="expression" priority="8116" stopIfTrue="1" id="{53EA3745-9416-4848-AC55-DE7632DE73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F574:G574</xm:sqref>
        </x14:conditionalFormatting>
        <x14:conditionalFormatting xmlns:xm="http://schemas.microsoft.com/office/excel/2006/main">
          <x14:cfRule type="expression" priority="8115" stopIfTrue="1" id="{DEDA9D8E-41BE-4B95-AC84-BE971BE57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F574:G574</xm:sqref>
        </x14:conditionalFormatting>
        <x14:conditionalFormatting xmlns:xm="http://schemas.microsoft.com/office/excel/2006/main">
          <x14:cfRule type="expression" priority="8114" stopIfTrue="1" id="{53C50A7C-64D2-4865-BED3-647D139FD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F586:G586</xm:sqref>
        </x14:conditionalFormatting>
        <x14:conditionalFormatting xmlns:xm="http://schemas.microsoft.com/office/excel/2006/main">
          <x14:cfRule type="expression" priority="8113" stopIfTrue="1" id="{A8171761-CE59-4807-909E-E78B111F0E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F586:G586</xm:sqref>
        </x14:conditionalFormatting>
        <x14:conditionalFormatting xmlns:xm="http://schemas.microsoft.com/office/excel/2006/main">
          <x14:cfRule type="expression" priority="8112" stopIfTrue="1" id="{E4EDF03E-8BED-4870-9C00-5EDEFD55E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F589:G589</xm:sqref>
        </x14:conditionalFormatting>
        <x14:conditionalFormatting xmlns:xm="http://schemas.microsoft.com/office/excel/2006/main">
          <x14:cfRule type="expression" priority="8111" stopIfTrue="1" id="{2EEDD1C7-7DEB-441F-AF2A-D3B25B1EB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F589:G589</xm:sqref>
        </x14:conditionalFormatting>
        <x14:conditionalFormatting xmlns:xm="http://schemas.microsoft.com/office/excel/2006/main">
          <x14:cfRule type="expression" priority="8110" stopIfTrue="1" id="{BDF2D227-3476-4F48-AD65-D7CC590E01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F594:G594</xm:sqref>
        </x14:conditionalFormatting>
        <x14:conditionalFormatting xmlns:xm="http://schemas.microsoft.com/office/excel/2006/main">
          <x14:cfRule type="expression" priority="8109" stopIfTrue="1" id="{A298CF7C-B0B7-4492-B257-61A3E5A44C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F594:G594</xm:sqref>
        </x14:conditionalFormatting>
        <x14:conditionalFormatting xmlns:xm="http://schemas.microsoft.com/office/excel/2006/main">
          <x14:cfRule type="expression" priority="8108" stopIfTrue="1" id="{A765D4FC-C0A0-438D-BC99-7F88955ABA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F599:G599</xm:sqref>
        </x14:conditionalFormatting>
        <x14:conditionalFormatting xmlns:xm="http://schemas.microsoft.com/office/excel/2006/main">
          <x14:cfRule type="expression" priority="8107" stopIfTrue="1" id="{A03C4220-B203-485F-A20D-D82E2F880A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F599:G599</xm:sqref>
        </x14:conditionalFormatting>
        <x14:conditionalFormatting xmlns:xm="http://schemas.microsoft.com/office/excel/2006/main">
          <x14:cfRule type="expression" priority="8106" stopIfTrue="1" id="{FADEB68D-995B-4DAD-8A74-C81E7D6D6F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F600:G600</xm:sqref>
        </x14:conditionalFormatting>
        <x14:conditionalFormatting xmlns:xm="http://schemas.microsoft.com/office/excel/2006/main">
          <x14:cfRule type="expression" priority="8105" stopIfTrue="1" id="{3B81112C-FDF6-44FE-8B6C-21D402747D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F600:G600</xm:sqref>
        </x14:conditionalFormatting>
        <x14:conditionalFormatting xmlns:xm="http://schemas.microsoft.com/office/excel/2006/main">
          <x14:cfRule type="expression" priority="8104" stopIfTrue="1" id="{2468115F-9C59-4727-911C-0FDA29772D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F606:G606</xm:sqref>
        </x14:conditionalFormatting>
        <x14:conditionalFormatting xmlns:xm="http://schemas.microsoft.com/office/excel/2006/main">
          <x14:cfRule type="expression" priority="8103" stopIfTrue="1" id="{189E8DAD-466B-4A08-947F-8CEA2E0A8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F606:G606</xm:sqref>
        </x14:conditionalFormatting>
        <x14:conditionalFormatting xmlns:xm="http://schemas.microsoft.com/office/excel/2006/main">
          <x14:cfRule type="expression" priority="8102" stopIfTrue="1" id="{CA70FF18-44D8-4F44-90DC-EA2F73D2F1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F612:G612</xm:sqref>
        </x14:conditionalFormatting>
        <x14:conditionalFormatting xmlns:xm="http://schemas.microsoft.com/office/excel/2006/main">
          <x14:cfRule type="expression" priority="8101" stopIfTrue="1" id="{50C745A7-976B-4AAF-B05F-B2AE5DA3CE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F612:G612</xm:sqref>
        </x14:conditionalFormatting>
        <x14:conditionalFormatting xmlns:xm="http://schemas.microsoft.com/office/excel/2006/main">
          <x14:cfRule type="expression" priority="8100" stopIfTrue="1" id="{965A5CC1-91C9-42CC-AEC9-51130150F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F624:G624</xm:sqref>
        </x14:conditionalFormatting>
        <x14:conditionalFormatting xmlns:xm="http://schemas.microsoft.com/office/excel/2006/main">
          <x14:cfRule type="expression" priority="8099" stopIfTrue="1" id="{AF45A3E1-FE95-464D-B023-97AD92BB2A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F624:G624</xm:sqref>
        </x14:conditionalFormatting>
        <x14:conditionalFormatting xmlns:xm="http://schemas.microsoft.com/office/excel/2006/main">
          <x14:cfRule type="expression" priority="8098" stopIfTrue="1" id="{FBC77FAC-1ACA-486F-8ACC-D148722A37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F629:G629</xm:sqref>
        </x14:conditionalFormatting>
        <x14:conditionalFormatting xmlns:xm="http://schemas.microsoft.com/office/excel/2006/main">
          <x14:cfRule type="expression" priority="8097" stopIfTrue="1" id="{59DC3281-F652-4969-ABE1-61A322704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F629:G629</xm:sqref>
        </x14:conditionalFormatting>
        <x14:conditionalFormatting xmlns:xm="http://schemas.microsoft.com/office/excel/2006/main">
          <x14:cfRule type="expression" priority="8096" stopIfTrue="1" id="{C58DECE0-1119-4038-B87E-1A4EF7EFB3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F632:G632</xm:sqref>
        </x14:conditionalFormatting>
        <x14:conditionalFormatting xmlns:xm="http://schemas.microsoft.com/office/excel/2006/main">
          <x14:cfRule type="expression" priority="8095" stopIfTrue="1" id="{AE8D1D4A-55D1-4002-8210-FC35B1DA33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F632:G632</xm:sqref>
        </x14:conditionalFormatting>
        <x14:conditionalFormatting xmlns:xm="http://schemas.microsoft.com/office/excel/2006/main">
          <x14:cfRule type="expression" priority="8094" stopIfTrue="1" id="{1166B4EA-1348-4423-8CB5-4AA8AB88B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F635:G635</xm:sqref>
        </x14:conditionalFormatting>
        <x14:conditionalFormatting xmlns:xm="http://schemas.microsoft.com/office/excel/2006/main">
          <x14:cfRule type="expression" priority="8093" stopIfTrue="1" id="{2719357B-0A16-45B4-8496-412AC529E4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F635:G635</xm:sqref>
        </x14:conditionalFormatting>
        <x14:conditionalFormatting xmlns:xm="http://schemas.microsoft.com/office/excel/2006/main">
          <x14:cfRule type="expression" priority="8092" stopIfTrue="1" id="{7203741D-3123-46B2-802E-7212E518A4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F638:G638</xm:sqref>
        </x14:conditionalFormatting>
        <x14:conditionalFormatting xmlns:xm="http://schemas.microsoft.com/office/excel/2006/main">
          <x14:cfRule type="expression" priority="8091" stopIfTrue="1" id="{EF1EB826-1796-4051-81A2-B50BDA9515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F638:G638</xm:sqref>
        </x14:conditionalFormatting>
        <x14:conditionalFormatting xmlns:xm="http://schemas.microsoft.com/office/excel/2006/main">
          <x14:cfRule type="expression" priority="8090" stopIfTrue="1" id="{D01F5313-55CE-4995-970E-B55BCEC3F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F647:G647</xm:sqref>
        </x14:conditionalFormatting>
        <x14:conditionalFormatting xmlns:xm="http://schemas.microsoft.com/office/excel/2006/main">
          <x14:cfRule type="expression" priority="8089" stopIfTrue="1" id="{AC53BDE1-9A94-450A-A64E-5EF8FDDFE9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F647:G647</xm:sqref>
        </x14:conditionalFormatting>
        <x14:conditionalFormatting xmlns:xm="http://schemas.microsoft.com/office/excel/2006/main">
          <x14:cfRule type="expression" priority="8088" stopIfTrue="1" id="{054D5142-2A6C-46FA-AD20-6823140F4D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F655:G655</xm:sqref>
        </x14:conditionalFormatting>
        <x14:conditionalFormatting xmlns:xm="http://schemas.microsoft.com/office/excel/2006/main">
          <x14:cfRule type="expression" priority="8087" stopIfTrue="1" id="{101CBCF9-452B-478B-B2EF-0CFDA3A4D5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F655:G655</xm:sqref>
        </x14:conditionalFormatting>
        <x14:conditionalFormatting xmlns:xm="http://schemas.microsoft.com/office/excel/2006/main">
          <x14:cfRule type="expression" priority="8086" stopIfTrue="1" id="{68A08AF2-C53F-4360-A790-5F40BCA9CC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F658:G658</xm:sqref>
        </x14:conditionalFormatting>
        <x14:conditionalFormatting xmlns:xm="http://schemas.microsoft.com/office/excel/2006/main">
          <x14:cfRule type="expression" priority="8085" stopIfTrue="1" id="{CDD32846-9D29-4AAE-BAC4-7E037F7526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F658:G658</xm:sqref>
        </x14:conditionalFormatting>
        <x14:conditionalFormatting xmlns:xm="http://schemas.microsoft.com/office/excel/2006/main">
          <x14:cfRule type="expression" priority="8084" stopIfTrue="1" id="{B09CF6D0-CB74-48E3-827E-B75D75349F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F661:G661</xm:sqref>
        </x14:conditionalFormatting>
        <x14:conditionalFormatting xmlns:xm="http://schemas.microsoft.com/office/excel/2006/main">
          <x14:cfRule type="expression" priority="8083" stopIfTrue="1" id="{EBACCC04-B4B0-4A30-8856-F45B6C4DA5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F661:G661</xm:sqref>
        </x14:conditionalFormatting>
        <x14:conditionalFormatting xmlns:xm="http://schemas.microsoft.com/office/excel/2006/main">
          <x14:cfRule type="expression" priority="8082" stopIfTrue="1" id="{ED64151F-9511-448C-BFA5-0460F07537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F666:G666</xm:sqref>
        </x14:conditionalFormatting>
        <x14:conditionalFormatting xmlns:xm="http://schemas.microsoft.com/office/excel/2006/main">
          <x14:cfRule type="expression" priority="8081" stopIfTrue="1" id="{767E11B9-BF96-495F-8AE6-F6D41125D9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F666:G666</xm:sqref>
        </x14:conditionalFormatting>
        <x14:conditionalFormatting xmlns:xm="http://schemas.microsoft.com/office/excel/2006/main">
          <x14:cfRule type="expression" priority="8080" stopIfTrue="1" id="{DAB99A5D-8B20-43EF-AA2B-8245EC048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F670:G670</xm:sqref>
        </x14:conditionalFormatting>
        <x14:conditionalFormatting xmlns:xm="http://schemas.microsoft.com/office/excel/2006/main">
          <x14:cfRule type="expression" priority="8079" stopIfTrue="1" id="{8583E0EF-97A5-43A3-AFB7-F5BFB9DC84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F670:G670</xm:sqref>
        </x14:conditionalFormatting>
        <x14:conditionalFormatting xmlns:xm="http://schemas.microsoft.com/office/excel/2006/main">
          <x14:cfRule type="expression" priority="8078" stopIfTrue="1" id="{F42E9D69-1439-4303-AE26-ABE66A148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F675:G675</xm:sqref>
        </x14:conditionalFormatting>
        <x14:conditionalFormatting xmlns:xm="http://schemas.microsoft.com/office/excel/2006/main">
          <x14:cfRule type="expression" priority="8077" stopIfTrue="1" id="{5F30FF36-E907-4758-BA8C-4357501E34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F677:G677</xm:sqref>
        </x14:conditionalFormatting>
        <x14:conditionalFormatting xmlns:xm="http://schemas.microsoft.com/office/excel/2006/main">
          <x14:cfRule type="expression" priority="8076" stopIfTrue="1" id="{5C8DE2F4-FC16-4874-8A5D-8621D6FA55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F677:G677</xm:sqref>
        </x14:conditionalFormatting>
        <x14:conditionalFormatting xmlns:xm="http://schemas.microsoft.com/office/excel/2006/main">
          <x14:cfRule type="expression" priority="8075" stopIfTrue="1" id="{E6152835-B920-4F28-9C36-FCA3AD2AB2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F682:G682</xm:sqref>
        </x14:conditionalFormatting>
        <x14:conditionalFormatting xmlns:xm="http://schemas.microsoft.com/office/excel/2006/main">
          <x14:cfRule type="expression" priority="8074" stopIfTrue="1" id="{1F205BA2-8252-4379-B497-B8E61FDA7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F684:G684</xm:sqref>
        </x14:conditionalFormatting>
        <x14:conditionalFormatting xmlns:xm="http://schemas.microsoft.com/office/excel/2006/main">
          <x14:cfRule type="expression" priority="8073" stopIfTrue="1" id="{F3426CAB-118C-405D-893D-AEB0E12274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F684:G684</xm:sqref>
        </x14:conditionalFormatting>
        <x14:conditionalFormatting xmlns:xm="http://schemas.microsoft.com/office/excel/2006/main">
          <x14:cfRule type="expression" priority="8072" stopIfTrue="1" id="{E78AF52C-1937-469A-B9F5-B2961587CD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F687:G687</xm:sqref>
        </x14:conditionalFormatting>
        <x14:conditionalFormatting xmlns:xm="http://schemas.microsoft.com/office/excel/2006/main">
          <x14:cfRule type="expression" priority="8071" stopIfTrue="1" id="{F3C0C8C9-29D0-4BB5-9EE6-37FF0932F1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F687:G687</xm:sqref>
        </x14:conditionalFormatting>
        <x14:conditionalFormatting xmlns:xm="http://schemas.microsoft.com/office/excel/2006/main">
          <x14:cfRule type="expression" priority="8070" stopIfTrue="1" id="{4591F429-84BB-44FC-B439-E614FCF6A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F692:G692</xm:sqref>
        </x14:conditionalFormatting>
        <x14:conditionalFormatting xmlns:xm="http://schemas.microsoft.com/office/excel/2006/main">
          <x14:cfRule type="expression" priority="8069" stopIfTrue="1" id="{BAFF72DB-29ED-41D6-8277-FD84B0E6AF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F694:G694</xm:sqref>
        </x14:conditionalFormatting>
        <x14:conditionalFormatting xmlns:xm="http://schemas.microsoft.com/office/excel/2006/main">
          <x14:cfRule type="expression" priority="8068" stopIfTrue="1" id="{3B2EE7F7-6488-4901-9B2B-90DC23B4E8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F694:G694</xm:sqref>
        </x14:conditionalFormatting>
        <x14:conditionalFormatting xmlns:xm="http://schemas.microsoft.com/office/excel/2006/main">
          <x14:cfRule type="expression" priority="8067" stopIfTrue="1" id="{D73F0A5C-64E3-4261-9623-6F73C34D6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F699:G699</xm:sqref>
        </x14:conditionalFormatting>
        <x14:conditionalFormatting xmlns:xm="http://schemas.microsoft.com/office/excel/2006/main">
          <x14:cfRule type="expression" priority="8064" stopIfTrue="1" id="{4FA5109F-94AA-4AB6-B567-5EFAD62EF5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F701:G701</xm:sqref>
        </x14:conditionalFormatting>
        <x14:conditionalFormatting xmlns:xm="http://schemas.microsoft.com/office/excel/2006/main">
          <x14:cfRule type="expression" priority="8063" stopIfTrue="1" id="{047C80DD-FB47-40C4-BB6D-73247870B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F701:G701</xm:sqref>
        </x14:conditionalFormatting>
        <x14:conditionalFormatting xmlns:xm="http://schemas.microsoft.com/office/excel/2006/main">
          <x14:cfRule type="expression" priority="8060" stopIfTrue="1" id="{65BCB1C2-F1A6-4529-BD13-F6F9F17DB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F715:G715</xm:sqref>
        </x14:conditionalFormatting>
        <x14:conditionalFormatting xmlns:xm="http://schemas.microsoft.com/office/excel/2006/main">
          <x14:cfRule type="expression" priority="8059" stopIfTrue="1" id="{D3EDB5B1-8364-4BAC-A921-E7391A495F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F715:G715</xm:sqref>
        </x14:conditionalFormatting>
        <x14:conditionalFormatting xmlns:xm="http://schemas.microsoft.com/office/excel/2006/main">
          <x14:cfRule type="expression" priority="8056" stopIfTrue="1" id="{44F8339E-7153-4BBE-84F6-225D8438A3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055" stopIfTrue="1" id="{347CF139-2E9D-4D93-81C9-73A9F3BDA4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052" stopIfTrue="1" id="{70591DCE-DD4B-4B92-9081-2E2E37CA81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051" stopIfTrue="1" id="{CCF91E1A-D245-4523-B270-FB810EBE87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046" stopIfTrue="1" id="{A49E527E-4EB1-4B13-A9EE-9F1F0CF9C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045" stopIfTrue="1" id="{7C7EAA78-4E3B-4C04-87E1-648522D28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044" stopIfTrue="1" id="{62CD8C07-664D-4481-8F27-19EC8199E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8043" stopIfTrue="1" id="{AEECF013-AC00-4ACA-9E86-14098543CA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8042" stopIfTrue="1" id="{40674FAF-67BE-472D-B724-78FED0A397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F704:G704</xm:sqref>
        </x14:conditionalFormatting>
        <x14:conditionalFormatting xmlns:xm="http://schemas.microsoft.com/office/excel/2006/main">
          <x14:cfRule type="expression" priority="8041" stopIfTrue="1" id="{E82D1DD6-0D87-4072-81E7-9CA650EC8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F704:G704</xm:sqref>
        </x14:conditionalFormatting>
        <x14:conditionalFormatting xmlns:xm="http://schemas.microsoft.com/office/excel/2006/main">
          <x14:cfRule type="expression" priority="8040" stopIfTrue="1" id="{64029297-5C20-4688-9549-93463FB03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F710:G710</xm:sqref>
        </x14:conditionalFormatting>
        <x14:conditionalFormatting xmlns:xm="http://schemas.microsoft.com/office/excel/2006/main">
          <x14:cfRule type="expression" priority="8039" stopIfTrue="1" id="{A99CB733-DF18-4B4E-97D8-FB45430999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F710:G710</xm:sqref>
        </x14:conditionalFormatting>
        <x14:conditionalFormatting xmlns:xm="http://schemas.microsoft.com/office/excel/2006/main">
          <x14:cfRule type="expression" priority="8036" stopIfTrue="1" id="{D700FE2B-5C81-4BB4-8457-08F66B6C33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F724:G724</xm:sqref>
        </x14:conditionalFormatting>
        <x14:conditionalFormatting xmlns:xm="http://schemas.microsoft.com/office/excel/2006/main">
          <x14:cfRule type="expression" priority="8035" stopIfTrue="1" id="{60356EFD-1945-455A-ADB4-BBC3760EDE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F724:G724</xm:sqref>
        </x14:conditionalFormatting>
        <x14:conditionalFormatting xmlns:xm="http://schemas.microsoft.com/office/excel/2006/main">
          <x14:cfRule type="expression" priority="8034" stopIfTrue="1" id="{45E3FCE8-4FB7-473A-93C0-EADA3AB461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033" stopIfTrue="1" id="{07B13C4A-1D76-45F1-97D6-67080EDE21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030" stopIfTrue="1" id="{7B48BDAC-187E-4596-87B7-213D94FE1C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029" stopIfTrue="1" id="{8CACADE2-852A-4219-9871-1832F50B45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028" stopIfTrue="1" id="{A9F2F976-D6E5-4EAF-BAD2-4AA15AF748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027" stopIfTrue="1" id="{5AE6067F-A005-4017-814D-6140D490A7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024" stopIfTrue="1" id="{4C8DB4AA-7FD7-42E1-AB55-B4F60801F4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023" stopIfTrue="1" id="{9CDF9D22-A2D5-4E11-A522-062F589031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022" stopIfTrue="1" id="{CB73CC38-1969-4587-9166-02BD2DB6E1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8021" stopIfTrue="1" id="{F6D7A5E8-E255-49C5-98CB-2B5789B495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8016" stopIfTrue="1" id="{0692DBB0-5F74-4783-811C-3E9A13B0E6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015" stopIfTrue="1" id="{B31B8259-DD89-4529-907D-022EF51EE5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014" stopIfTrue="1" id="{338983A2-620B-4639-8E97-9329B9BA0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013" stopIfTrue="1" id="{C10585ED-AFA1-42C3-80A1-807840C7C4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010" stopIfTrue="1" id="{926E2A58-E588-412F-853B-23550CB30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009" stopIfTrue="1" id="{E60E1CF8-1183-4DDB-A6D7-0D06EF1E1E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008" stopIfTrue="1" id="{8616EE86-7911-4540-88B9-C57432229F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8007" stopIfTrue="1" id="{BB1DB860-C2F7-4D1D-978B-C5BD09235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8002" stopIfTrue="1" id="{DE8301AA-A56C-46FA-9FDF-04AEEBAF6A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001" stopIfTrue="1" id="{1422BB90-1064-4BF9-AEF6-B51C219889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7998" stopIfTrue="1" id="{8AD5EBF6-DA3C-4C94-BF75-929C100820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997" stopIfTrue="1" id="{0A2C0E31-9FEC-4548-8F71-4B1340E044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992" stopIfTrue="1" id="{80D96F17-C562-41ED-87C8-5FE0019689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991" stopIfTrue="1" id="{384FB92C-6775-4A91-ADEC-03DC319FEA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990" stopIfTrue="1" id="{9CDE7E18-8BD8-4C1F-8899-19CF3F1FFF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7989" stopIfTrue="1" id="{7CCFD820-4617-4FA7-B2D4-24C607A0B9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7984" stopIfTrue="1" id="{9C50A1F5-5848-4161-9DB4-3240B79B3D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983" stopIfTrue="1" id="{29015E99-C021-4809-A227-668803D625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982" stopIfTrue="1" id="{1C5C9AAC-00F7-4A99-A0B3-B245A24055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981" stopIfTrue="1" id="{ED119F00-9B62-46C0-9A2E-8E99BB284F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978" stopIfTrue="1" id="{161C3958-048D-4F12-9173-7A5DAE3C07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977" stopIfTrue="1" id="{F8E56EE1-BC68-44F5-B595-A6C86054F6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976" stopIfTrue="1" id="{AB108935-33A0-4526-999B-E6B80F306D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7975" stopIfTrue="1" id="{2B0125C3-C530-44D8-95E6-21C33E671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7970" stopIfTrue="1" id="{31B01D4F-9392-4019-9F41-F534F7DE6D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7969" stopIfTrue="1" id="{58AEF991-5FE4-4D6C-92B1-F4A6831C9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7966" stopIfTrue="1" id="{D8713F77-1CA3-4A30-A0A8-26CB00C785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965" stopIfTrue="1" id="{EE4587AA-EE1B-4EFE-8A50-E35F6658D9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960" stopIfTrue="1" id="{5D7AD763-EFAD-4B90-AB4B-13D0F41E69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959" stopIfTrue="1" id="{4F5C53EC-2EC0-4478-9304-98A8718F89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958" stopIfTrue="1" id="{6AD777D2-2F6D-4CB4-926D-155858FAF4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F721:G721</xm:sqref>
        </x14:conditionalFormatting>
        <x14:conditionalFormatting xmlns:xm="http://schemas.microsoft.com/office/excel/2006/main">
          <x14:cfRule type="expression" priority="7957" stopIfTrue="1" id="{1415235B-E67C-42B8-91F1-B92BEB5F12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F721:G721</xm:sqref>
        </x14:conditionalFormatting>
        <x14:conditionalFormatting xmlns:xm="http://schemas.microsoft.com/office/excel/2006/main">
          <x14:cfRule type="expression" priority="7954" stopIfTrue="1" id="{708AC89C-985C-4C18-B49B-274F6176C0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953" stopIfTrue="1" id="{0974D5D5-820B-434B-9B91-CEFA27FE97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952" stopIfTrue="1" id="{A3319002-A91C-40D9-A598-14DFC336D8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951" stopIfTrue="1" id="{CC85A0AC-ED81-4FF3-9619-78BA6B4FDD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950" stopIfTrue="1" id="{47C900AC-1DF6-4D99-B5E8-81DD82C64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949" stopIfTrue="1" id="{6303F3A6-6682-456C-BB7C-44AB1C2C2C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948" stopIfTrue="1" id="{C1949206-A4A4-4781-81AD-EF016C4BA4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947" stopIfTrue="1" id="{A905F82D-98BB-4F7F-A189-37CA7CE552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944" stopIfTrue="1" id="{4A3D8189-E237-49D0-AD9C-E712B21102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7943" stopIfTrue="1" id="{22DF7DAD-B133-4AC3-909E-7B0BC29DE5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7942" stopIfTrue="1" id="{6E9D0BB1-80D4-46C9-BDE1-2FC2E3C44D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F716:G716</xm:sqref>
        </x14:conditionalFormatting>
        <x14:conditionalFormatting xmlns:xm="http://schemas.microsoft.com/office/excel/2006/main">
          <x14:cfRule type="expression" priority="7941" stopIfTrue="1" id="{5BBFF51F-ABA2-4EE8-8C8B-196652C6E1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F716:G716</xm:sqref>
        </x14:conditionalFormatting>
        <x14:conditionalFormatting xmlns:xm="http://schemas.microsoft.com/office/excel/2006/main">
          <x14:cfRule type="expression" priority="7940" stopIfTrue="1" id="{9CA88546-51E2-472D-BA07-12639FEE52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7939" stopIfTrue="1" id="{7964BF9A-9AAB-412F-9269-7A86D825BB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7934" stopIfTrue="1" id="{73DB99B3-5031-48F6-9EE2-E5448069F9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933" stopIfTrue="1" id="{B3B44816-D925-4C56-9BB9-2E366647E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932" stopIfTrue="1" id="{3A1AAC2C-0CBB-441B-A152-46E7CAF3F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931" stopIfTrue="1" id="{2B01C001-BF1D-4793-9F36-2A25BD7271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928" stopIfTrue="1" id="{52A682D8-9ACA-4D3B-8C60-8B78D917D4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927" stopIfTrue="1" id="{EE7A38A8-E973-4E18-98D1-ABD67C20E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924" stopIfTrue="1" id="{8EF60336-AA24-49C4-844F-F22D8536AB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923" stopIfTrue="1" id="{F0F3AA75-FDF8-4C7C-8F27-B5A2A87D6F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920" stopIfTrue="1" id="{3F6DF05F-FB2C-4586-915A-EAB6FA98E8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919" stopIfTrue="1" id="{FF84080B-F373-46ED-9C9E-E9849F91F1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918" stopIfTrue="1" id="{F6B685E2-FAD7-48B0-90F3-930D5E17EA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917" stopIfTrue="1" id="{D18A677C-648F-496C-A4AD-260A1F0E39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916" stopIfTrue="1" id="{D9F64529-8D5C-475F-B1AC-D8AC9FCADA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915" stopIfTrue="1" id="{583E2E3A-C975-43F3-AD6E-C7E3C8C3B8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910" stopIfTrue="1" id="{A31BCF11-F031-416A-B1E7-9AA4CD522D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909" stopIfTrue="1" id="{0C841275-FA8F-4DA5-85A8-90DBD6B68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908" stopIfTrue="1" id="{8A054E83-530C-4FD8-B0DE-26490CA24C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907" stopIfTrue="1" id="{38AE6BE1-B3EE-4BB9-92D5-83A2013508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906" stopIfTrue="1" id="{C2CF6DFA-7453-4279-8482-AF574094D8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905" stopIfTrue="1" id="{056BE0AB-0B97-47A7-A2A0-A9287D00B7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904" stopIfTrue="1" id="{7CE74D1F-2FBE-4897-B095-0E119B8149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903" stopIfTrue="1" id="{6EB28800-9AA2-488F-A566-0E06944A20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900" stopIfTrue="1" id="{90E59F30-835B-4FE2-AE93-E5B02AA64A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7899" stopIfTrue="1" id="{267B83CF-5B38-4416-A256-576DAB101A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7894" stopIfTrue="1" id="{4E768277-0A38-4641-8FD1-E4EB241F76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893" stopIfTrue="1" id="{694D9323-229B-464A-90FF-96ABC8DF34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892" stopIfTrue="1" id="{BD76E383-1D39-4455-8606-46E0F218B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891" stopIfTrue="1" id="{8DFB4A95-2240-4FB3-BFF0-97FBE91203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884" stopIfTrue="1" id="{E76E0FBB-BD19-4558-AF50-A079A25C09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883" stopIfTrue="1" id="{85E4ADD6-08B7-4AFE-A125-F8FBD3BBC9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880" stopIfTrue="1" id="{14811F58-4197-4591-B186-45A97A29F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879" stopIfTrue="1" id="{883C0E6D-4FD6-4547-A26C-8A73AAAA2F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878" stopIfTrue="1" id="{B63BE217-2AE0-4C81-A7D6-24B8BC1ADC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877" stopIfTrue="1" id="{E3046BC9-D66D-40ED-A8BF-9E5686636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876" stopIfTrue="1" id="{634E805F-4641-44B5-8412-C9632123D1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875" stopIfTrue="1" id="{DFE4F7E4-82A1-4204-AEA4-5828B4CE78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874" stopIfTrue="1" id="{14414DAD-331D-441D-B052-FA0CB87F2F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7873" stopIfTrue="1" id="{17F1245A-C193-4767-BB95-C25BB2E2B7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7868" stopIfTrue="1" id="{66E17931-D510-4B7F-8E48-DE449C08D6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867" stopIfTrue="1" id="{CA1CF38B-1D7A-41E0-9C45-21AA2612FA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866" stopIfTrue="1" id="{DE384F53-9D44-4FE9-8CD8-3F3AF7D25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865" stopIfTrue="1" id="{AC8B73F5-2064-43B8-9A7D-E827F81AD2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858" stopIfTrue="1" id="{510B3F14-E131-4F04-85ED-6AF4648E8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857" stopIfTrue="1" id="{DE4DF258-5EF2-49D1-85E1-C6AF7DF230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854" stopIfTrue="1" id="{7837C665-44E9-486C-ACF9-2FBB733C74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853" stopIfTrue="1" id="{59E2797F-E7C6-4B32-9E8B-A6295CAD46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852" stopIfTrue="1" id="{4E49FF5F-5C03-482A-8B4C-50F19AE6F6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851" stopIfTrue="1" id="{7D834CB9-6CC7-4842-B48E-6703753F53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850" stopIfTrue="1" id="{D0C4BE38-3EC0-4DEE-832E-C075F1F0A1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849" stopIfTrue="1" id="{6CCDF4FC-528B-48AB-8503-018F304AF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848" stopIfTrue="1" id="{3A1CBF34-53CE-4737-B728-851431BD70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F724:G724</xm:sqref>
        </x14:conditionalFormatting>
        <x14:conditionalFormatting xmlns:xm="http://schemas.microsoft.com/office/excel/2006/main">
          <x14:cfRule type="expression" priority="7847" stopIfTrue="1" id="{0FE81B3A-1268-4D71-815D-8746461CD0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F724:G724</xm:sqref>
        </x14:conditionalFormatting>
        <x14:conditionalFormatting xmlns:xm="http://schemas.microsoft.com/office/excel/2006/main">
          <x14:cfRule type="expression" priority="7846" stopIfTrue="1" id="{657907CA-3553-49A6-8C04-7A25124980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7845" stopIfTrue="1" id="{258645B5-54B8-4912-BC01-98A6BD2677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7842" stopIfTrue="1" id="{8B4E4B42-E999-4894-A502-0D03E577BD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841" stopIfTrue="1" id="{180F7809-6472-4FFE-9B40-429AF31322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840" stopIfTrue="1" id="{8565F2B2-ACA5-4CF7-805A-D9E7866E73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839" stopIfTrue="1" id="{4BFF6E92-0888-4AF3-86AA-0FE985C18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836" stopIfTrue="1" id="{480AE6B7-B16E-424F-A353-84D82D0141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835" stopIfTrue="1" id="{1D5AC21C-42CC-4265-BFE5-08A986C61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834" stopIfTrue="1" id="{B29F5EFD-429E-4A3E-8E32-2EC669A899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7833" stopIfTrue="1" id="{2CF625AE-B4B6-47E8-B8D8-A531F529FC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7828" stopIfTrue="1" id="{0FF7140C-F0E4-4184-B8EF-F0CE014A32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827" stopIfTrue="1" id="{43212944-93BB-40A8-B0D4-F2DF6E715C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826" stopIfTrue="1" id="{845A3439-2C34-4461-919A-0AD3F63C2D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825" stopIfTrue="1" id="{CC91911F-E74C-4560-A269-127AB7F7C7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820" stopIfTrue="1" id="{2CC0FC64-8B2D-4365-984F-E8F0C92C6F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819" stopIfTrue="1" id="{0149B163-1B40-4DA3-92F2-2CBF1D861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818" stopIfTrue="1" id="{3E471D4F-5505-4995-889E-BC5D10AC69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817" stopIfTrue="1" id="{6020FD8D-305A-4DF2-942D-2BFD0E07A1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814" stopIfTrue="1" id="{4B63FDD9-5A85-46F9-8348-F53F1A869E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813" stopIfTrue="1" id="{7118AC10-98E7-4A12-9080-45B72666F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812" stopIfTrue="1" id="{BA4032D6-9682-49D7-91EC-998B2C5CF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7811" stopIfTrue="1" id="{451EECAA-EC46-41A6-A6C2-138CC7E6BC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7810" stopIfTrue="1" id="{694EBA72-5CD1-4769-B4CC-557D4B5BA2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7809" stopIfTrue="1" id="{B3EBC799-5685-4F90-82D4-E516E12D06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7806" stopIfTrue="1" id="{640A2488-E130-45EF-A4E2-73DFB21426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805" stopIfTrue="1" id="{FF58D7F2-719A-4EB2-8568-AFAF0AFDCE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800" stopIfTrue="1" id="{4BDE890B-8047-4353-B941-F07CED1A92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799" stopIfTrue="1" id="{C3A8BAAD-515B-41A8-BBBE-07145ADCA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798" stopIfTrue="1" id="{271F5DEC-A550-43D9-941F-2171509C47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797" stopIfTrue="1" id="{29EA9332-CA6C-4E63-9CB4-3FCBD8EDDB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796" stopIfTrue="1" id="{B87E5384-9D46-4919-A5F2-57224FDFE2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95" stopIfTrue="1" id="{C6FCC442-7383-4CBF-8ABA-2F66EBA248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94" stopIfTrue="1" id="{3FC0A8DE-ABDE-4AAB-A389-C088C9D8E0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93" stopIfTrue="1" id="{8BB33474-C0FC-4174-A5B3-CE7AE3EB1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92" stopIfTrue="1" id="{2D5B5C59-C9D3-4641-B288-448B9F3E93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91" stopIfTrue="1" id="{B8AE4913-4D9A-4312-89BD-2181FECBFF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88" stopIfTrue="1" id="{9F427E0E-2FE2-4CC2-896A-538FAC970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7787" stopIfTrue="1" id="{2AEE8ED3-87C7-42A5-B82F-C7CB283C9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7784" stopIfTrue="1" id="{017C7C0A-44EA-4C57-9D3D-D9990B0D5B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83" stopIfTrue="1" id="{9CAB5EB9-D5EF-4915-A108-2F25DFB9A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82" stopIfTrue="1" id="{F0DC2742-B22D-40D2-8871-CE696BA778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81" stopIfTrue="1" id="{7EA93574-917C-4B0B-A69A-0D36D24EBA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78" stopIfTrue="1" id="{982E6301-289D-456B-A242-CAE2C3CBCC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777" stopIfTrue="1" id="{079B2D51-56A8-4224-98B0-7353E77E72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776" stopIfTrue="1" id="{E41228A7-1949-4FEF-81FC-E51570E8E4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775" stopIfTrue="1" id="{E1006E37-31B5-4F27-975F-8B31407FE5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774" stopIfTrue="1" id="{31E521F6-948E-4E2A-A0F3-711D262A39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73" stopIfTrue="1" id="{8F219B6A-F6BD-4095-8A28-4689ED18C8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72" stopIfTrue="1" id="{A671F833-3211-4793-97DD-3CEABD659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71" stopIfTrue="1" id="{2A3F1CA4-0F1D-46B4-8A8D-F16569F9D7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70" stopIfTrue="1" id="{8149CDA7-7676-4317-B5F8-4546A3E5EB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69" stopIfTrue="1" id="{BD40CC9D-1B01-47EC-A935-F5AB1CC2BC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66" stopIfTrue="1" id="{E1A1D5B6-988A-44F7-AB07-04E5E18183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7765" stopIfTrue="1" id="{92C10E39-E9B2-4A8A-A9C7-EAB047104D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7762" stopIfTrue="1" id="{9A7C9239-CE1C-43E3-BBB5-9D8823D0BC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61" stopIfTrue="1" id="{7440C18D-D1AD-4CAC-957D-34AC98B90A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60" stopIfTrue="1" id="{38C875A3-0C25-4A53-B37C-64FF6E3492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59" stopIfTrue="1" id="{DD86A8F9-6452-4133-B8F3-393F5674E2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56" stopIfTrue="1" id="{691AC562-C1C5-433C-A3EE-4A9F371AA8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755" stopIfTrue="1" id="{137D49B2-17BD-4B9A-8959-60EF0A0BC4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754" stopIfTrue="1" id="{F674DC7A-3BB8-42B2-B429-EF74183176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753" stopIfTrue="1" id="{4EC1064E-D5C3-4946-8E1B-DE55314CD9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750" stopIfTrue="1" id="{37D1147F-01B3-4183-8D4F-8C38D78F1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49" stopIfTrue="1" id="{37CEDE66-4916-4E17-97E1-6448B4B12E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48" stopIfTrue="1" id="{7F926D3C-3ACD-4AEE-B11F-ADA539DF42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747" stopIfTrue="1" id="{327E425D-5674-43F1-B1A5-2CCBFC70E3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746" stopIfTrue="1" id="{4763F59B-29C8-49A3-BB70-BC20324545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745" stopIfTrue="1" id="{47366F27-221E-4AFD-BDED-7D9A075DAF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742" stopIfTrue="1" id="{4F09070E-1E91-4425-BB0F-C2FD0DA461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741" stopIfTrue="1" id="{E292375E-88D8-4EB1-800A-D3D831E281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740" stopIfTrue="1" id="{B2FAD3EC-CEE9-489F-8880-02EFB8CA29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39" stopIfTrue="1" id="{C414AF07-CC5B-4400-B32E-411AAD22AA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38" stopIfTrue="1" id="{2884056D-A9F4-42FF-A367-D80D5E71FE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37" stopIfTrue="1" id="{303E38E0-945F-4C0C-8996-BDCD54066F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36" stopIfTrue="1" id="{3018F985-202D-4977-8405-39221AA99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35" stopIfTrue="1" id="{5FE88400-DC63-4C30-BC17-A64941A29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28" stopIfTrue="1" id="{BF8F0BB9-8538-4F63-87A2-6D4C85C15A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727" stopIfTrue="1" id="{0B0553C8-3976-4355-A7EC-C73B6A9C8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726" stopIfTrue="1" id="{81C68047-9E9B-4693-80D4-7D1A5B5BAD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725" stopIfTrue="1" id="{64963C1F-8598-41AD-9755-3AA754751C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720" stopIfTrue="1" id="{31F02C9C-1D68-4EEE-8C39-D2F12AD2D3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719" stopIfTrue="1" id="{C64643B5-1F8F-4883-B263-0ADF1FD85A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716" stopIfTrue="1" id="{4C9B1601-023E-44FC-848B-CCC079FFDE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15" stopIfTrue="1" id="{62998729-402D-4CAA-BBB9-67AC6CE8B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14" stopIfTrue="1" id="{7CB2F2B4-54FA-4E07-BAE2-6F2687519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713" stopIfTrue="1" id="{D33176A7-31ED-4303-93AE-B2E9B237D0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712" stopIfTrue="1" id="{E00C74C6-6810-4578-BDC3-C38CDCBAD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711" stopIfTrue="1" id="{0C7B2F1A-24A1-4D27-884D-420B0AF122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710" stopIfTrue="1" id="{2FEB25D9-1617-4034-BFE4-3FE82F6408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7709" stopIfTrue="1" id="{D05EEF87-9270-4FAF-802C-8C8A3BBA40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7706" stopIfTrue="1" id="{847F328F-7D74-4E1C-8AF4-CCE719E52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705" stopIfTrue="1" id="{733ED77B-923E-4F40-AB75-E694EE73A3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704" stopIfTrue="1" id="{B336DB07-1390-4B51-9EE2-6F61411B79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703" stopIfTrue="1" id="{E1BF5519-275F-4814-8D09-D72ECEA1A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700" stopIfTrue="1" id="{C1DA4318-88A1-4576-BA0A-47D784CE7B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699" stopIfTrue="1" id="{887EAA21-6CAB-4468-B8FA-DD8F289AEF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694" stopIfTrue="1" id="{F764D559-7DF6-485E-B9B0-A391D630FE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93" stopIfTrue="1" id="{49F86319-E385-43A5-88B2-A888A6FBA1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92" stopIfTrue="1" id="{9F24F431-977C-475C-9652-269162C56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91" stopIfTrue="1" id="{204E2694-E960-4F3A-A481-D436A3D9FA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88" stopIfTrue="1" id="{C75CAE3A-986B-4461-8076-603938FF45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7687" stopIfTrue="1" id="{C5011C76-346B-4300-A293-E76F48E483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7684" stopIfTrue="1" id="{926CE71E-62A5-43DE-B03A-1B51F75C6A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683" stopIfTrue="1" id="{F5D80A43-78D8-4860-BF23-C8BF0B551B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682" stopIfTrue="1" id="{2DF7114E-AA47-40C4-AFC7-96A6BA2080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681" stopIfTrue="1" id="{160BD6F0-61E4-4FA0-83DA-5A4E3484DA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678" stopIfTrue="1" id="{A46825E2-12FE-475D-8027-D62BE9665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677" stopIfTrue="1" id="{C7745556-4CB1-432C-8574-37A93393EC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672" stopIfTrue="1" id="{78B708A1-AEA0-42F8-961B-A2654BE65A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71" stopIfTrue="1" id="{8537DC21-9BA7-40D9-99CD-C9A7344938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70" stopIfTrue="1" id="{1FF31EB5-43CF-41F4-8E4C-AD4EEAED3A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69" stopIfTrue="1" id="{C86A8175-8120-4B19-BED7-96DE99451B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66" stopIfTrue="1" id="{299DEB90-5A9E-44B0-A354-9CA632E338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7665" stopIfTrue="1" id="{13F978FF-489F-460D-BF7A-363B6B5EA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7662" stopIfTrue="1" id="{B5942FED-BE3A-406A-A071-C66C72880C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661" stopIfTrue="1" id="{C641CFD0-A300-414F-8DA7-F5CDD74B69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656" stopIfTrue="1" id="{005345C3-6ED5-42B9-90E6-D38F6F8CCF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655" stopIfTrue="1" id="{38E00033-A6BA-4A8B-AEC6-8631824FB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654" stopIfTrue="1" id="{D5BB1381-90BB-4501-898B-CE701F5BD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7653" stopIfTrue="1" id="{24C770DD-59CE-45AD-A9E3-FC8B9F2F7D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7650" stopIfTrue="1" id="{A77C268F-CBF4-466B-ABF5-67EBEFCBC9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649" stopIfTrue="1" id="{770DD8EB-D885-4DC7-8484-73245385B6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648" stopIfTrue="1" id="{3C751B28-A650-4DB1-97DA-A50C6EF89B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647" stopIfTrue="1" id="{DA864440-886B-4996-A8E7-075AFE5BFF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644" stopIfTrue="1" id="{FCED63AD-E93D-4560-8580-5C359DB51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7643" stopIfTrue="1" id="{71B738FC-8F9F-45CC-9F31-AAC1541348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7642" stopIfTrue="1" id="{AAFC3A8C-5F95-47BF-ABEB-F6ACEFD49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7641" stopIfTrue="1" id="{F7E1CA07-1355-4081-9D3A-EC5F8265D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7639" stopIfTrue="1" id="{4C5D59AA-693C-4760-9148-E1C902E7AB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7638" stopIfTrue="1" id="{7FCAF200-2BBB-4407-AEB0-46B80C9B1B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7637" stopIfTrue="1" id="{42FC2C19-12C3-4253-95CE-ED4990CB38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7636" stopIfTrue="1" id="{42C62C40-D138-4284-B2D0-AD801D89EE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7635" stopIfTrue="1" id="{5323EE93-AB92-4E42-91A6-399453EB5A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7634" stopIfTrue="1" id="{A74F7505-9985-4E73-A25A-1D45D8ABEC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7633" stopIfTrue="1" id="{DD24F3BA-560F-44B4-8A01-1C8FD29EF2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632" stopIfTrue="1" id="{6F047746-D380-41EA-BC84-1F66DEE7C8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629" stopIfTrue="1" id="{1BF36AF3-ED8E-41B1-9634-D57B9645DF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28" stopIfTrue="1" id="{18496D6A-684A-45C6-8246-02FC8D1538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27" stopIfTrue="1" id="{F4B2A65A-EADA-4CF0-A231-7435F49042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26" stopIfTrue="1" id="{12FE02B8-B890-42D0-BC2C-3BBBBBCBFB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25" stopIfTrue="1" id="{57598D73-38DB-4C32-985F-4D60B91EAF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24" stopIfTrue="1" id="{2A8B9608-9EF2-43F4-8F1C-313128A9F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21" stopIfTrue="1" id="{979BE767-D9BD-4E78-B113-DFCE737BA0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620" stopIfTrue="1" id="{D2371911-7A2D-4932-A0C9-88764102AC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619" stopIfTrue="1" id="{21BB9ED7-3463-4348-A2BC-FFF74E4F6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618" stopIfTrue="1" id="{552DFF0B-07E6-4302-B43E-6F71F43890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617" stopIfTrue="1" id="{1DC45104-6023-4F53-881C-70B0C4D469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616" stopIfTrue="1" id="{480AFA59-30C1-4933-9DFD-51657C9CA0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615" stopIfTrue="1" id="{C54604E4-E655-4E51-837E-98FE5D583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614" stopIfTrue="1" id="{0B5CFB67-3438-4141-B999-3B40EF8424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609" stopIfTrue="1" id="{66DD6D46-2E3B-489B-9C20-2FA0DDD443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08" stopIfTrue="1" id="{4723D738-A24B-4108-B065-457FEF8631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07" stopIfTrue="1" id="{5F127040-6421-4F72-B312-84A2D44DF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06" stopIfTrue="1" id="{C8925036-0F31-41C3-BDD0-B0C208F7AC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01" stopIfTrue="1" id="{3E786459-B344-40A8-B3C9-7673644A5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600" stopIfTrue="1" id="{86A8507D-31C1-41A8-A8CA-9DBB1B7E7B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597" stopIfTrue="1" id="{4E2B73D4-1FFB-4373-B295-E9534EB6CD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596" stopIfTrue="1" id="{01F804E5-3BFF-43C0-91D1-AE3DF85492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595" stopIfTrue="1" id="{A9BA69E8-6B49-4F0D-B604-EFCB44BEBC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594" stopIfTrue="1" id="{0BDBE518-0332-47C6-BCA7-13937B11C6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593" stopIfTrue="1" id="{E27B6DB2-AF52-4241-9B6D-AC45113589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92" stopIfTrue="1" id="{3DC517A2-14D6-49C9-881F-FF8F967816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89" stopIfTrue="1" id="{D1D5882F-73B8-4F48-806F-B75683A91E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88" stopIfTrue="1" id="{A94D621B-9CC4-4C4A-9933-FDC5BAEE91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87" stopIfTrue="1" id="{EC4CE5F2-90CC-4DC4-A70F-534DDFC623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86" stopIfTrue="1" id="{107E27C0-C519-407B-841B-24D4B0B934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81" stopIfTrue="1" id="{408277C5-2CB2-46CB-856B-0488CCB674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580" stopIfTrue="1" id="{E523A079-9C18-4BFA-AF9D-0D7CD211CC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577" stopIfTrue="1" id="{F4DD5304-173F-403C-8499-840E42B2F2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576" stopIfTrue="1" id="{364373F1-4099-4CE8-97A9-F8BF458E11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575" stopIfTrue="1" id="{ECBA7E5C-A5C6-4288-BE88-E745E308C8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574" stopIfTrue="1" id="{00786F45-5D44-49BE-B007-8E779993AC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573" stopIfTrue="1" id="{39A97F51-01A5-4BDA-8F60-32F9297BD4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72" stopIfTrue="1" id="{A7C743CB-7D48-4651-9E1D-16F181596E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69" stopIfTrue="1" id="{06F2BAAB-8930-4CB2-85E5-C186C24E06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68" stopIfTrue="1" id="{58043085-0F90-4A77-9047-C70BA69DB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67" stopIfTrue="1" id="{D8FC07CF-DEC2-4CA9-8057-68AF66B678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66" stopIfTrue="1" id="{6B0F18F1-4B40-4547-93D4-E15237E074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63" stopIfTrue="1" id="{1056D169-A7C7-40AC-A048-0CA9E7B60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562" stopIfTrue="1" id="{83ED2AE0-6CF1-45A1-8EF9-92F5E9CE83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559" stopIfTrue="1" id="{0E50EC84-13D2-40DD-ACC8-402D94196E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58" stopIfTrue="1" id="{23699230-E0AA-4094-8A64-CB45400E01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57" stopIfTrue="1" id="{C936DFFD-B6E0-4A7E-A45E-CDB5E863BE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56" stopIfTrue="1" id="{9AA072EA-4B4E-411E-AE8F-4A633F5F7F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51" stopIfTrue="1" id="{42E2B8D1-2B7C-47CA-8FAF-4CCB1C89D9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50" stopIfTrue="1" id="{D56E2A6F-EC76-439A-9BB4-AD0D976397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45" stopIfTrue="1" id="{4D74C4CE-49B9-4324-A15C-DDCE8738E9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544" stopIfTrue="1" id="{13FD96B5-9A3A-4DCE-8793-2598511963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541" stopIfTrue="1" id="{EC38C268-9807-4656-9816-8F2F913E7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40" stopIfTrue="1" id="{D1F054F1-F9C1-42AB-A4B1-BB811D711A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39" stopIfTrue="1" id="{9CC4D807-361B-4E11-9D9D-2808BB3B1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38" stopIfTrue="1" id="{86A23876-E3AF-468A-B63F-D9ECB151F5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33" stopIfTrue="1" id="{45D8EC6C-5037-4ADB-BA27-A00E890BD9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532" stopIfTrue="1" id="{D3B2372F-B7CB-4865-A148-EE26BC6DFF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531" stopIfTrue="1" id="{3D5D2BDF-253A-400C-B32C-F61EDF93CD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530" stopIfTrue="1" id="{E826C91E-B3F9-467C-8998-CB0EA198AC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527" stopIfTrue="1" id="{811C1215-9FBB-4A07-B08C-83EEA1748F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526" stopIfTrue="1" id="{2204728C-422A-4834-B022-69C02AEAD9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523" stopIfTrue="1" id="{EE23A0AE-05D3-4B88-95A5-AF2566628A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22" stopIfTrue="1" id="{724CBBBF-AD92-479E-A85C-26C92BF346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15" stopIfTrue="1" id="{0F57C7E1-0708-4DF0-9D08-B0A06DE070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514" stopIfTrue="1" id="{0411A676-8143-48E9-98E6-EC6312EB6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513" stopIfTrue="1" id="{0854B6A9-9124-49D7-A45F-2A35E2832C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512" stopIfTrue="1" id="{DCF1C9FF-4CE1-447C-8724-DA5B188F9C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509" stopIfTrue="1" id="{CBD45CEA-A8C3-4132-9ED9-19AA96F9BC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508" stopIfTrue="1" id="{4D996D94-2206-4827-AD7D-1337536B15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505" stopIfTrue="1" id="{A10276BF-0CBE-426A-B101-067631AB40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04" stopIfTrue="1" id="{AA6C5DE1-FDBA-43BB-97A0-40C5D5E3FA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499" stopIfTrue="1" id="{325E3DC1-5280-43F6-BC94-E940AF30C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498" stopIfTrue="1" id="{81AEA1E0-32D3-48C6-B928-97E99845A4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497" stopIfTrue="1" id="{9FA9D250-6F7A-4F1E-8898-AE47AE27E4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496" stopIfTrue="1" id="{8170F3E5-BC20-48D0-A9F7-4CE7153694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495" stopIfTrue="1" id="{7543AA4A-D35B-4AB0-84BA-C6C51C704F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494" stopIfTrue="1" id="{9217A067-E63A-4580-87AF-6460A1F83F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493" stopIfTrue="1" id="{11E865B2-1D6C-4F59-96F5-96B3B794F1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492" stopIfTrue="1" id="{BB062020-D0C9-4600-9C16-C3A3098A82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487" stopIfTrue="1" id="{DBE25880-88F7-4F1B-AC0C-C8275AAF70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486" stopIfTrue="1" id="{2821B8D1-1B5A-4B9A-890D-E52C151B13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485" stopIfTrue="1" id="{82181F18-D041-4DEB-BC89-A90E844F91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484" stopIfTrue="1" id="{9552647C-4570-4DD3-932D-1CC803B22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479" stopIfTrue="1" id="{CAE247CC-3C60-468A-A2F6-8FFF43E146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478" stopIfTrue="1" id="{FF3F6426-F5A1-426B-BFF2-662FC8919B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477" stopIfTrue="1" id="{29A5EE68-CFBB-4C2A-BF0A-AA390E4380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476" stopIfTrue="1" id="{4B23ECA0-FFC3-49B1-839E-4ECA316DE5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471" stopIfTrue="1" id="{41BF05C0-1155-4713-BA63-F8A50BEC0A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470" stopIfTrue="1" id="{E025A760-A816-4B9B-A6AC-B6AC0E9D7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467" stopIfTrue="1" id="{1BF60E07-1279-45BD-A979-BFBA7D1E03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466" stopIfTrue="1" id="{29580B66-8ACE-4F17-9C24-E2FF9DAADC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465" stopIfTrue="1" id="{AE755A7D-5CB3-426A-B7D5-620D0CA329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464" stopIfTrue="1" id="{F432A920-F773-4325-8C72-35344DEF6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463" stopIfTrue="1" id="{F6B5CAFD-98C5-4A7C-8C39-BD664A9883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462" stopIfTrue="1" id="{DA6FADEA-0851-41A0-AAC5-D66BDC15F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459" stopIfTrue="1" id="{769D7B6B-6B19-475B-B3B9-0E79C96674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458" stopIfTrue="1" id="{0B50AE5B-568D-4717-8BDD-81C3AF1C65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457" stopIfTrue="1" id="{BB561E20-A489-4692-B47B-5ECBFB142D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456" stopIfTrue="1" id="{919FFF7E-5C34-472D-92EE-417EE959ED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453" stopIfTrue="1" id="{A165A312-5B43-4CD0-903C-AE0F83149D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452" stopIfTrue="1" id="{B91002AA-9A0A-478B-BBEC-F7ADA0B9BB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449" stopIfTrue="1" id="{948A7AA0-DB2E-422D-A245-906E38DE6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448" stopIfTrue="1" id="{1AC43AE0-3014-4E76-8166-CEC451498F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447" stopIfTrue="1" id="{78D7C711-B905-47F4-A22B-0F9ACC3C6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446" stopIfTrue="1" id="{52EB141F-BFF7-4F7E-861E-4ED6F0B068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441" stopIfTrue="1" id="{77A1E481-C313-4185-AAA2-CCEDF7E89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440" stopIfTrue="1" id="{3B301190-1998-43F3-A7B1-7377A8EC92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439" stopIfTrue="1" id="{668AA419-B6EE-4D35-8FF4-AC99201918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438" stopIfTrue="1" id="{B556492A-BABA-47C6-AD0F-087852B050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435" stopIfTrue="1" id="{AA57F858-E40E-45F2-8DDA-1555DA1406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434" stopIfTrue="1" id="{0544DB7A-8C59-4F4A-859A-BA8D194874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431" stopIfTrue="1" id="{07518C1E-D3FB-43B5-98B1-21F0B9A4D5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430" stopIfTrue="1" id="{3DA0C5CD-4211-48E4-BA3D-E479F9FD3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429" stopIfTrue="1" id="{C5541D54-4E01-46BB-8202-1DC5DEC324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428" stopIfTrue="1" id="{CEAD2E28-4E07-4FBC-BFAD-6A3453D29C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423" stopIfTrue="1" id="{F73DE15B-692A-48C9-A8D8-FAA5E514FF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422" stopIfTrue="1" id="{2A745E97-81FA-4CE3-A3C2-C2984EE04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417" stopIfTrue="1" id="{69E91AB8-1A7A-4D3A-84F0-6325B116A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416" stopIfTrue="1" id="{32214DF7-AC88-49D7-952B-A9CBF119AB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413" stopIfTrue="1" id="{6CD067BF-5F66-4A0C-BDEE-2204C54545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412" stopIfTrue="1" id="{9E6E0253-A166-4037-AF55-F726485755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411" stopIfTrue="1" id="{B6309094-CD5B-4FC8-8169-F0329B817C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410" stopIfTrue="1" id="{E13A02E0-906B-4206-B961-AF71D03168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405" stopIfTrue="1" id="{5F78300B-E293-4362-B5DE-C50F0D915A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404" stopIfTrue="1" id="{E0B51B39-922B-40DD-9AC0-3DCF1A3CA5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403" stopIfTrue="1" id="{29EC5C03-9FAF-4FD8-976A-20B6DDA962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402" stopIfTrue="1" id="{4ABAF9EB-CF40-4B2A-AFFB-F0EDB3D497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399" stopIfTrue="1" id="{D92CE95C-FEDD-4C34-8EDF-4F85C12C7F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398" stopIfTrue="1" id="{5C11910A-DBA7-4692-B658-C62FDB8228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395" stopIfTrue="1" id="{E55454F4-C8D1-450A-BC55-D0BBCC683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394" stopIfTrue="1" id="{7AEC90A5-84CB-48F7-91DB-8E98B0D02F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389" stopIfTrue="1" id="{CAA507A2-51C6-430E-AF68-9058D42994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388" stopIfTrue="1" id="{0F84CE64-A55B-4C0C-9D47-EBF54011AD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387" stopIfTrue="1" id="{E299FF9B-7B39-4BB4-9C93-8BE059DEAA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386" stopIfTrue="1" id="{630A1BB0-87BE-48B0-BF37-022BAE9AD6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385" stopIfTrue="1" id="{23C2513E-F966-4321-BC39-9BA6044CDA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384" stopIfTrue="1" id="{D923FD75-922F-4F39-8161-3150FBC5F8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383" stopIfTrue="1" id="{6FF06D9A-D333-48BD-B556-995133CE51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382" stopIfTrue="1" id="{D1B9BEFB-8EB6-4429-B52A-3F9FB56C60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377" stopIfTrue="1" id="{5CF76AAD-C66B-4FAF-824C-40D215630A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376" stopIfTrue="1" id="{410D6147-7A98-4938-8C16-675AB0C00C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375" stopIfTrue="1" id="{472D39EE-236E-4DE3-BAAF-CC63253124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374" stopIfTrue="1" id="{3E073B37-9998-43D2-9480-6AB41EF00E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371" stopIfTrue="1" id="{DB6FCCBF-6A26-46B0-96B0-732180A7D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370" stopIfTrue="1" id="{863C9B5F-E45F-4A60-A75F-B31E6FD3CE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369" stopIfTrue="1" id="{84151B0F-0914-4F60-AB77-2C352F6CDC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368" stopIfTrue="1" id="{D6895DF1-C0A1-43CB-8582-708D25A348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367" stopIfTrue="1" id="{D8349187-9097-4337-B1C2-3C8B9C4CED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366" stopIfTrue="1" id="{1EB45719-37B8-41E3-927C-7AA98B2860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365" stopIfTrue="1" id="{831857F6-53D0-45A9-A04D-5C8DFBD3E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364" stopIfTrue="1" id="{5F917D02-C522-40D5-ABFE-DE4DF41BE4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359" stopIfTrue="1" id="{99EC1914-2C27-44FA-A1F3-8AC4BADC71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358" stopIfTrue="1" id="{3FE7FD0E-59DA-400A-BEA5-CB74F09943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357" stopIfTrue="1" id="{5CC45A14-36CE-40A0-B2D9-B83DDE1863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356" stopIfTrue="1" id="{FD622EEB-CD1C-4932-824C-B41DD69FFE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353" stopIfTrue="1" id="{D3CB2F5C-1CC1-40DF-8FB8-EEC11FCB87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352" stopIfTrue="1" id="{AEC639ED-9FE5-466C-A591-4573E7F25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349" stopIfTrue="1" id="{7D6C5EE3-8C2D-4021-86DB-FBBBB792BC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348" stopIfTrue="1" id="{BF6AE3D2-DFBE-4740-B65F-787B9135A8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347" stopIfTrue="1" id="{8BCC55F0-76B8-469F-B837-0AD3C105A4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346" stopIfTrue="1" id="{54C32918-E8BC-42C2-BD9B-0B10B6D097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345" stopIfTrue="1" id="{D17C987F-C8F0-43A7-A0B0-9CEC61E03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344" stopIfTrue="1" id="{B0B3F5DB-0C7C-40AF-9C6D-17AF5870D8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343" stopIfTrue="1" id="{90F61D72-9A36-411E-AB31-EBE76166E2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342" stopIfTrue="1" id="{A7B9D48D-3301-4BBE-A5A5-A7D4E546B7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341" stopIfTrue="1" id="{925BEAA0-F0A0-44BD-A01C-CD560C0A28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340" stopIfTrue="1" id="{5625BFC8-38BB-49AA-92C9-0DD88DFAC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339" stopIfTrue="1" id="{ECE047A9-DDD0-4B91-B47D-4658A55598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338" stopIfTrue="1" id="{CCFF09D7-09D3-4797-B2FD-6195347C1D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337" stopIfTrue="1" id="{89E96FF5-244D-488D-A5D0-5572AF179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336" stopIfTrue="1" id="{0904773A-5FA0-485E-9202-87F5D87CC4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335" stopIfTrue="1" id="{B1312A81-E350-414D-AE22-76D44FC095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334" stopIfTrue="1" id="{DF2B1BDE-2F94-4241-B41A-E143DAE20E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333" stopIfTrue="1" id="{3C44EBC9-AE08-49D0-AB89-08D9E15E48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332" stopIfTrue="1" id="{6E8BA877-9E67-4C10-95DD-9611147D49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329" stopIfTrue="1" id="{128E232D-9736-4A30-9B16-52C3F53929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328" stopIfTrue="1" id="{6586DC46-CB63-4870-8F75-6CE42F9161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327" stopIfTrue="1" id="{2EC11142-92FA-450D-803A-A0BFAACCA0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326" stopIfTrue="1" id="{1B9FA3B0-E50A-4ACD-90A1-053748003A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323" stopIfTrue="1" id="{242A4406-CC92-44A2-B5B6-CC075B2B73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322" stopIfTrue="1" id="{849A32ED-4E57-4A33-9A0E-1FD784DF25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317" stopIfTrue="1" id="{224DD683-1D03-4E57-A33F-EA87F1A9E9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316" stopIfTrue="1" id="{A744A773-DCBE-42E2-9A82-D8201F4745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315" stopIfTrue="1" id="{2B59045E-6E4D-4483-B83C-2AF1474B2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314" stopIfTrue="1" id="{8E6D7F0F-8299-473F-B7B3-880E05B139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311" stopIfTrue="1" id="{B429FA7E-80F0-4D5B-A618-92044D979F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310" stopIfTrue="1" id="{F6FA6CB7-9721-4800-A54A-AFC88D4F26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305" stopIfTrue="1" id="{46013EA3-E685-4FD6-A4F1-A3FE90BB02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304" stopIfTrue="1" id="{AD902165-FF63-47C3-9113-23C60EA0A6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303" stopIfTrue="1" id="{1E2D9EEB-479F-4BF6-9ECC-878FA3F5E1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302" stopIfTrue="1" id="{B4A57775-6C95-49AB-BA0E-3A0BA40667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99" stopIfTrue="1" id="{8F0A7AA9-C59A-4211-9E32-D636F04D14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298" stopIfTrue="1" id="{70284997-D539-4FF9-87EB-C893434CD1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297" stopIfTrue="1" id="{A186C430-BCCE-476F-B4C6-013A48096E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96" stopIfTrue="1" id="{FAC2EA40-8F40-4D3C-8936-8E66EE7AE6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93" stopIfTrue="1" id="{972B8F09-1386-4771-BF92-2A0374E2E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292" stopIfTrue="1" id="{780B5951-F6F4-4F0C-8A77-C8C18CE9B8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287" stopIfTrue="1" id="{528084F2-0DAC-4883-85BD-0BC745E5DC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286" stopIfTrue="1" id="{5B87F063-E0C0-4302-ADE3-1A6273411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285" stopIfTrue="1" id="{1F8FE8C8-EDFC-4EDF-BFBA-3C68175C61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84" stopIfTrue="1" id="{9C2A7194-8977-4E30-84E4-3D8221303D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83" stopIfTrue="1" id="{5D12D0C7-9A2F-4EBF-B9F0-98F7360DF1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282" stopIfTrue="1" id="{162696A4-C3D0-467E-B33E-8BAB0FF06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279" stopIfTrue="1" id="{97B565F7-A72C-40AC-BD03-0991FF2676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278" stopIfTrue="1" id="{74830AD3-3041-4D2E-8B7F-FDA074657B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277" stopIfTrue="1" id="{125FF231-BFFE-4022-8843-F2D13BEE05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76" stopIfTrue="1" id="{C757CC58-1A7A-496D-8827-9D329CFF91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73" stopIfTrue="1" id="{5E95B7A2-4C73-41A5-A768-52A916136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272" stopIfTrue="1" id="{2ABB2BFA-E2D2-4BEE-B48D-0B69A53F75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271" stopIfTrue="1" id="{5255B826-F387-4AC1-83D7-8B7916E5D8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270" stopIfTrue="1" id="{5752ACF4-2475-4447-890F-1B25B32222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269" stopIfTrue="1" id="{A4E761E4-DAD3-4E32-8080-EA8D2FA0E0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68" stopIfTrue="1" id="{4C076EFB-95AA-4004-949B-2779C26FE1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67" stopIfTrue="1" id="{BD577B77-D67B-4449-A3B9-AF2C955372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266" stopIfTrue="1" id="{7D0A0516-B0DF-4E0B-9CC8-3AA4FF1493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265" stopIfTrue="1" id="{7BC30C0B-07D9-4870-B0D5-E59116A52F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64" stopIfTrue="1" id="{4C2281B3-DAE3-403B-BDA4-B210F431E6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63" stopIfTrue="1" id="{1A96FE52-6085-40B9-8FC0-051A6C6EE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262" stopIfTrue="1" id="{60797DE8-EBD0-4710-A27A-06401707EE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259" stopIfTrue="1" id="{408FCD44-5B3D-4ECC-B453-0F79E43610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258" stopIfTrue="1" id="{B843C09E-F75F-4021-928E-AB5F6107D0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257" stopIfTrue="1" id="{A577A8BF-B1C4-4B96-8A81-94E473B8D4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256" stopIfTrue="1" id="{702567DC-ED35-4646-8722-F00E7155FA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255" stopIfTrue="1" id="{136FA144-1958-4131-BBB1-6BD0D83399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54" stopIfTrue="1" id="{0D8C4965-FF4C-4B98-AA5C-CC83454854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53" stopIfTrue="1" id="{3C64B5A5-0712-4D1C-893E-086DFCFBF9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252" stopIfTrue="1" id="{3485CFDB-C6C7-47B8-8BE2-9AC05699A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251" stopIfTrue="1" id="{72DA7DD6-AD5C-41ED-9A4A-B41B394942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50" stopIfTrue="1" id="{1790B09E-ADF0-48EE-BABF-667C1ED9E5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49" stopIfTrue="1" id="{E7EAAAEB-9872-4DFC-BB15-FDD8432E8D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248" stopIfTrue="1" id="{A373E884-AC14-4F1D-A1E7-405DE44962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245" stopIfTrue="1" id="{A75A6720-4325-4D33-A42C-F517EB9BD8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244" stopIfTrue="1" id="{8E27FBE8-D55D-4DCF-BE94-B9B6E53CC6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243" stopIfTrue="1" id="{17907C75-F255-4903-BC53-E7564AACC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242" stopIfTrue="1" id="{CF546F9D-B4AA-4F77-BCD3-AE76850E73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239" stopIfTrue="1" id="{82222641-CB17-4E79-B06D-667CB47D92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238" stopIfTrue="1" id="{8A468531-BFD5-458F-8094-A290BAA25C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237" stopIfTrue="1" id="{522D3EE0-7307-45E0-8014-B67292FE76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236" stopIfTrue="1" id="{A0DF9764-183C-4A57-91E3-4F10DF706A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235" stopIfTrue="1" id="{41255ACF-822F-48CB-9DFA-7B5C5DD20B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34" stopIfTrue="1" id="{D4DD0D2A-3E77-4668-83B3-48AB72873E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33" stopIfTrue="1" id="{6B20D4EB-E68C-486C-A62A-7276A80F86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232" stopIfTrue="1" id="{11AE5D53-C10F-4D55-8C6B-8F67F2C07F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227" stopIfTrue="1" id="{D50C9FCE-B9DB-4F1B-89A5-A5B66A606C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226" stopIfTrue="1" id="{8B0606F4-E34B-4A3A-8281-4FF93067B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225" stopIfTrue="1" id="{899A4CD0-4C76-4D6A-9B90-EC94C2051B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24" stopIfTrue="1" id="{89A8EA21-E320-4C12-A219-0A19CD6425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21" stopIfTrue="1" id="{EA741480-CE53-45A6-94D7-BCCD85E55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220" stopIfTrue="1" id="{A0FCAA80-5C1F-4FDD-B57B-BA20195360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219" stopIfTrue="1" id="{15CF679D-0FF1-4F04-93FC-E3A0480004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18" stopIfTrue="1" id="{C23758C0-8AB0-4B4C-B29C-04258A593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15" stopIfTrue="1" id="{C098B4DF-A071-4D34-B946-6AE3F92C6D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214" stopIfTrue="1" id="{0C1C19A0-3B81-43FA-BE9A-CB81FBE4FE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209" stopIfTrue="1" id="{CB04B613-E66D-4F95-8131-DCB9BEF32D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208" stopIfTrue="1" id="{0FCEF3EE-F3CF-4C4A-A11E-231A926116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207" stopIfTrue="1" id="{DFF5B4FE-C0F0-4253-A42B-5FB50D0F54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06" stopIfTrue="1" id="{8CA70E37-56EF-4D75-8798-9FC859E7A9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03" stopIfTrue="1" id="{13985B31-236A-4B3A-BAD4-0D0CDDACB3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202" stopIfTrue="1" id="{74A2EB24-8125-43B5-AC68-D4F55B875C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197" stopIfTrue="1" id="{B690775A-8672-4DB2-BABC-43959C6E07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196" stopIfTrue="1" id="{7A966331-21E6-4215-9066-8BE9EAE6F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195" stopIfTrue="1" id="{43EC6852-DF14-48D3-9B44-229B917E91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94" stopIfTrue="1" id="{E1E67AE6-2D6F-461D-BB0D-BD82DB0E96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93" stopIfTrue="1" id="{26DB151D-EDBA-4BF9-ACAC-93E8D536DD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192" stopIfTrue="1" id="{7552000E-2A72-47F3-BADD-558BC11B7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189" stopIfTrue="1" id="{ADCB4B03-B873-445B-AF5A-7704906473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188" stopIfTrue="1" id="{0F1D2F1C-BB5D-4774-9250-CCD91C9EB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187" stopIfTrue="1" id="{CBC9D285-1D02-4465-9C88-387D278EDA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86" stopIfTrue="1" id="{5CF8CED1-AB03-4E6F-B970-DA8B4A5092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83" stopIfTrue="1" id="{EA552050-266E-4075-9B72-ACDA42B0A7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182" stopIfTrue="1" id="{4476343B-EB1C-4856-8DE9-3515D06BD6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181" stopIfTrue="1" id="{3C25B170-906F-4340-A129-A01B64A38C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180" stopIfTrue="1" id="{1DC1956B-715A-4AF1-95FB-2007FE01AF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179" stopIfTrue="1" id="{A8629725-A9A8-4CEA-9481-03F8E00121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78" stopIfTrue="1" id="{0A926D9B-55A4-4C30-94B5-4618993418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77" stopIfTrue="1" id="{12E66F76-31DC-4022-BE43-4375D92A6E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176" stopIfTrue="1" id="{F37236C3-6CC9-4635-AC3A-2B6D8F1545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175" stopIfTrue="1" id="{AC8B1B84-9226-48D4-873A-9F608DBAA7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74" stopIfTrue="1" id="{277E2040-4376-45A6-8B5D-FD65E78BFC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73" stopIfTrue="1" id="{ECBC8241-AB5A-474D-8001-E1E8294A61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172" stopIfTrue="1" id="{64844B2F-BF62-42EA-890C-61D247DC44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169" stopIfTrue="1" id="{225FDCD3-A3F7-47F9-B97B-8BBCCB402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68" stopIfTrue="1" id="{B5B6D45A-2E66-4CB6-872E-B4EDC55F30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67" stopIfTrue="1" id="{4E546796-D156-4771-AB32-B8F11BD87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66" stopIfTrue="1" id="{E78639AA-7AAD-4293-9677-5D3DEC3754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63" stopIfTrue="1" id="{11052188-C191-4A93-A968-E314814FFB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162" stopIfTrue="1" id="{F17117FF-916E-4DA8-9684-5D100FEED7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161" stopIfTrue="1" id="{EB7D3537-3C7E-4C10-A4D5-4E9C396059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160" stopIfTrue="1" id="{48BFC96F-0E0A-47BE-8CEF-C9274CB250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159" stopIfTrue="1" id="{9E04D1F7-A445-4D5E-B413-B6ECF65F10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58" stopIfTrue="1" id="{50D667CB-54A3-42AE-B2E4-F334F06A1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57" stopIfTrue="1" id="{B083B442-9ABC-43D8-B307-8ADD483886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56" stopIfTrue="1" id="{D2060CCB-D425-4DDE-AAC3-6E5157083C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55" stopIfTrue="1" id="{4B80B5EB-C5B4-47FC-99C0-D539ADD44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54" stopIfTrue="1" id="{7D935945-CD37-4BE5-9718-107780FBD1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51" stopIfTrue="1" id="{1489673D-0615-4F9C-9F77-AB272CAF94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150" stopIfTrue="1" id="{70153B6F-7D93-4733-AC68-4DE019852D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149" stopIfTrue="1" id="{AC01BDBE-CBA6-44F0-B0CF-F436F484E1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148" stopIfTrue="1" id="{087B02D2-91CD-4A8E-8E8F-A7740FB95E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147" stopIfTrue="1" id="{B5866BC1-BA21-4AFB-9ABE-8E16EE6005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46" stopIfTrue="1" id="{14AB3B45-3FA3-42C3-AF7D-9843EFD443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45" stopIfTrue="1" id="{72BA635C-270B-43AD-AC5B-D3EE7B2BD1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144" stopIfTrue="1" id="{2841D05F-25D0-4C78-99DF-96135BB9C3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143" stopIfTrue="1" id="{0494357B-5C99-42EC-B3BD-3DBAE4A493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42" stopIfTrue="1" id="{64D98D70-9248-4DC4-B02A-3A0F32E5D7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39" stopIfTrue="1" id="{40FA25DF-03AC-48EA-9780-02E3ED6142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38" stopIfTrue="1" id="{1D8B0874-E3BA-41D2-A7B1-2EA286F85F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37" stopIfTrue="1" id="{6967FB15-6FF0-44BE-B964-C6A5DAD77D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36" stopIfTrue="1" id="{11CC9BB1-B891-47BB-94B5-84F39B261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33" stopIfTrue="1" id="{6E44B9A4-C1DC-4861-A3F8-BB8085C4DD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132" stopIfTrue="1" id="{29243D2B-9DD3-409F-822C-FB57774A55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131" stopIfTrue="1" id="{D214A37B-D8BB-4952-BC2F-23D843B3F7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30" stopIfTrue="1" id="{F097CFA7-67E3-454F-8FBA-1E69D74CCE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29" stopIfTrue="1" id="{B29AE42E-324B-417E-B147-FC7DD95076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128" stopIfTrue="1" id="{57D92F13-3719-4CBB-91F6-E4377907C7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125" stopIfTrue="1" id="{7A6E575D-0ACC-4CCE-99DA-FD57EF726E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124" stopIfTrue="1" id="{5406F8AC-1619-44E0-95F1-7A4B06C746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123" stopIfTrue="1" id="{86C30B1B-8BE3-457F-946B-DD2C3B94D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22" stopIfTrue="1" id="{03FC5F7F-031E-45A6-89F1-B12DFF6B82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19" stopIfTrue="1" id="{C1B2732C-82AB-4442-A49E-C0BB2D3B07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118" stopIfTrue="1" id="{11A07AB1-3D24-4C43-99DE-81A3DCD530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117" stopIfTrue="1" id="{4D5C5B94-5CC3-4C99-AE51-DAADD4FCA4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116" stopIfTrue="1" id="{A34365D7-312F-462F-8B5E-E9712B6C01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115" stopIfTrue="1" id="{21B59910-FCD2-40E2-BAA3-25A37EF7C2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14" stopIfTrue="1" id="{CEA35CDD-D8E9-47D7-8798-5D24DB6050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13" stopIfTrue="1" id="{A4459E97-5720-4617-AA64-00888324D5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112" stopIfTrue="1" id="{9AD42890-1A98-4F6F-BD39-E687A11C42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111" stopIfTrue="1" id="{27FD383B-9D50-4228-A037-81A79A840C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10" stopIfTrue="1" id="{EE43602C-C2C3-4E0F-8B40-20A575C10E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09" stopIfTrue="1" id="{25F0D3B7-1BFC-40D8-92BD-807257289E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108" stopIfTrue="1" id="{0991FD36-3125-446A-8AD7-F1AC0218E4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105" stopIfTrue="1" id="{9D3C156D-2DF8-4F8F-AF36-9554CDB941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104" stopIfTrue="1" id="{16FC2BC0-E2F8-4E8B-9B55-C88CC0AB35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103" stopIfTrue="1" id="{CD087C8B-702F-4551-8DE3-B2B5A935AB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102" stopIfTrue="1" id="{D6ECF149-8A8E-44D3-96EA-CFBE023BE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101" stopIfTrue="1" id="{42A455B3-ABBD-4107-9BF5-F676A18AB9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00" stopIfTrue="1" id="{66FE0F38-0C9B-40C0-9F06-50F4FC795F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099" stopIfTrue="1" id="{98C8094C-A778-4A59-8892-D29F5914BD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098" stopIfTrue="1" id="{35F64B9F-9F74-479E-9AD8-4AEE6E4E63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097" stopIfTrue="1" id="{8DADAB28-0EDB-49F2-8002-B0B48122F6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96" stopIfTrue="1" id="{2A7CF5AA-261C-4752-A1F9-F59549BDD7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95" stopIfTrue="1" id="{2EA37297-22BC-4372-8C87-5C106618BC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094" stopIfTrue="1" id="{6B48F37E-8E45-469A-BBBC-9C4FF3C844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091" stopIfTrue="1" id="{0D9E7B96-A3B3-4855-987D-FAEC7693F1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90" stopIfTrue="1" id="{83FACFA7-ED24-4CD0-A90D-96732B1E43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89" stopIfTrue="1" id="{E15703BF-F13C-4435-8426-DDA8909DA9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88" stopIfTrue="1" id="{D4F51113-B8AA-45B5-BDA1-7D16594B0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85" stopIfTrue="1" id="{184AF229-7770-4898-9D2D-629A487BD6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084" stopIfTrue="1" id="{AFF795A1-68FC-45B2-9811-E334180808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083" stopIfTrue="1" id="{D30E372F-FBAC-4CB0-BAAB-CBA5764511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082" stopIfTrue="1" id="{86C9D47F-E76A-4A0A-86E4-40D017C984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081" stopIfTrue="1" id="{9EA7F774-DA7D-4D34-AC31-37F4C3BD7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080" stopIfTrue="1" id="{785E0766-4786-4F62-9755-7CCFF3C298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079" stopIfTrue="1" id="{29AE71C8-52DE-44C9-B944-A2B3E8E36A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078" stopIfTrue="1" id="{9B233BC9-5DD0-4316-A6FD-FDA00FE789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077" stopIfTrue="1" id="{D9285AF3-F26E-4B65-98EA-83AB47D5F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76" stopIfTrue="1" id="{684557F8-0838-4C72-A4A5-EE854E25F0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73" stopIfTrue="1" id="{BC3CE357-E5C0-48BD-B4CB-68F4C36277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72" stopIfTrue="1" id="{D51C610E-7693-4EFF-991B-3D42B0557A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71" stopIfTrue="1" id="{BB7B92A6-3853-4134-9376-EE12D12F9B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70" stopIfTrue="1" id="{40124608-54CD-4899-8485-0E88B3897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67" stopIfTrue="1" id="{0876E7DC-51E8-4B8C-B2A0-31FB1D324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066" stopIfTrue="1" id="{EB8F37D9-B202-496A-AE62-0FECE740CE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061" stopIfTrue="1" id="{306E5BD3-0716-459E-8BFB-4ACD95679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060" stopIfTrue="1" id="{47933627-3E57-4143-9CC4-F22AA4571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059" stopIfTrue="1" id="{9EA97782-EBD5-4D61-987A-BB85055C7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58" stopIfTrue="1" id="{A635808A-C369-4CA0-881C-B680EAF2E7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55" stopIfTrue="1" id="{26B9077E-036F-45BA-8E0E-B3A8F471BB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054" stopIfTrue="1" id="{9DB36954-2BBA-4AC8-8877-378C9E1D20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049" stopIfTrue="1" id="{77C9EE16-90BC-432B-A2E5-D5D595D808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048" stopIfTrue="1" id="{97007C45-3ED5-44B8-BE8A-BCF0E1CDC8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047" stopIfTrue="1" id="{3C5B8A4C-3069-4929-A384-7A65FC0E21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46" stopIfTrue="1" id="{F282B034-50F9-4074-B9B4-AD0F83B11D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43" stopIfTrue="1" id="{788E1821-F38D-45F6-9F15-C16E361D31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042" stopIfTrue="1" id="{AFAB7AFB-4E1F-4CF4-98DD-CBF9FFE17A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041" stopIfTrue="1" id="{F5880DE8-E9E9-4B4F-8096-82A5A84B81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40" stopIfTrue="1" id="{C724B3F3-F3BB-4A57-BC4D-8B4AF99B1F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37" stopIfTrue="1" id="{7D1DE39E-BB1B-4263-83A3-4A40AB555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036" stopIfTrue="1" id="{3A20AAD0-F14C-4838-A021-0DD7F4AA6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031" stopIfTrue="1" id="{C8994CC4-A86B-4AE7-B054-F161FEB709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030" stopIfTrue="1" id="{E95E0C49-C7EF-4D5C-B149-3D76C2FD89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029" stopIfTrue="1" id="{7C3FB8F9-40D1-4866-BD30-4DADDA71C8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028" stopIfTrue="1" id="{BC4FD597-562C-4176-BD1D-553C5DAE9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027" stopIfTrue="1" id="{58250C31-6AA9-4FDF-BD4F-8AAC0D349E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026" stopIfTrue="1" id="{DA5976B5-ED5F-4D0B-A0EC-F50F38D654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025" stopIfTrue="1" id="{CDAF21E4-F59E-4478-9F6A-99691BECEE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024" stopIfTrue="1" id="{50284057-40BC-438D-87D2-4F99846DC8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023" stopIfTrue="1" id="{19E20F6D-DD63-451C-AC16-91C021427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22" stopIfTrue="1" id="{663FD10E-DAB4-492F-A459-6494FDEE3F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21" stopIfTrue="1" id="{13C3CF81-A9B5-4F3C-8FE5-E89CD7FF80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020" stopIfTrue="1" id="{34D24086-54B2-45BD-A128-5756DEBA17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017" stopIfTrue="1" id="{A82C7693-68BE-4826-BFB7-80F4995E35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16" stopIfTrue="1" id="{294A1CAF-754B-41D0-AB9C-8C8AECFD0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15" stopIfTrue="1" id="{2893EA9D-5B46-47F0-8E46-B20C00E1BE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14" stopIfTrue="1" id="{3785AE18-489B-44DF-8E38-5DDF3B5B61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11" stopIfTrue="1" id="{5190D59C-7DB3-4376-B6EF-858EEE589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010" stopIfTrue="1" id="{FE7F33F7-3B34-47C8-A54D-75464E2AF3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009" stopIfTrue="1" id="{AAB0EBCB-09E3-4B9E-BD62-FC19830D3E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008" stopIfTrue="1" id="{C169AB35-7FDD-4ECB-BF92-EC7ACE3C4E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007" stopIfTrue="1" id="{9D6478FB-ADF3-4F30-ACCE-B7558F0820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006" stopIfTrue="1" id="{77A13C43-B2CC-4E83-AD40-ACAB26589E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005" stopIfTrue="1" id="{F670B076-6509-4B27-BF08-BAFA79DAF2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04" stopIfTrue="1" id="{35CDFCC5-9F63-497E-A1AC-1A3502527A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03" stopIfTrue="1" id="{FC072C2B-852B-49A4-8462-7727D7DDD6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02" stopIfTrue="1" id="{07D50E62-018E-4F72-A02F-8E9C9C832B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999" stopIfTrue="1" id="{80D8FA86-F986-4B14-B6F5-7F93AD841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98" stopIfTrue="1" id="{71E8DA16-2645-41A1-8CF2-CA7011BA5B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97" stopIfTrue="1" id="{4EAA8518-C401-4349-87BD-9CEF76A01A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996" stopIfTrue="1" id="{FB0A5202-9AC7-4992-8EC0-2A000D0A18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995" stopIfTrue="1" id="{F03393D6-143E-406A-82E2-2F446EE16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994" stopIfTrue="1" id="{3F72026B-3A5F-4155-AB19-71963B34E8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993" stopIfTrue="1" id="{9027874B-3FB1-45B2-A3F3-EBFC8D9493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6992" stopIfTrue="1" id="{0E38DA78-19D2-45B1-9F3B-1BD942ACC5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6991" stopIfTrue="1" id="{1C820A63-B74E-4367-8C0D-8729096525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990" stopIfTrue="1" id="{AD558B06-41E8-4A6C-9F58-50BF5C3CC3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987" stopIfTrue="1" id="{51BDF494-4A9C-4238-A513-F25612CBE9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986" stopIfTrue="1" id="{FBD79C84-8D60-45BB-A930-666E124DA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985" stopIfTrue="1" id="{BCE14090-794E-488F-975E-8EA857C0D2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984" stopIfTrue="1" id="{B582923D-9A5D-4B31-824F-3A9D001C5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981" stopIfTrue="1" id="{0123D9F7-5274-4B45-8CAD-429482C71C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6980" stopIfTrue="1" id="{200D9414-9FBC-4BDC-8912-73F81BF821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6975" stopIfTrue="1" id="{2CE8B645-62C1-4278-9E3E-29CFCA2330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6974" stopIfTrue="1" id="{1C0BC012-732A-4E83-AAFC-7300267596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6973" stopIfTrue="1" id="{56B3104D-3E17-4A10-BE8B-2D3417654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972" stopIfTrue="1" id="{2EB15B16-B4E0-468A-8387-59F1B83DF8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969" stopIfTrue="1" id="{0235AB91-E87C-4014-9423-F67A5FD5BC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6968" stopIfTrue="1" id="{B18FA856-6617-45E8-859C-BEF624F72D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6967" stopIfTrue="1" id="{285A04F2-CAF2-408A-B6C6-0535461819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966" stopIfTrue="1" id="{6C2BEEEE-95C6-4EF0-A146-D5340EA72B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963" stopIfTrue="1" id="{FAC2AA86-58A3-4AD9-894C-5F704FC84F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6962" stopIfTrue="1" id="{CE43686A-2F5C-4051-B5BE-44469966EE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6957" stopIfTrue="1" id="{C5F6ECEB-ACDD-4394-8AAB-A4222BCC9C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6956" stopIfTrue="1" id="{EFBD64F5-0B97-4F43-B3ED-73E95E2D1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6955" stopIfTrue="1" id="{90111B40-1711-4A14-8B72-0F96E901A0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954" stopIfTrue="1" id="{90C4A27B-E6AA-4AD6-A4BB-86ED992AE8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951" stopIfTrue="1" id="{E1D22B7B-884F-454D-82E5-96272B6840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6950" stopIfTrue="1" id="{764D0E96-2DB1-4E88-9760-61804B4D00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6945" stopIfTrue="1" id="{F0167EB2-5EC0-4DE6-9980-13439B9376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6944" stopIfTrue="1" id="{61A414AF-9874-4A61-B8F5-90DC018E44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6943" stopIfTrue="1" id="{DAE5B57D-BD2D-4E9D-BE47-4A31971B0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942" stopIfTrue="1" id="{746ABA61-E39E-40E8-8174-F68DFD52BE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941" stopIfTrue="1" id="{17B8FF42-A010-490E-8587-CA19FE616C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940" stopIfTrue="1" id="{0807FF61-F6D1-4372-AFAA-1786B8902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937" stopIfTrue="1" id="{23F13E2E-8662-472D-963D-EBACAA5F55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6936" stopIfTrue="1" id="{C245B821-C02A-4156-8CA0-0C2F962C5C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6935" stopIfTrue="1" id="{0F7DADC8-8E27-4850-A8E3-C850C0757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934" stopIfTrue="1" id="{0FD3452C-17C4-4AD6-8DDC-6E572B3977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931" stopIfTrue="1" id="{EE1D5E68-B67A-474F-8D8E-C8C3D9B2B0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6930" stopIfTrue="1" id="{D1CF3C44-DFF2-437C-B8C7-1B9DCA845A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6929" stopIfTrue="1" id="{E9588CC1-381B-4949-814C-558C654AE5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6928" stopIfTrue="1" id="{A7F67BD5-DAFD-4335-A93E-12331591B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6927" stopIfTrue="1" id="{363EBB73-F868-40DC-9323-D839BBE83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6926" stopIfTrue="1" id="{748FD92A-7B54-4C2B-A6A0-0B43AD8796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6925" stopIfTrue="1" id="{63031BAB-6EA1-439D-B408-EF1DFCE2F1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6924" stopIfTrue="1" id="{BA5FB4F9-7DC8-4636-B655-0CF2CD4F0A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6923" stopIfTrue="1" id="{79FA6616-FA3C-4B74-A4E7-4E213D609F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6922" stopIfTrue="1" id="{267F5BBB-9134-442D-9529-EA78A1D40B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6921" stopIfTrue="1" id="{5FA0F2DD-F161-4CD5-B6FD-EF6DAFF634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20" stopIfTrue="1" id="{8880AF20-C8D8-4F9E-A71A-16C58CC0B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19" stopIfTrue="1" id="{B90781F1-4D22-4739-ABF4-B719D90AD8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18" stopIfTrue="1" id="{29546E61-B61C-40AB-92A2-FBEF8C889B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17" stopIfTrue="1" id="{9C14E299-81C5-46D6-A140-F909CC9875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16" stopIfTrue="1" id="{E0C2D48C-E710-491E-8079-B380A4F9CE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15" stopIfTrue="1" id="{FC72B9F3-DAAA-4447-9621-46BF683837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14" stopIfTrue="1" id="{BDD17BD6-4985-4903-9855-A21676FF67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13" stopIfTrue="1" id="{C873FCD0-17A7-4AC3-82F3-37D9781A88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12" stopIfTrue="1" id="{93930F49-B459-4E11-A5DD-C9485CAD10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11" stopIfTrue="1" id="{D7567A83-B8C7-4EC8-B370-4576CFA711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10" stopIfTrue="1" id="{4B9DEF77-EAC8-4B5E-A6AD-B1808C685F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09" stopIfTrue="1" id="{7EE7035D-3CDA-4650-886C-A2C6824D0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08" stopIfTrue="1" id="{3DBED4A6-FB6B-4986-A1F5-221D6782BA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07" stopIfTrue="1" id="{07244E25-D2BD-4DB9-A460-4A3A9C98BB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06" stopIfTrue="1" id="{D8712C3F-6687-4239-929F-DF1901F90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05" stopIfTrue="1" id="{BF5DF750-BE1B-4F3E-AF97-415C8171E2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04" stopIfTrue="1" id="{A8078F15-2377-4552-A71F-CB264C22CA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03" stopIfTrue="1" id="{4FA510F3-7F3F-4825-86E3-D83390580A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02" stopIfTrue="1" id="{DBED64EF-F247-4499-8BBD-6A6AAF38F9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01" stopIfTrue="1" id="{CB683B2B-E951-4C14-94B1-E65A2FAC80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00" stopIfTrue="1" id="{05BAACFD-D7C1-456C-BD73-FF37517466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99" stopIfTrue="1" id="{8A0D24D4-4076-4AB4-9771-8A4531617D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98" stopIfTrue="1" id="{1663E43C-4640-4561-A64F-E8A7560F0D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97" stopIfTrue="1" id="{5184DF29-41ED-432A-9D5F-FE3F601EA6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96" stopIfTrue="1" id="{A541AEAD-DE71-4E3E-A9FE-D4626ADA3A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95" stopIfTrue="1" id="{A8FB5EE8-FDCC-4940-B2DB-86C0C06248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94" stopIfTrue="1" id="{A8D4F622-37A4-428D-B8A3-01C6B732C8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93" stopIfTrue="1" id="{87EE4291-9E53-4003-813A-AAB714A9B1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92" stopIfTrue="1" id="{9E2A07DF-4CFF-428E-8320-AE93298A4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91" stopIfTrue="1" id="{894BE7F9-1667-4767-824E-52E0E99542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90" stopIfTrue="1" id="{9037DDC7-DE93-4AF2-B43E-42F9645E46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89" stopIfTrue="1" id="{2BD1060D-EE09-49A9-9499-4F6F696155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88" stopIfTrue="1" id="{CBE804A2-A898-4C8A-8182-BDF21FE10D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87" stopIfTrue="1" id="{D13319F1-18B1-4EF3-A66C-D8BB169B0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86" stopIfTrue="1" id="{688019B2-A655-4C93-BECC-80421DC69F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85" stopIfTrue="1" id="{DDF4D324-8B91-4E2F-B562-A0D3FEDC22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84" stopIfTrue="1" id="{DF8A7680-B0B2-4A19-BD5E-AE2B7FE742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83" stopIfTrue="1" id="{7842B471-4780-47BB-8C6F-7D559D2717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82" stopIfTrue="1" id="{ADD03CE7-520B-489A-8DAC-62790B887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81" stopIfTrue="1" id="{43F040C6-0589-4CB3-8717-FC821DB545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80" stopIfTrue="1" id="{0CA2FB14-BA6C-4588-8C56-7210747930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79" stopIfTrue="1" id="{85084B8A-1946-441C-8B9B-A8629A5DF0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78" stopIfTrue="1" id="{FC29638E-EE36-479C-9716-10E4B6104C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33" stopIfTrue="1" id="{53B2E412-305C-4B86-BA58-BC918D8D35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832" stopIfTrue="1" id="{B85F58D4-A66B-433E-A926-5E0B3765F3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831" stopIfTrue="1" id="{65B91677-9B6B-4907-B1C0-044A32F244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830" stopIfTrue="1" id="{5F728947-6334-4A97-8C0B-C032721DF7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827" stopIfTrue="1" id="{824B5F83-3C54-45D2-89A0-ABCE0D1D59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826" stopIfTrue="1" id="{C341A427-E3C5-4ADF-B118-C29A3D2694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825" stopIfTrue="1" id="{FCCBABBB-61DD-415A-A67B-AA92029021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24" stopIfTrue="1" id="{B8F0185B-F13E-4AF4-849D-54D1285DDB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21" stopIfTrue="1" id="{49421805-F239-4E28-A257-9F70CFB711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820" stopIfTrue="1" id="{F51256E0-4C27-472F-9607-14FA8EBE36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819" stopIfTrue="1" id="{9DADE3C6-0CD9-41B2-A525-A7E5F4BEED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818" stopIfTrue="1" id="{6BF41750-D3C4-4EA8-A3AC-AED17D21F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817" stopIfTrue="1" id="{1601FA8A-AA92-4DDF-B45D-C6FBAAF576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16" stopIfTrue="1" id="{62C2A806-A945-49BF-9EA9-23840C6C3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13" stopIfTrue="1" id="{EBDCF2CB-9164-4E83-AFA4-564C78A9D7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812" stopIfTrue="1" id="{2A2871D5-D48C-4C28-89BE-304C4404D2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811" stopIfTrue="1" id="{1166C9E5-7991-44FF-B9E1-07892C313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10" stopIfTrue="1" id="{3FBCE04C-6331-4C3C-B9C4-2347F30BA2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07" stopIfTrue="1" id="{F572A556-6414-4A52-8E00-9D4E0C0B04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806" stopIfTrue="1" id="{01CD18EE-51AD-4F29-B51B-A873F35D6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805" stopIfTrue="1" id="{BFC154A5-B176-4003-BA8F-376029FD3A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04" stopIfTrue="1" id="{41A6E904-C926-4C67-9EBA-0B9300BDA8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01" stopIfTrue="1" id="{2B0FBA6E-2F8A-412E-A2FA-DA757A2263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00" stopIfTrue="1" id="{67180E41-BB3D-4E88-9DA2-55F55F229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97" stopIfTrue="1" id="{56048D6A-E41D-40EB-B093-EA839AE4BE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96" stopIfTrue="1" id="{E6B65ABC-A1A4-470E-A65D-A97A9D6340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93" stopIfTrue="1" id="{18B9175A-83BF-4E56-80AC-14D3277E4E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92" stopIfTrue="1" id="{BE63D478-CA22-4E50-9D8E-1CBFA41B04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91" stopIfTrue="1" id="{334DEA8E-0960-4BE8-9FEC-4B2B7BB5D1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90" stopIfTrue="1" id="{4225CC3A-928E-42B7-84F6-A5F0A2778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87" stopIfTrue="1" id="{1BCDF3C3-AF96-4544-A54B-890577B7C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86" stopIfTrue="1" id="{D7274A2B-5ACD-46DB-94C9-BAD2B80CFC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85" stopIfTrue="1" id="{76B46701-5DC1-4326-B6E5-2615F0A52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84" stopIfTrue="1" id="{FDC88B56-CF10-4132-88E4-5CC7D0D742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81" stopIfTrue="1" id="{0D4173A6-0341-485D-91FB-6C820BDDBA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780" stopIfTrue="1" id="{410E34FE-FDAE-4C50-9CE0-F33DFD4AD2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777" stopIfTrue="1" id="{65313C22-36D1-41AD-93FD-782B6CAD1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76" stopIfTrue="1" id="{BBE43591-9845-4FA9-A92C-A3941A4E24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75" stopIfTrue="1" id="{848FEB40-B58C-4862-A44B-750B6CBE21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774" stopIfTrue="1" id="{423790F1-9CCA-4C18-A8B6-1C51C357B0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773" stopIfTrue="1" id="{86A38655-ABDA-4E24-8A5C-81570CC58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72" stopIfTrue="1" id="{B249A807-C70A-4025-94B0-5EC2300D9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69" stopIfTrue="1" id="{25E719CE-EE62-44FB-8E7F-53721AD330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768" stopIfTrue="1" id="{C9DA71A0-23FD-4245-8AE2-E9893824D9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767" stopIfTrue="1" id="{20C84159-45AC-4C81-BB76-8902768FD7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66" stopIfTrue="1" id="{8B4E2F72-C22E-4172-9EFE-CE006BDE7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63" stopIfTrue="1" id="{A092C8C3-AAF4-4B29-9AE3-D32A786A94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762" stopIfTrue="1" id="{3900FD01-131F-421C-92A1-37AEB6A6E8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761" stopIfTrue="1" id="{495F4D81-A07B-4946-B528-5A247FDD7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60" stopIfTrue="1" id="{B13707CB-D4B7-4EF2-A25C-B09ACC8471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57" stopIfTrue="1" id="{D7708B9B-AD75-4F27-9B6C-901D869BC8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56" stopIfTrue="1" id="{583FFACA-700E-4871-8E96-A30A8A2DF4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53" stopIfTrue="1" id="{42573173-AF91-4186-8299-4914F9DEBD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752" stopIfTrue="1" id="{80059A80-D992-4E33-8944-05CED1D2C9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751" stopIfTrue="1" id="{2DDEAD91-CEA9-4A95-AD43-87EC0DBBFD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50" stopIfTrue="1" id="{F21BB30E-CB15-4957-ADFF-008749F497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47" stopIfTrue="1" id="{4DB4273D-B953-4B50-A399-093A428710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46" stopIfTrue="1" id="{AFDACF55-B639-4F42-A7B3-C380325166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43" stopIfTrue="1" id="{DB1F0A54-0ADE-4B98-9578-825F3E1C23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42" stopIfTrue="1" id="{E81247E0-69A7-41DB-936B-9252F881B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39" stopIfTrue="1" id="{7FF553A9-8C3A-4411-9165-FC2530E173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38" stopIfTrue="1" id="{ACC5175D-9120-4431-8739-B8D3640EDF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37" stopIfTrue="1" id="{424FCD22-8388-4AD6-82A7-D9DCCDE20E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36" stopIfTrue="1" id="{2BE9E9BF-AE72-4BC9-B144-2BA117ACA4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33" stopIfTrue="1" id="{350D6EFC-5CDB-45ED-B08E-DB3485B20B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732" stopIfTrue="1" id="{28F7E3CD-3B3F-4EBC-B446-33D34038D2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729" stopIfTrue="1" id="{374D03D7-6FA2-4648-96C2-3BF9EDCA84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28" stopIfTrue="1" id="{54C6EABD-2D8F-4B3A-8EF9-5E22E2CD56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27" stopIfTrue="1" id="{F2D69197-464F-4A18-91B0-1779BE5547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726" stopIfTrue="1" id="{C0B247A4-ADA5-45A3-A01A-7E977E4D73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723" stopIfTrue="1" id="{FD0A41D2-333A-41D7-94EB-DEFF4EE11B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22" stopIfTrue="1" id="{19890844-0C48-4F83-8890-984FC2B631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21" stopIfTrue="1" id="{5161A608-B392-4944-93AF-9811FD0416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720" stopIfTrue="1" id="{79D9019B-91FD-43EB-80EC-A266E95C7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719" stopIfTrue="1" id="{79AD74CE-BCF6-47C5-92B4-9714DAD3D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718" stopIfTrue="1" id="{E7DE0C63-375C-4157-96A7-2A387B855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717" stopIfTrue="1" id="{96B0BA41-6F47-4D90-B812-2A0A2C4E8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16" stopIfTrue="1" id="{2A65C9DB-AD37-436E-AC3B-85B26599EA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13" stopIfTrue="1" id="{3C274F6F-D0F2-457E-A531-53B77C77F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12" stopIfTrue="1" id="{A1C4B2D0-6AA1-4ED7-97E3-1D9A75D8D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09" stopIfTrue="1" id="{00175489-49B8-4FF8-B96B-36DAD94C47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08" stopIfTrue="1" id="{BA8F042F-F9ED-498A-A4A6-99F4898B51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07" stopIfTrue="1" id="{794DFD44-751E-4365-A4D8-AF8434714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06" stopIfTrue="1" id="{CBFC7A00-72D8-4BEC-838F-5FBB34E88E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03" stopIfTrue="1" id="{EBE00A8D-9D4D-4C76-934F-49765C69BB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02" stopIfTrue="1" id="{BE124882-4F66-41C2-BD97-8D29E4CD10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01" stopIfTrue="1" id="{084BB7E0-EB69-4AB8-AC1D-95D794E626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00" stopIfTrue="1" id="{9DDF9683-9E66-4E54-8889-DC676941FC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97" stopIfTrue="1" id="{49790A42-294B-4B14-91C9-FF224006F5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96" stopIfTrue="1" id="{BE26717E-15E4-4E84-A7EE-9F0152349C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93" stopIfTrue="1" id="{725D164D-1CAC-4333-A679-B648537152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92" stopIfTrue="1" id="{785CFCEF-13D8-4CBF-B57F-BDD939DF89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91" stopIfTrue="1" id="{559D3CE6-5AEC-4A2F-93B3-B09577685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690" stopIfTrue="1" id="{023728A9-027A-4C24-9738-7D4321CEFD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689" stopIfTrue="1" id="{0BB764B3-103B-4764-AEAB-965D0A1874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88" stopIfTrue="1" id="{0C362EEE-8E7D-4BCC-98AF-1B666715E7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87" stopIfTrue="1" id="{4032E84D-FF92-4CD4-8170-73491BEC28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86" stopIfTrue="1" id="{247E4A0C-7730-4361-A371-13ED909B22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85" stopIfTrue="1" id="{E2E1B140-CF99-4BF5-AB38-DA051AD5DD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84" stopIfTrue="1" id="{B96DC2C9-9C39-4A26-BD91-1FF727087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81" stopIfTrue="1" id="{073A455A-6F24-41B5-958F-691ACC3FDA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80" stopIfTrue="1" id="{112110D9-83D2-4D5A-BF80-A517C30BA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79" stopIfTrue="1" id="{59B87BBA-4E58-42A4-80EA-CB88C2A07F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78" stopIfTrue="1" id="{B36B7A4B-81EF-420D-9B84-6BD7A3445C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75" stopIfTrue="1" id="{0D216A51-89AA-4C48-8863-9C4E602594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74" stopIfTrue="1" id="{F7BF6C94-9F8F-4994-853F-A442B3A328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71" stopIfTrue="1" id="{4F2D03EC-CAFB-4F31-8A9E-F641AC2C54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70" stopIfTrue="1" id="{7C4D2D24-F2D1-428F-A7E3-0C2400E6F1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69" stopIfTrue="1" id="{EC4CC2B7-2E19-4D56-8768-C8A601D2B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68" stopIfTrue="1" id="{5766D33A-CF80-409A-A0F2-8EBE5A31E8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67" stopIfTrue="1" id="{E203786F-6564-461C-8C12-685DA0778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66" stopIfTrue="1" id="{7C35A130-A601-4EB5-AFB9-D0010FC520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65" stopIfTrue="1" id="{8044E492-E9DD-4321-B742-C75BADD0C7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64" stopIfTrue="1" id="{7C1A8518-DCB9-4AB9-811E-107DC448E3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61" stopIfTrue="1" id="{7BC21123-A509-45D1-A2AC-5029767137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60" stopIfTrue="1" id="{B034F5B6-1E8D-47DF-85A3-1181120FE0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57" stopIfTrue="1" id="{9A1706BD-7BE7-4DC4-96D7-C855AD26F2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56" stopIfTrue="1" id="{DF3C52FF-E04B-45A4-AF86-1B421EE21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55" stopIfTrue="1" id="{42A4C48D-A11F-4D41-91DE-1E5487A53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54" stopIfTrue="1" id="{6EF89FE4-5CE4-473B-B3BB-ED6BC2CE0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51" stopIfTrue="1" id="{D7375B38-6F2C-4B12-A777-9A13F58811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50" stopIfTrue="1" id="{51849AF7-374D-48F5-B645-F94E1E49B6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49" stopIfTrue="1" id="{6751E3B6-4C94-4C13-9D85-1173ACCAFA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648" stopIfTrue="1" id="{779DBECD-A3C2-479E-94C4-CFEBE4DD1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6647" stopIfTrue="1" id="{6F3C9B84-5BCA-4EBA-9DF9-386818B3D7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46" stopIfTrue="1" id="{D7075229-6918-40DD-954A-0552DB88DE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45" stopIfTrue="1" id="{96038D02-6AFA-45F6-AC01-9A3E640DC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44" stopIfTrue="1" id="{07D002E7-5DC1-4671-A32B-C4B1292BBF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43" stopIfTrue="1" id="{93FB3C2B-D12B-45A9-9C13-8F3BB8687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42" stopIfTrue="1" id="{FFBE8CA3-71EB-46F3-BF60-1C25835075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39" stopIfTrue="1" id="{92EBAA0A-AC57-433D-B10A-45DD75B99C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38" stopIfTrue="1" id="{FB971EA2-5C64-4555-89E1-12E84DD964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35" stopIfTrue="1" id="{10239EDD-78CA-4395-AF27-B515766970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34" stopIfTrue="1" id="{8ADEB3AC-5DD9-421B-87A2-69DB71AD8F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33" stopIfTrue="1" id="{2EE7424B-F63F-423F-846A-4504415FAA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32" stopIfTrue="1" id="{527C15AE-2EF8-474C-AA8B-146CF89A3F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31" stopIfTrue="1" id="{F4F61D76-D1F1-453A-832A-0087DF1B59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30" stopIfTrue="1" id="{B6970C76-C3EC-4CE0-97A7-9E283EE399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27" stopIfTrue="1" id="{65C69CDC-02C6-4BAC-B584-15630CA72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26" stopIfTrue="1" id="{FC9C9A50-B709-4847-936F-D498166E28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25" stopIfTrue="1" id="{454EDFDB-7D03-46E5-ACD4-2D1C3157F3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24" stopIfTrue="1" id="{A324FC1F-A1AB-4806-B02A-8A6650D94A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23" stopIfTrue="1" id="{367BCD5B-DF35-4EBD-87BA-70C27A4DFC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22" stopIfTrue="1" id="{0C3CAD9E-7C4A-4E23-AEEF-6ED96BBF3C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19" stopIfTrue="1" id="{37C80DF6-4DFD-4EEF-91FA-DF8B0B122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18" stopIfTrue="1" id="{92ED2311-4E6D-477B-BA70-D1DCC84BB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17" stopIfTrue="1" id="{DB7466D0-CA39-4752-BF9E-7BE1AF37CA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16" stopIfTrue="1" id="{1597F589-7D86-48F9-9F49-3D2D48E613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15" stopIfTrue="1" id="{F1B9591A-069E-4D7E-B6ED-3D5FCBCBAC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14" stopIfTrue="1" id="{22B7258A-34A7-42AE-BCD5-19D370F522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13" stopIfTrue="1" id="{206AD0DF-5C29-4576-9CC1-2409AE1248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12" stopIfTrue="1" id="{74CB5801-A8A8-46A3-A311-C21730455A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11" stopIfTrue="1" id="{BC6F1D8F-AF4D-4213-B73B-07FE293BA9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10" stopIfTrue="1" id="{18819A97-91A1-44E0-AE58-2511BCAB15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609" stopIfTrue="1" id="{D7D5F966-7F3E-420F-8BD3-9407AD3F5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08" stopIfTrue="1" id="{69D04C11-6061-43EB-9958-BF223A0AB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07" stopIfTrue="1" id="{ED968424-9717-4975-9D1F-16048C163B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06" stopIfTrue="1" id="{D558FDE5-1E66-4E63-A625-0EB16E29D2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05" stopIfTrue="1" id="{EB2BE05F-A260-4102-8CBB-6445D0AF7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04" stopIfTrue="1" id="{3B9BDE72-A30C-4B4F-B6C5-8EF7EEE866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01" stopIfTrue="1" id="{C5E2E585-ADE0-433D-A86F-3B3750075D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600" stopIfTrue="1" id="{B2FC3F2E-60B0-4E51-AA25-E33DF789FB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599" stopIfTrue="1" id="{D148172B-E2E5-40AC-9EF8-7160C29DE5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598" stopIfTrue="1" id="{03AEC712-AFC3-4176-8572-920FEA65BF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597" stopIfTrue="1" id="{4B8761C4-F9E8-4AE4-8066-EAD3A50F52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96" stopIfTrue="1" id="{64142D34-46A5-470F-B0D8-8C217E31AF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93" stopIfTrue="1" id="{265058C3-210B-472F-930D-F9861F05BC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92" stopIfTrue="1" id="{65FAD89D-4D82-44AC-99F4-990E740AC0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89" stopIfTrue="1" id="{9E67F86F-7FB4-48AB-A7D7-C0706CB41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88" stopIfTrue="1" id="{B1CF2F63-0DC3-4B7C-8EFC-DD70E22A82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85" stopIfTrue="1" id="{ED2F5312-A222-4C18-8AC9-2D6770A6A3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84" stopIfTrue="1" id="{38E98275-2349-453D-995A-5041AEB172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81" stopIfTrue="1" id="{566D4BD3-63A9-4BE8-9496-9C85733127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80" stopIfTrue="1" id="{F457AC83-07B2-4F67-9F19-DAA632902A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79" stopIfTrue="1" id="{60700274-0813-443B-8114-39FBE0B79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78" stopIfTrue="1" id="{22E94558-FD57-4D59-92EE-746DEBA372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75" stopIfTrue="1" id="{4C74724A-91F9-41CB-B374-41382D9A62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574" stopIfTrue="1" id="{1895276D-627A-4E5E-9832-BBB2B383AF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573" stopIfTrue="1" id="{D1B6554A-FEF0-45A5-81F3-E52B4F001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572" stopIfTrue="1" id="{5181F897-1155-4005-AE76-2D579D4616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571" stopIfTrue="1" id="{16888E4E-1300-432A-8913-362575308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570" stopIfTrue="1" id="{2F135ECC-CB7E-4FEF-9930-F0F50BDFA8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569" stopIfTrue="1" id="{75F3DAE7-F6F4-4ABC-90C0-6F277027EC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568" stopIfTrue="1" id="{28528A8B-FF72-4195-859B-992E97A515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567" stopIfTrue="1" id="{33C7A929-8A93-4F07-A1DC-923097268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566" stopIfTrue="1" id="{8D0AAF69-40F7-4404-A6A8-7C1F1FC07D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565" stopIfTrue="1" id="{99BEBD0F-ED5A-4E3F-9CB3-BCF7266558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64" stopIfTrue="1" id="{2398A6F7-F72C-421C-909D-F48946279B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61" stopIfTrue="1" id="{42BF0D08-80B6-4C58-B175-0441CA59EC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560" stopIfTrue="1" id="{E8F7EB32-2A23-444A-9ED5-E039851452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559" stopIfTrue="1" id="{804AC23E-E090-4C85-BB4B-8DCD4383DA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558" stopIfTrue="1" id="{A9526F16-5866-4ED4-9470-EA40C86F97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557" stopIfTrue="1" id="{8BC1B1F2-BD64-4409-8534-F089CCECD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56" stopIfTrue="1" id="{0BE62594-5C41-4767-BD27-F1A227A7A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53" stopIfTrue="1" id="{42D341F0-C7F4-43D4-B5B7-3D424B3633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52" stopIfTrue="1" id="{959141F1-ECC2-40FC-A731-49FE48C718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49" stopIfTrue="1" id="{7DB14427-05AC-4973-8255-216960C33F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48" stopIfTrue="1" id="{F16CE076-7936-4881-ADF7-D8BFC4D905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47" stopIfTrue="1" id="{EB1E04B1-445D-44A8-8168-E8701D8DD3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46" stopIfTrue="1" id="{CC79C924-3DD1-4F53-8AB7-8F5916BF62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43" stopIfTrue="1" id="{0703D530-86D0-45D3-84BA-321F688E4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42" stopIfTrue="1" id="{6755D32A-31AD-41FD-B49E-CD8F8D1CC5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41" stopIfTrue="1" id="{A73A0A70-147A-4F8C-AF3C-E24FEE1E4B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40" stopIfTrue="1" id="{AEDEEB75-C0AD-48EA-8D2C-E89C46C64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37" stopIfTrue="1" id="{0C53E892-9596-4928-9704-E676E82D87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536" stopIfTrue="1" id="{3141DE97-84C8-49B8-95E5-7842BEF615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535" stopIfTrue="1" id="{B41AF9E0-E23E-4763-9CA8-71966CF8D7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34" stopIfTrue="1" id="{A2CF77B4-61F8-4CE8-8A61-131BC4B318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33" stopIfTrue="1" id="{F93EC791-EA82-4BD6-82A5-53EFFF89A1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32" stopIfTrue="1" id="{5B0B1911-E146-43D2-B660-468900311F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29" stopIfTrue="1" id="{4B371847-61F0-4165-B929-F270E83416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528" stopIfTrue="1" id="{C573F856-70E4-46CC-A36F-B7CA3E0810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527" stopIfTrue="1" id="{84B9953C-FC65-481B-A904-23D3D3223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526" stopIfTrue="1" id="{4DE4FCCE-E26B-4FCF-9FDB-0BAF96A6D2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525" stopIfTrue="1" id="{91AD695C-97BA-45B4-A4D6-5E946DA9D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24" stopIfTrue="1" id="{244FD14B-12A2-4FB7-8BAB-B98C58968C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21" stopIfTrue="1" id="{D152F50E-C4AD-4E4B-9A93-AC2A882064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20" stopIfTrue="1" id="{304443D2-02F5-4AF8-8649-BC2C2F5445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17" stopIfTrue="1" id="{C6988501-3C0E-41E8-907D-11A97C63C7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16" stopIfTrue="1" id="{B04AD4FE-1041-40AE-BF87-F2469A7FA4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13" stopIfTrue="1" id="{2E5D2A38-F2E8-4C3F-9B6D-5CE1BC3C23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12" stopIfTrue="1" id="{C9EA660D-6259-4847-B91B-B3B371430E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509" stopIfTrue="1" id="{20D4EC8C-8760-42AD-AABA-BDC744498E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08" stopIfTrue="1" id="{1609E438-6E65-458F-8297-97C1375B44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07" stopIfTrue="1" id="{06577537-DD11-4150-B60C-C70A965E26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06" stopIfTrue="1" id="{854BF5F9-724B-4EA5-8905-F2CADB9B8D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503" stopIfTrue="1" id="{45386151-B10F-49A9-B595-E95B8D18AB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502" stopIfTrue="1" id="{5D4F4B93-039B-43F8-B16A-3E2798C8E0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501" stopIfTrue="1" id="{01235FAA-7483-40EA-87D6-28835182C1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00" stopIfTrue="1" id="{C74EDFB1-FC9E-4160-9A85-37CF14CA38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99" stopIfTrue="1" id="{95AA5730-DA5A-4696-AB8B-924857ABA6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498" stopIfTrue="1" id="{8DEA27E2-7A23-40E1-84A2-6AF050190A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497" stopIfTrue="1" id="{CE932B61-899B-4933-BA57-3AF325EEC6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496" stopIfTrue="1" id="{7EF668CD-1259-4ADB-B30A-4EE695E168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495" stopIfTrue="1" id="{97E38C4E-867E-410E-A3C8-EAEE9EEF2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494" stopIfTrue="1" id="{ABABEAF8-4FEB-464E-83B8-76D5139577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493" stopIfTrue="1" id="{822D931D-F4DD-4C66-8BBD-C28EF65291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492" stopIfTrue="1" id="{F5B6C281-D447-431B-B52D-0E2007CB96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491" stopIfTrue="1" id="{505F4909-E565-4314-B259-B7F33E61CD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490" stopIfTrue="1" id="{E1E96C61-153F-4EA6-9050-B901275BC1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487" stopIfTrue="1" id="{A954B77E-0E1C-4D36-87BB-C919FD5692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486" stopIfTrue="1" id="{B7F63F61-C95D-4543-AFE6-D3BBE3BCD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483" stopIfTrue="1" id="{513F436C-990B-4B43-A729-BEF383725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82" stopIfTrue="1" id="{D9A96783-B124-458C-8F69-767F898DC0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81" stopIfTrue="1" id="{AA04F07D-97D6-4319-9E58-32C43AC69A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480" stopIfTrue="1" id="{9593A50F-C2F4-43AC-B008-A7E02C7A3F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477" stopIfTrue="1" id="{AA23A66F-36AD-43B2-A496-4F6ADCB7BE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76" stopIfTrue="1" id="{5691203C-2435-4FC3-B90D-4D2F27CEA2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75" stopIfTrue="1" id="{C736C560-3C77-4E7D-B994-6909B0411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474" stopIfTrue="1" id="{4EC60328-F6E6-49EE-A655-75AE8F38CA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471" stopIfTrue="1" id="{71030EA1-0FAA-4B97-B4B7-569B7E8787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470" stopIfTrue="1" id="{DBFF7B66-E1CF-47FA-B011-BFEBFDD03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469" stopIfTrue="1" id="{C449ECCA-2E35-484B-B911-E27CD6C765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68" stopIfTrue="1" id="{57B225E6-4773-4A57-82CA-D78E64D309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67" stopIfTrue="1" id="{1620AFE9-2102-4B7D-9F5E-1B5027833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466" stopIfTrue="1" id="{D5188164-A6B0-4BCF-B54D-FEE0E4682D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465" stopIfTrue="1" id="{FC19AD1D-68F5-4373-A7F0-18FBF1543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464" stopIfTrue="1" id="{5A8741D1-9F9D-4B45-A084-EEAEB1CE40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463" stopIfTrue="1" id="{D332EFD9-9FA1-4256-B580-F5A55BB351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462" stopIfTrue="1" id="{7508C86C-489E-4AC5-9A38-09A4DBBC0B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461" stopIfTrue="1" id="{0096C038-EF36-4E2D-8C1D-4A62AEA214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460" stopIfTrue="1" id="{1F8372E5-EB7E-494B-9853-9D51FE286C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459" stopIfTrue="1" id="{4495D93B-5F6B-43F0-9007-CF569ADA03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458" stopIfTrue="1" id="{74481E0F-CED8-4903-A29B-95C082D042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457" stopIfTrue="1" id="{C210EC0C-0FDE-4ED9-9216-011F685398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456" stopIfTrue="1" id="{C9E3A1FA-E085-4782-907B-277889D247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453" stopIfTrue="1" id="{E790482B-BDCC-4817-B7D2-E731C31AD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452" stopIfTrue="1" id="{B3DE4798-BC67-4037-B336-AFB22A3A28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451" stopIfTrue="1" id="{9E3A9216-9CD2-49F3-9BB8-0CF6C7BC1D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450" stopIfTrue="1" id="{71BA33A6-2BBC-4BC9-B853-66DEFF4668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449" stopIfTrue="1" id="{FED2D15C-9549-4678-A0D7-2674C500AD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48" stopIfTrue="1" id="{3AF165B1-9175-4E36-B2C9-EC39E9B920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47" stopIfTrue="1" id="{4FFFAFB5-CC27-46D1-9AFB-E83837EA58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46" stopIfTrue="1" id="{CDFCBA50-0E89-44ED-B7E4-6239FC349B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45" stopIfTrue="1" id="{AD899378-FD6F-4060-8026-8BAB4EF7C2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44" stopIfTrue="1" id="{F9EE6420-EF7C-4D06-BA90-749E8B02A8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43" stopIfTrue="1" id="{607955BC-3E6E-46AF-A339-A37FF90D9C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42" stopIfTrue="1" id="{02F265F6-86BA-4453-939F-866385ECA6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41" stopIfTrue="1" id="{B8257923-2651-42EE-A44A-AEC14B55E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40" stopIfTrue="1" id="{31509E46-80A9-4FF2-B686-55155EB142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39" stopIfTrue="1" id="{B8887CAF-1E50-49CF-BC91-B1694C948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38" stopIfTrue="1" id="{44B073A2-447F-4F85-916F-43658521C2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37" stopIfTrue="1" id="{1E1913D1-A02F-4482-BEDC-EAA95AC99E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36" stopIfTrue="1" id="{967C4CAB-B056-4DB3-8656-A59BD0CA2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35" stopIfTrue="1" id="{B4DC115B-A64A-44EB-A162-921A046F24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34" stopIfTrue="1" id="{73E02D25-8C76-4CA5-BD5E-CFB1E635CF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33" stopIfTrue="1" id="{C78B9372-5063-4E8C-9661-8B5A989606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32" stopIfTrue="1" id="{213C2731-E505-4DBB-B086-BACFB4EB81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31" stopIfTrue="1" id="{C8E10DFF-2BD2-4D25-8D8D-196E543F06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30" stopIfTrue="1" id="{024E119D-7314-4BC6-A8E1-B6E0FF38EB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29" stopIfTrue="1" id="{38177E5D-E949-4ECB-9AD0-45CDA82A5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28" stopIfTrue="1" id="{EE358361-D2FC-48A8-B817-ED289F465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27" stopIfTrue="1" id="{89AF21F1-43BB-45FD-B0B1-F5785047A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26" stopIfTrue="1" id="{76840E7E-86AB-4B30-BBE7-FAEF4C845E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25" stopIfTrue="1" id="{F444B0B7-6504-446C-9823-CA1543CEB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24" stopIfTrue="1" id="{9C1EAA65-0CDB-457A-88B9-56557EB5AC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23" stopIfTrue="1" id="{8F56A99E-C3D8-46A0-93FD-31F94FAA22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22" stopIfTrue="1" id="{2C671250-4A98-486D-A6A5-C7A2E613C7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21" stopIfTrue="1" id="{39793C05-3680-4C5E-A4B5-F5CB8A0015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20" stopIfTrue="1" id="{DEFC497E-72EA-49F9-83E7-63C1494D3F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19" stopIfTrue="1" id="{A8A0A407-7537-47DE-BCB5-FD477327F5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18" stopIfTrue="1" id="{B1986210-8634-4E60-BC14-58702E4AD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17" stopIfTrue="1" id="{9BA57C0C-11CB-45DD-859E-30ABA18902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16" stopIfTrue="1" id="{CEFE2E0A-BBFC-4F41-A23A-8846138DF0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15" stopIfTrue="1" id="{50B24C89-5839-4C14-81EE-C756830281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14" stopIfTrue="1" id="{9C2839BB-3750-49FC-8F9F-B12E3F0B5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13" stopIfTrue="1" id="{E62C1E43-EB03-4E0A-B98C-45B580E7B5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12" stopIfTrue="1" id="{949E1383-1526-4D9B-B00C-4433629896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11" stopIfTrue="1" id="{0CAA6915-504D-438D-93AB-15CEF5C5B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10" stopIfTrue="1" id="{65CC5563-A3C4-4A35-AA9C-3F591D80AD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09" stopIfTrue="1" id="{E819A391-87FB-427C-A5D7-072F5EEF44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08" stopIfTrue="1" id="{197C17D2-58E4-4A49-8216-74CF3F9C0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07" stopIfTrue="1" id="{C725C786-62AB-4B0A-B88B-EBD73324E9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06" stopIfTrue="1" id="{8AEECB91-AB37-4D15-9FFA-AD6B453322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405" stopIfTrue="1" id="{F6AF01AF-891A-4FF3-BA23-16D32C5462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404" stopIfTrue="1" id="{7F5C57EE-B9E0-4194-9FFB-10B700BA2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403" stopIfTrue="1" id="{C3FDA292-0396-4603-A326-3A85677B4B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402" stopIfTrue="1" id="{7A374D74-E405-4440-ACF5-69C93ED310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401" stopIfTrue="1" id="{D3B71142-1BDC-48BB-A2A6-73701EB672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400" stopIfTrue="1" id="{65623504-C872-4FFE-BC73-240C4AF290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99" stopIfTrue="1" id="{650D1B16-9B53-4B6A-9545-8B125AFD21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98" stopIfTrue="1" id="{317F90DD-8664-4D20-9CD5-C8B92C749C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97" stopIfTrue="1" id="{5F558ABD-D98F-4BCA-9CE6-17D82064E6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96" stopIfTrue="1" id="{CBC44FF1-26BF-48A0-9171-407C148EC1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95" stopIfTrue="1" id="{F14ECCDD-818D-4DA2-AF11-8AEE54E19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94" stopIfTrue="1" id="{0E6932B1-93F5-487C-8FF9-E79A066206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93" stopIfTrue="1" id="{D8FA14CA-7BB0-4B75-904E-B5EAB43D6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92" stopIfTrue="1" id="{FDFBD20B-DA62-475C-AFD7-DA73E98FC8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91" stopIfTrue="1" id="{6B1EAA70-26D7-40C6-A21F-1C15132FA0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90" stopIfTrue="1" id="{B68EB240-D39F-46F0-B4B3-042953E59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89" stopIfTrue="1" id="{1FB1D3CB-9EE6-4325-B3CF-18BBB0EB48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88" stopIfTrue="1" id="{3255D660-3CD7-43A5-A51C-257F441DCB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87" stopIfTrue="1" id="{04456052-8079-4546-92D0-F9EF0A6CC2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86" stopIfTrue="1" id="{1CE00F6B-618E-40CC-8DB5-842C3AC12B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85" stopIfTrue="1" id="{DF55B35C-C1ED-4A95-A35D-9B28C57812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84" stopIfTrue="1" id="{F95091B6-C5EF-4B67-9665-7C787F3809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83" stopIfTrue="1" id="{E31C0601-1C21-476E-8230-1F00B7149E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82" stopIfTrue="1" id="{C4244F80-5FF6-4A1C-85E8-782F1519EC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81" stopIfTrue="1" id="{A10AB94E-C2BC-4ABF-8128-81F98E3984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80" stopIfTrue="1" id="{DF4C2C8A-D4AB-4E38-9F59-A86286E39B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79" stopIfTrue="1" id="{126681FF-7216-478E-8195-A9472D5B2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78" stopIfTrue="1" id="{C2564958-976F-4DEE-8651-20FC34A5CB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77" stopIfTrue="1" id="{FB767818-2CDB-48D5-8244-3ADF74F4A4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76" stopIfTrue="1" id="{C7FD6248-98B2-4F69-B9A1-3B4788F0F4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75" stopIfTrue="1" id="{71135208-3EF0-4105-ADC6-D16E9BCC31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74" stopIfTrue="1" id="{0D717A7A-492A-4DF6-9B95-E722BC522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73" stopIfTrue="1" id="{712CF376-E936-4C97-A3E8-11B9B7A11F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72" stopIfTrue="1" id="{D673442C-3245-4B6C-9DC0-1891D52D00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71" stopIfTrue="1" id="{E78483DD-E32E-4E6D-9A4A-6C2EA3D856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70" stopIfTrue="1" id="{93566C98-BC4F-4504-8AD9-F42F3DEE08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69" stopIfTrue="1" id="{F3BD4EA0-B997-472D-8136-EC950E7BC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68" stopIfTrue="1" id="{D2AC2856-EED4-4778-862D-FF248FB52A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67" stopIfTrue="1" id="{028D200D-0A66-4DD1-ACF4-DEF1207B65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66" stopIfTrue="1" id="{AD4316EB-4153-4EF9-B411-43E0E4ACA5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65" stopIfTrue="1" id="{AE8E458C-275A-445D-BE9F-4374B8775E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64" stopIfTrue="1" id="{D06CEC1F-C770-49F5-B5A3-13ABA43695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63" stopIfTrue="1" id="{64C6E1B7-6AED-434C-8437-9A91D63A36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62" stopIfTrue="1" id="{97E3EF4F-2F38-4F7F-9FA1-A0C3CBEDBF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361" stopIfTrue="1" id="{9A8D44AA-7BDC-4355-967F-B932A8D23C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60" stopIfTrue="1" id="{AC88AD61-FC0E-4B45-B5FB-68DCC335C5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57" stopIfTrue="1" id="{8C8A42FE-085B-44EA-B0A9-74C62DB60E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56" stopIfTrue="1" id="{9C754E41-7347-456E-BF5F-F36A17A715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53" stopIfTrue="1" id="{5E198DA5-D1E1-4890-A32B-DE8325BD3F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352" stopIfTrue="1" id="{A316813C-83FA-40D4-AE01-207859BCCF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349" stopIfTrue="1" id="{90671B1E-B53B-44A3-A179-4FD81A1C7D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48" stopIfTrue="1" id="{E9439B6F-2947-4019-88CC-7FCFFD506F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45" stopIfTrue="1" id="{6CB9B7DD-96C1-4CDB-8647-38DDE19D23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344" stopIfTrue="1" id="{B15D882D-169E-43B0-9EE4-6878DD72A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341" stopIfTrue="1" id="{0931F459-BEF1-49B9-97D0-5CC5B931DA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340" stopIfTrue="1" id="{93C6DBC7-9959-4CAA-B80C-AAD45F1D02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337" stopIfTrue="1" id="{10756FBD-7544-4BEB-A445-34086BD70A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36" stopIfTrue="1" id="{7F375B51-9BD9-430D-B1DE-DC7C22055E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35" stopIfTrue="1" id="{70FF7DD8-0195-42A9-8816-9309ABDD10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334" stopIfTrue="1" id="{D5341CFB-1CBE-40EF-96BA-613BF38569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331" stopIfTrue="1" id="{47CA83E3-E8E7-48BC-A508-B49BA47861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30" stopIfTrue="1" id="{4000E145-4BBF-4A9F-9C48-23DE892EF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29" stopIfTrue="1" id="{7DC3B6AF-6570-4BAD-B7A9-9F4493E0F4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328" stopIfTrue="1" id="{A6EFE61C-C596-45C9-88B1-FB4B0E0461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325" stopIfTrue="1" id="{9AD113FF-8558-4F6F-A6E7-8F3F721A1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24" stopIfTrue="1" id="{DF8AD190-BB21-46E6-BA86-8520D836D1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23" stopIfTrue="1" id="{2BC99B00-F30B-4411-BDE4-7A272284E8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22" stopIfTrue="1" id="{EEAE45D0-E78F-4437-9871-A4BB648D2E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19" stopIfTrue="1" id="{2B15A474-1DFA-4A1C-8E46-00817E4124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318" stopIfTrue="1" id="{E00FE715-6C1F-4E81-974F-6D1E9C8F41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315" stopIfTrue="1" id="{74E86F2D-90B2-4A88-AA3F-B5F5295522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14" stopIfTrue="1" id="{2C542960-51D3-4EB8-8781-0C3F26E29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11" stopIfTrue="1" id="{0A5E57C2-D443-4AD6-8B6C-7B03D5D182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310" stopIfTrue="1" id="{E867F144-2995-488E-A3E0-9FBC653175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307" stopIfTrue="1" id="{6266DFD8-2A1E-4242-B816-E6D0A91E37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06" stopIfTrue="1" id="{71154BC1-42F5-4A97-A193-C257D37CD6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303" stopIfTrue="1" id="{4FDAAB7F-32EC-48D8-91B1-E9B7F90346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302" stopIfTrue="1" id="{FF2B32F0-792E-4864-9D78-84A25E9470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99" stopIfTrue="1" id="{639DB6C4-8033-4025-A4BD-334A62629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98" stopIfTrue="1" id="{F2CACEA9-47B6-44F8-AFD9-EE62AC41B2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95" stopIfTrue="1" id="{004ECFFE-3D4D-4C20-AB9E-31A9B25A7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94" stopIfTrue="1" id="{A106C3B9-A042-472D-9868-98EAEF8DB5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93" stopIfTrue="1" id="{1FA6D135-EA7E-4A43-B22D-D9D9FD449E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92" stopIfTrue="1" id="{1EC1A743-EB01-4598-A285-CC46AE523D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89" stopIfTrue="1" id="{2A12E9DB-8235-4CE8-838F-1131559086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88" stopIfTrue="1" id="{6BE6F78D-06A9-4EF4-BECA-051CBBD08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87" stopIfTrue="1" id="{A4B7F44D-7AB5-4B97-9BA0-F54814441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86" stopIfTrue="1" id="{2C6F04E6-8CBE-4319-9344-EBA3E7EB3E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85" stopIfTrue="1" id="{17A95405-23B5-4A0C-8E9D-B60FF9E36E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84" stopIfTrue="1" id="{4C59A05B-5384-4AD1-9BA9-CF8F91D70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81" stopIfTrue="1" id="{C5735624-EF05-42BF-A599-E293A25602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80" stopIfTrue="1" id="{117BAA3B-E048-4622-B7E6-9534047F02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77" stopIfTrue="1" id="{61784DB9-7922-4039-8A4C-597A2CDE10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76" stopIfTrue="1" id="{2883D0FC-655F-4CFE-BA3E-CBA6242D7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75" stopIfTrue="1" id="{DAD50655-D72D-4CA0-96BA-8465B35A76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74" stopIfTrue="1" id="{B62CBC2B-033D-43FA-A103-6D4325D77C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71" stopIfTrue="1" id="{09CCDF93-128C-4752-906A-554B6AC9B7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70" stopIfTrue="1" id="{35D7FEE0-BD5D-4D0E-BBD7-DAA1FDEB99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69" stopIfTrue="1" id="{4E5C16A3-E06D-42BC-856A-3613A13179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68" stopIfTrue="1" id="{811255B1-C111-4BFB-B8FC-31C345BEE5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65" stopIfTrue="1" id="{12936F94-A94B-4E4C-9101-2FD3EC732C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64" stopIfTrue="1" id="{FA5B4FA5-682D-4FE5-A028-177A1F5D7A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63" stopIfTrue="1" id="{8855FAF1-4473-48DB-B72E-D4E7C0214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62" stopIfTrue="1" id="{69AAE05A-ABCD-4B53-9099-6A29EF429B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59" stopIfTrue="1" id="{7A45C352-87F8-4BDC-B118-CBCEF9B90D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58" stopIfTrue="1" id="{5C401784-67A7-442E-8A2E-121293574A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55" stopIfTrue="1" id="{F5A0301D-F18F-42C7-9204-C458C1E9F8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54" stopIfTrue="1" id="{3FE1058A-840E-44FE-9A0F-E3539CAD44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51" stopIfTrue="1" id="{7D70FE0D-34DF-469C-9665-9649E5D227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50" stopIfTrue="1" id="{7CC14B84-C5D1-4512-B5AF-0ADA05A35D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49" stopIfTrue="1" id="{FE93FA2E-0231-4CD8-AA74-8B15EC2B81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48" stopIfTrue="1" id="{04111576-D336-4495-888D-BD17BBB975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47" stopIfTrue="1" id="{3A9C0B40-9B7D-4DE8-94D9-1DD7A07B4B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46" stopIfTrue="1" id="{2BD5A198-AF09-499D-A1B3-B74ED56254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43" stopIfTrue="1" id="{A46DB5E9-4E54-47BE-94B9-BB03FC73B2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42" stopIfTrue="1" id="{4D25F42E-3F49-478E-811F-3EE1401945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41" stopIfTrue="1" id="{AFDBC8FF-6BE0-4058-BC50-E77371716D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40" stopIfTrue="1" id="{91EE771A-7329-48E7-A714-4A597E69B5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39" stopIfTrue="1" id="{27CD8F46-9B7E-49BF-800D-4C7DC3E609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38" stopIfTrue="1" id="{8795207D-538B-40BA-97A2-0EBD0A8435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35" stopIfTrue="1" id="{5139A47D-A9EB-45A3-928F-A274946CFC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34" stopIfTrue="1" id="{1336B1DE-CE9A-4AA4-87AB-0119A4CC67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31" stopIfTrue="1" id="{D5E44DDD-A81F-4D65-8E4E-C3F6A67978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30" stopIfTrue="1" id="{29559535-E491-42B5-9387-E87F81FDC2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29" stopIfTrue="1" id="{42E7C9E6-1836-4A39-8EC3-50D6FDF056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28" stopIfTrue="1" id="{957F8C39-EBC2-4545-B633-7FAD284787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25" stopIfTrue="1" id="{0A6A7B90-D1E8-4945-969D-4791C6A88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24" stopIfTrue="1" id="{C66A98B7-692D-4D9A-8322-DDE06E392F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23" stopIfTrue="1" id="{7BB818F3-D15E-442E-AA99-01243AE01D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22" stopIfTrue="1" id="{B5AB1D9E-AD6B-4CD0-BBB1-46B5F4852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19" stopIfTrue="1" id="{14F8C6D2-443D-4E60-A4B9-705176B601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18" stopIfTrue="1" id="{C2F3F237-77EE-4CC3-9186-5509DA0854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17" stopIfTrue="1" id="{067FCE8C-A04C-47AD-A521-7773B9160F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16" stopIfTrue="1" id="{1BA4B24C-A36C-4C04-8B14-83201AB1E6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215" stopIfTrue="1" id="{22FF154A-9E9E-4F14-A85C-3985286522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14" stopIfTrue="1" id="{0AA20C2B-C680-44E3-84BF-7B6CD8558E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13" stopIfTrue="1" id="{ACEC6A93-0D9E-48E9-9F31-77F145C1AE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12" stopIfTrue="1" id="{B09F9E72-6573-436B-AD15-AD1555485C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09" stopIfTrue="1" id="{9B3BE271-4264-4BAE-8AF7-F686CF1B42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08" stopIfTrue="1" id="{36496534-0B75-4C08-BAD8-CA4209D86B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207" stopIfTrue="1" id="{5F469829-9A5F-4CED-B584-48F13CDC3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06" stopIfTrue="1" id="{11B8D52A-B2FB-4C12-B1A2-C19BDB525F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203" stopIfTrue="1" id="{0849F234-6E5F-469D-9DAF-AA0607CA44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202" stopIfTrue="1" id="{F4F5A733-5293-4A0E-971D-0EA4B31A92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99" stopIfTrue="1" id="{E478E2D2-BBBE-4DA7-8823-D1800B563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98" stopIfTrue="1" id="{2877932E-417E-4620-8722-F01761E63D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95" stopIfTrue="1" id="{01A1556A-CC20-4294-8BEE-DA75F392C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94" stopIfTrue="1" id="{8B1089B7-D7EF-41B4-A47E-E30430C306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91" stopIfTrue="1" id="{076137B5-8012-4A33-A482-B0B27D904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90" stopIfTrue="1" id="{A9807C77-6D67-4B3F-B3D0-FB38D8B25C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89" stopIfTrue="1" id="{289BDA84-FF85-40A9-9049-1A98C0A5C1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88" stopIfTrue="1" id="{7AFBD719-78D5-44C1-85EC-20579F60D7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85" stopIfTrue="1" id="{027A0FF3-0CA4-48AE-AA8A-B9B191C6E9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184" stopIfTrue="1" id="{70F601EE-84E8-458A-81A2-4C182C136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183" stopIfTrue="1" id="{5A953382-F4C6-4965-882B-9F76CE0CBA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182" stopIfTrue="1" id="{08C2B7B6-687B-4874-B464-9888E0BC74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181" stopIfTrue="1" id="{B6AA1DFE-7C3F-41EA-8909-656B300D15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80" stopIfTrue="1" id="{2AB09527-4B8F-44D5-8C6A-237202E071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77" stopIfTrue="1" id="{3E15CEB8-A0CE-42B2-93B8-4BE85274D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176" stopIfTrue="1" id="{B3A7B1A1-A847-4C45-B087-DA49BFE65F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175" stopIfTrue="1" id="{AED43805-4789-4166-92A0-E261FD5166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74" stopIfTrue="1" id="{EF6EB7DB-E8E1-44FD-B7EE-07C844EA4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71" stopIfTrue="1" id="{4352BA29-7A08-4E2F-8F57-02DAE2A60A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70" stopIfTrue="1" id="{66B2ADF3-4D2C-4B0F-A645-D43D524FC6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67" stopIfTrue="1" id="{DCA1F759-AA56-453A-8BE5-0FB71901D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66" stopIfTrue="1" id="{1EF30911-31B2-4DAA-9ED3-B77376616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65" stopIfTrue="1" id="{C2175045-D050-45F4-84DB-38473FA24E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64" stopIfTrue="1" id="{1BCB8B10-7C86-438E-971E-15F66C3DF2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61" stopIfTrue="1" id="{4A99B702-7D11-4AAA-9A35-E4CD543805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60" stopIfTrue="1" id="{F5A2FE64-A1B1-446C-BF33-F08F0F141A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59" stopIfTrue="1" id="{784DE663-E302-4E57-99EB-94B665C37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58" stopIfTrue="1" id="{0E25B44E-0FFD-4D62-9501-0D35A56EFC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55" stopIfTrue="1" id="{B7899FC4-906B-433E-A4EB-DC421FD4A3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54" stopIfTrue="1" id="{90BCE3DA-7FE4-453A-85F5-464BE591B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53" stopIfTrue="1" id="{DB425A75-9C1E-4F2B-A488-6D37806126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52" stopIfTrue="1" id="{88052EA7-7716-4097-909E-7F1E050152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49" stopIfTrue="1" id="{C111BAE0-F9C2-448B-8C8C-94DA97B575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148" stopIfTrue="1" id="{3109F3DE-96A0-4C9E-84C0-71AE5AF937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147" stopIfTrue="1" id="{E592D7D6-2A2F-45E3-AD34-3C72B89087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46" stopIfTrue="1" id="{F5389680-776C-4615-B847-8BE2547190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43" stopIfTrue="1" id="{933CE9C3-2523-4284-B5FA-94E9A2CB91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42" stopIfTrue="1" id="{036B3CD1-C423-43C1-8990-86792C6288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39" stopIfTrue="1" id="{19DCB7F3-7EF3-4377-993E-B91797CC5F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38" stopIfTrue="1" id="{1FBF8460-8668-4777-BEBD-699F02F33A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35" stopIfTrue="1" id="{E97A314F-EB4B-4E6A-978D-96C119B2B6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34" stopIfTrue="1" id="{EEB3A59C-BC82-4548-95C3-44C13E0A21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31" stopIfTrue="1" id="{1D05911D-3F51-4AEC-BB46-C4A0B1F90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30" stopIfTrue="1" id="{DB760F2B-4460-4BF1-AEF1-F715ECAE56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29" stopIfTrue="1" id="{2120F09F-74FA-4012-8F79-0E8D56066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28" stopIfTrue="1" id="{B9DEE1F5-FB0C-4EBE-B01A-D9AA18E00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25" stopIfTrue="1" id="{08F9735B-E703-4994-BBB2-EBEC05903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24" stopIfTrue="1" id="{AA334AE1-030D-4F21-9644-9B5F0EBFD7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23" stopIfTrue="1" id="{91947DE0-6355-4749-83A7-2013E51FDD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122" stopIfTrue="1" id="{09882129-B28C-4BB7-B646-B06B483AC0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121" stopIfTrue="1" id="{525D6766-9E9E-4E97-A046-2DE022F16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20" stopIfTrue="1" id="{57AB978E-FB49-4579-931A-57688A256B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17" stopIfTrue="1" id="{1C70267D-55ED-4965-A0F1-31691E0838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16" stopIfTrue="1" id="{61071DD8-FA19-45D5-9464-B9BCD10F49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113" stopIfTrue="1" id="{A806DF6C-FB40-4CF3-8405-9C6FE8AC34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12" stopIfTrue="1" id="{8C9BEA06-A9B1-479A-994B-43CCDFA691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11" stopIfTrue="1" id="{E2C74C2C-8AF6-48B6-8765-F8F47E867F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10" stopIfTrue="1" id="{35402606-CF82-443F-9D42-16187BA100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07" stopIfTrue="1" id="{0E176987-D540-4711-BD94-2054C5724F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06" stopIfTrue="1" id="{673ECD67-C247-4A17-94E0-70B0CA23DE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05" stopIfTrue="1" id="{8D5E0C35-ACCE-4F8C-B961-081FBE2883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04" stopIfTrue="1" id="{513ED953-C1FB-439D-842B-A29318AE1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101" stopIfTrue="1" id="{A3528ED8-125D-406A-8047-59E4CEDDA7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100" stopIfTrue="1" id="{87940508-6912-4EB4-9293-D6B190E344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99" stopIfTrue="1" id="{5B9E7C51-1A6C-4B00-BD68-D9CA4F56EE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098" stopIfTrue="1" id="{AE949282-9ADF-4A38-8E79-4AB11511D6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097" stopIfTrue="1" id="{4449BC9E-09BA-4C74-A697-EDF02097FB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096" stopIfTrue="1" id="{99D65DE2-632B-4F41-923F-7ED07064F3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095" stopIfTrue="1" id="{9EA46A42-C90A-41BD-90DC-3995547D17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094" stopIfTrue="1" id="{0D87763A-4FA9-45F5-95AE-014783227E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091" stopIfTrue="1" id="{05772375-757E-4C9F-833B-6CF07AEF7E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090" stopIfTrue="1" id="{0342FF11-5D22-4568-A19F-B57F899A79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089" stopIfTrue="1" id="{C1279C2D-87F3-462B-B32C-3B3839B33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88" stopIfTrue="1" id="{02A0424C-E843-423B-A141-082C0FB231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87" stopIfTrue="1" id="{0E1676D3-DBC7-49D0-A921-79B160CD9E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86" stopIfTrue="1" id="{0AF76EB6-5019-41FA-9C32-8E3A7A8292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85" stopIfTrue="1" id="{285E1947-D743-463E-B9AF-C8E4427453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84" stopIfTrue="1" id="{B0F37EF3-31F3-4C93-AA5D-F7306BFDCC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83" stopIfTrue="1" id="{0FDB6FD7-8DB7-49B5-A51E-378E235E9D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82" stopIfTrue="1" id="{2CA558FE-3F33-456A-880E-E549F9CB55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81" stopIfTrue="1" id="{BEDBC679-9C87-4A6A-806E-CC3245E19B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80" stopIfTrue="1" id="{C596C204-9CA6-425E-A844-E8D60B0E8D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79" stopIfTrue="1" id="{74F3DC55-F4C9-427E-A8FD-85EBB66335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78" stopIfTrue="1" id="{D8C9EC79-3C82-4EB7-9219-23121F493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77" stopIfTrue="1" id="{58404AA6-3487-42B5-8136-3F4CEF9B5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76" stopIfTrue="1" id="{D71A72BD-48A5-4A15-9E45-5C8A8342D0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75" stopIfTrue="1" id="{5055335D-F2D1-4424-9704-52CCF88241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74" stopIfTrue="1" id="{E8E85460-8525-4F68-9777-B2CE6442D2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73" stopIfTrue="1" id="{5F0F83D4-4D3F-4097-B94F-00D935DC55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72" stopIfTrue="1" id="{63F01C03-0186-47D1-BEC9-618107392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71" stopIfTrue="1" id="{3663BC03-DB4C-409E-9672-9B69683878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70" stopIfTrue="1" id="{D45B5744-B000-4AF6-BD53-020CB9B44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69" stopIfTrue="1" id="{1896BE3C-344C-4846-B246-B56EB639D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68" stopIfTrue="1" id="{03C7F341-AEAC-46B8-8DF4-5D7F531AC4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67" stopIfTrue="1" id="{78E3F58A-5183-4636-8100-3A7CB7240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66" stopIfTrue="1" id="{A0BED3E1-A38E-4EBE-8B59-F9BCF663CC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65" stopIfTrue="1" id="{84795282-988A-4403-8BAD-E20B886284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64" stopIfTrue="1" id="{A7C943CB-1E50-4B02-85EA-6CD0A1C231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63" stopIfTrue="1" id="{118C2F77-F2E5-4FD7-BB7C-76B3E38AD8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62" stopIfTrue="1" id="{9B859594-8658-45E7-9CA9-1E09168B65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61" stopIfTrue="1" id="{CC2DE03F-2A70-4B81-9E55-3E38669CED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60" stopIfTrue="1" id="{6C4C86E0-4FA5-499D-B453-529A59890E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59" stopIfTrue="1" id="{0C8C260D-40E3-4447-9682-3E46614690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58" stopIfTrue="1" id="{050496F4-F21D-4E4A-8F1E-1471C19518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57" stopIfTrue="1" id="{358472EC-5F16-4CFA-86C0-5260313F59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56" stopIfTrue="1" id="{5262DE46-AE63-461C-A429-CC39B40989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55" stopIfTrue="1" id="{F197AE20-2EDA-438E-A211-D8D69F207F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54" stopIfTrue="1" id="{09D42BB0-0C97-4451-9AD8-9D1C1E9889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53" stopIfTrue="1" id="{4D04BD0F-1DDE-48B1-9063-95A6E55A6A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52" stopIfTrue="1" id="{33A3E2F4-A128-4DEE-AA41-914B4F1AE0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51" stopIfTrue="1" id="{CF9726BB-B2B8-40E9-893C-F75652389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50" stopIfTrue="1" id="{BC9E6596-ECFD-400E-AC70-2F23C62AF4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49" stopIfTrue="1" id="{3C8CC247-F154-4351-95DC-D9707E35C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48" stopIfTrue="1" id="{1F8B647C-C054-4B70-9066-2DE179AA22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47" stopIfTrue="1" id="{F2CCCE38-828F-4270-B389-39A6F931D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46" stopIfTrue="1" id="{7618547A-8C20-4AD8-8E95-8974FF4335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041" stopIfTrue="1" id="{5A7F190A-6A7E-4963-8731-A61C761641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40" stopIfTrue="1" id="{A5CF3478-228F-434F-BDD3-511A04F8DF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35" stopIfTrue="1" id="{5283C2B0-5B18-4B16-95A9-1C530FFC1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34" stopIfTrue="1" id="{931E3A8D-4751-4E48-9ED4-7D94B5BBEF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29" stopIfTrue="1" id="{CE7EDD41-64E7-427A-93B9-22A4B15A41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028" stopIfTrue="1" id="{5DF2D923-9708-4B85-A625-1F6D68D5E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027" stopIfTrue="1" id="{3ED8D6B2-3EF4-4079-8937-9674BC344C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26" stopIfTrue="1" id="{ECB1222F-FE18-4522-BDE7-99687EB14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23" stopIfTrue="1" id="{A9638911-C90E-4566-A53C-F5CA78632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022" stopIfTrue="1" id="{0D80C6C5-B34E-4226-8B27-27F23674C9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021" stopIfTrue="1" id="{C02CED3A-C3AC-4594-8A28-841E4B25BE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020" stopIfTrue="1" id="{55261310-D54F-4D1B-8551-AB4FC798EE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019" stopIfTrue="1" id="{1AFCCF7E-086A-4C39-91E4-544B499810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018" stopIfTrue="1" id="{7F75AE13-9937-4A80-A5ED-9779ECEF65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017" stopIfTrue="1" id="{F2551659-CD60-40F6-89A3-29002BD6D1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016" stopIfTrue="1" id="{442C4E0A-9B70-4357-BBD3-AD872147CB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013" stopIfTrue="1" id="{CD62A76A-06E6-45A8-90DC-30AC112DCD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12" stopIfTrue="1" id="{F9617565-C5CD-4AF9-9D22-53D4631C7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07" stopIfTrue="1" id="{5C812D7F-D905-4910-86A2-9E7086617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006" stopIfTrue="1" id="{874A9490-9448-4394-A8F1-0D5BC48E5C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005" stopIfTrue="1" id="{39A5B0B3-CBCE-4D08-B75A-7E5E40E3D0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04" stopIfTrue="1" id="{E1DDFC9B-0D86-4A6A-8B89-007CD5B935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001" stopIfTrue="1" id="{8A0701AB-3E05-442C-BD33-18808BA16C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000" stopIfTrue="1" id="{4519538C-8929-47EB-A30E-F102F94DBC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99" stopIfTrue="1" id="{0F2E0AA0-3F1C-45AE-B3DA-FE9725703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98" stopIfTrue="1" id="{33CE7B2C-5E75-4143-B590-2F285D6F3F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95" stopIfTrue="1" id="{A70BDF36-A032-4902-8167-0917D3C5D2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94" stopIfTrue="1" id="{33C41DF6-7E13-4368-AD4B-B2B23A235F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93" stopIfTrue="1" id="{BD7ED85E-1B64-434E-BFE3-56811660DE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92" stopIfTrue="1" id="{1AEA563C-6BF6-43B6-986A-CD45BD5E22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91" stopIfTrue="1" id="{EF76AD61-5573-4001-A05E-5B6AD08D85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90" stopIfTrue="1" id="{45D910D9-7B3E-4561-8C88-3247CD4926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83" stopIfTrue="1" id="{5D13D499-F813-4CA7-B184-79C60E5F95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82" stopIfTrue="1" id="{E1CB2175-4AEC-4C70-A492-E98963A338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81" stopIfTrue="1" id="{53E0779F-164A-46F4-B170-B8DDB84EB9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80" stopIfTrue="1" id="{8FC9D986-0B3B-4D25-A3B4-91C3DF425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79" stopIfTrue="1" id="{5DD77666-76FE-4F3C-9711-19F20834C3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78" stopIfTrue="1" id="{3B0F82ED-307A-4675-9C12-4CE40070ED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77" stopIfTrue="1" id="{D93926FA-A853-4CBB-BB60-09C7D2B370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76" stopIfTrue="1" id="{C5D9856C-044D-43B1-8414-926CB3598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71" stopIfTrue="1" id="{89B69205-5248-4E3B-B49F-D91F74DEEA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70" stopIfTrue="1" id="{F3739B4B-47E8-42A7-AF19-66F97BF7FB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67" stopIfTrue="1" id="{57E1E381-4ECC-4CB6-A5AD-815769D051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66" stopIfTrue="1" id="{ECCED04B-4536-46C1-BC20-94FE61FD5E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63" stopIfTrue="1" id="{7560A9A9-EC08-40DD-8A38-4B86AE0953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62" stopIfTrue="1" id="{18D47621-9FBA-4745-8E47-3A8F66755C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61" stopIfTrue="1" id="{EC82AFB2-2403-4EA8-BB72-A35225C8D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60" stopIfTrue="1" id="{E18359F1-A460-48D6-A45B-117AE8FD0D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59" stopIfTrue="1" id="{4A92F557-9CB1-449D-804F-31FAE98BF5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58" stopIfTrue="1" id="{57EE039B-341D-46BD-8B81-145FC517D7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51" stopIfTrue="1" id="{3FAD1E10-C202-42F5-B673-9C7E35D1CB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50" stopIfTrue="1" id="{6B29492F-44C3-4B8D-A06B-C7231CAB6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47" stopIfTrue="1" id="{92B1EFF4-5DDE-4C8B-B23E-96D31023AD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46" stopIfTrue="1" id="{574A5530-235A-4BEA-9590-16E03D0C16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45" stopIfTrue="1" id="{91CC2403-2B8A-4932-ACBF-965944F2FF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44" stopIfTrue="1" id="{138ABD4A-857A-4A45-9B26-B6B3989F3E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43" stopIfTrue="1" id="{EC7245A7-1098-4A3C-BD2A-9AB081C40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42" stopIfTrue="1" id="{EF3A3721-EB43-4161-8195-7AB280E9F8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41" stopIfTrue="1" id="{07968963-EAB8-4BC0-ABD4-A1CC8876EB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40" stopIfTrue="1" id="{F2AAD7AD-07D7-4A20-ABF7-F391B7ACDD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39" stopIfTrue="1" id="{F77B4C19-188C-49CD-87AE-0A7B3709F8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38" stopIfTrue="1" id="{65530447-EFAA-4250-908F-A3B54FE610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37" stopIfTrue="1" id="{697391C2-C78D-477A-9595-4E1C878D6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36" stopIfTrue="1" id="{2B832388-A0F7-410F-8B0A-A3B1153826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35" stopIfTrue="1" id="{634E50DF-5721-4B8A-99C6-C2FA05819B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34" stopIfTrue="1" id="{D36EC0CB-7786-49BD-B660-A5172EB75A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33" stopIfTrue="1" id="{0382A5B8-A8D9-4003-A38A-CA81917A2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32" stopIfTrue="1" id="{9574EF40-F07F-4D4B-95F0-68A7F9B14C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31" stopIfTrue="1" id="{CB764E1A-CA08-43CB-BAA0-5633264044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30" stopIfTrue="1" id="{AFBF971A-FC95-4132-9B0E-5B380245D9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29" stopIfTrue="1" id="{C3E9CCCD-F0D2-4383-A861-ED83B1D329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28" stopIfTrue="1" id="{E3A13FC0-4432-472B-B8E0-DEE9FCF136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27" stopIfTrue="1" id="{C441C1A5-B735-4CD0-8A7D-86E33FD33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26" stopIfTrue="1" id="{12B74BB8-D2BC-4B57-A24B-BE75AE8377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25" stopIfTrue="1" id="{25A832A7-53CE-4AA5-8A99-22702B0433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24" stopIfTrue="1" id="{4DC7B92F-1845-471C-B55F-D6C5009134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23" stopIfTrue="1" id="{9527F96B-7CB3-482E-AA87-0026260B53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22" stopIfTrue="1" id="{CF3CDAA1-31C0-413A-8B1A-7CFEB6269C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21" stopIfTrue="1" id="{48880C00-9FB1-42C0-A224-B89635A236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20" stopIfTrue="1" id="{4D7B6929-B7A0-4C90-B314-07DFF176FB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19" stopIfTrue="1" id="{CE6C4E9B-6EFE-44D6-853A-6F0AC56BD9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18" stopIfTrue="1" id="{D8836584-4B70-45DC-9D4F-344C14023C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17" stopIfTrue="1" id="{85453E54-12D6-4F94-9FD8-F2870B1ED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16" stopIfTrue="1" id="{65D2E86C-8E76-4155-953F-61A0C5DE5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15" stopIfTrue="1" id="{BA5538E9-FA81-44FE-BEBE-01E8ACB8E8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14" stopIfTrue="1" id="{6A4E2D3B-F212-46B8-80C6-DFC028385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13" stopIfTrue="1" id="{52A17DEE-1934-4013-B177-64FE559FD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12" stopIfTrue="1" id="{E8C04FE8-97C1-4960-A67B-90D8ACE353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11" stopIfTrue="1" id="{16433DC4-72C4-4DC3-9624-12BD0C17E7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10" stopIfTrue="1" id="{A9CEB563-D5F2-4466-9F47-9DA414A0CC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09" stopIfTrue="1" id="{340DFF93-2E2F-454D-AE44-0E736894BB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08" stopIfTrue="1" id="{976E4D6F-4B78-4DA7-AD4D-F97BA01CE6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07" stopIfTrue="1" id="{86F1DFA1-DD30-4D3A-94D1-6991966905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06" stopIfTrue="1" id="{41531D9F-4034-4221-A900-D33890B820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05" stopIfTrue="1" id="{4F35FC6F-FB11-4D7E-ADF2-433E7E68DA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04" stopIfTrue="1" id="{A8DE34FB-9433-48D0-913B-F12B44F6E5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903" stopIfTrue="1" id="{B8329D65-9634-4951-BF66-FC4BB25D76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02" stopIfTrue="1" id="{131ABEA2-A346-4E9A-92EA-611E11A3FE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901" stopIfTrue="1" id="{7168DDE2-69B5-4BA0-BF8D-24AEFF9E44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900" stopIfTrue="1" id="{D98334C3-9328-43C9-AE35-7C6C1CFE72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99" stopIfTrue="1" id="{B55A0559-C711-4BC2-B9F3-A199FB2AF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898" stopIfTrue="1" id="{415C70C0-6039-419E-AD4F-FCB3B6A77B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897" stopIfTrue="1" id="{0E6FB18A-BA73-4C7E-B637-F252B55F08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96" stopIfTrue="1" id="{49058C41-4DD8-4C16-9DC0-63AD9FB538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95" stopIfTrue="1" id="{08235E93-EBB1-4E5C-BAF5-0D40F9BE30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894" stopIfTrue="1" id="{7A144B4B-7B40-44E9-9187-85AC634BFA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893" stopIfTrue="1" id="{0E9E88E4-0D5B-48CE-A7FC-3AA13A0545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92" stopIfTrue="1" id="{98289325-E6C3-4C81-BF87-6051D9FC3D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91" stopIfTrue="1" id="{F1A5DFB8-8303-4051-8570-94EE9CEA3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890" stopIfTrue="1" id="{0C1AE448-EAA0-4C28-9061-DB096D7583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889" stopIfTrue="1" id="{B3E3B1B5-82B3-453C-8812-7DD7535C82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88" stopIfTrue="1" id="{DFA20343-AE07-4DEF-8FF6-1E31AF0F48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87" stopIfTrue="1" id="{EC3B0950-9252-430C-BB2C-D442F0228C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886" stopIfTrue="1" id="{1E9EC9E1-7E05-4931-AE1A-7FC6F53DB1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885" stopIfTrue="1" id="{ADCAFC83-1464-493F-AA83-85C27C5BBB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84" stopIfTrue="1" id="{7BC3D4DB-007A-470B-8971-778753DCA2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83" stopIfTrue="1" id="{86B47A40-BDD3-40F3-B961-9BF557E89F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82" stopIfTrue="1" id="{11861C70-5794-47D9-A5F7-F0F924F8A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5881" stopIfTrue="1" id="{E8ACAC60-AAD6-4902-859D-A560DA16DE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880" stopIfTrue="1" id="{475C0B62-CB69-4D43-BD22-E5691E9DFE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879" stopIfTrue="1" id="{93334135-0C8E-4D9E-819F-208B8C35A4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878" stopIfTrue="1" id="{77FD0634-1AC2-4ADF-B40C-9466CF4458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877" stopIfTrue="1" id="{90ADD521-3D9A-48A6-9E14-4C34ACDEDD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876" stopIfTrue="1" id="{0EC0020C-5755-456D-BFD6-FF0A1823F6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5875" stopIfTrue="1" id="{0420F3A2-2AD6-43CD-BCBD-DEB4CDAF57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874" stopIfTrue="1" id="{3500240C-76AF-4A7B-B1ED-00C2619589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5873" stopIfTrue="1" id="{784E143F-AC29-498F-8E9A-6A5CC12458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72" stopIfTrue="1" id="{DE41BFD0-1B7D-4FD5-81FD-482624F1B5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71" stopIfTrue="1" id="{EB292613-F184-4FF3-BBA1-C0FC4B411D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70" stopIfTrue="1" id="{CFAC8982-707B-466B-A6C9-A6B54E28A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69" stopIfTrue="1" id="{E9496010-DD5E-4EBA-84DF-B233BC07A2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68" stopIfTrue="1" id="{398B8248-3DE7-419B-9303-B2B1F28E5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67" stopIfTrue="1" id="{067A7C86-72B6-4513-80A1-3EA8B45FE5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66" stopIfTrue="1" id="{F1D9CBFC-C204-4FD4-B58B-CFD8F8BA70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65" stopIfTrue="1" id="{A44BE839-4DA0-48F3-9337-AC80CCC04E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64" stopIfTrue="1" id="{DE2FC81C-1A59-4509-B80F-A6AB5385E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63" stopIfTrue="1" id="{A3479102-580A-427E-8564-4B34AD78B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62" stopIfTrue="1" id="{7FA742E3-A946-40F8-91B1-9303618F3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61" stopIfTrue="1" id="{34BF9A5C-CD44-4A3C-AF19-C2D1EEE080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60" stopIfTrue="1" id="{F47ACC61-4B17-4B29-9B71-9325CFE0A4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59" stopIfTrue="1" id="{FDEE0503-C9DB-4BE8-941D-B917FB00C8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58" stopIfTrue="1" id="{FD854A7E-A230-4593-9568-450F31548B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57" stopIfTrue="1" id="{B7B47164-FC32-4F84-BD35-7F026C7318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56" stopIfTrue="1" id="{6482606B-87FF-4C96-AE93-E06056C08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55" stopIfTrue="1" id="{887FAEBA-AB56-4B22-85A5-F2B810337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54" stopIfTrue="1" id="{A7FD4DCE-E593-49FE-B32A-FEE348849A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53" stopIfTrue="1" id="{380726C8-D5EB-459B-96AF-8E072CC735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52" stopIfTrue="1" id="{8A12C85E-FDED-4549-93FF-7FF5C8EC5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51" stopIfTrue="1" id="{2E3AF999-A6A3-4231-A777-A767ADFD5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50" stopIfTrue="1" id="{3C38C3D2-9F68-47D2-8F51-BED762350A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49" stopIfTrue="1" id="{22B49419-E812-45F6-883B-057B8CC0DD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48" stopIfTrue="1" id="{D4AF838B-5959-4A05-8AE3-41D979B833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47" stopIfTrue="1" id="{AB32AB2B-2CED-4305-85D5-2CE19B830C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46" stopIfTrue="1" id="{D339B178-6355-4C93-9DC8-9B91D2BAE3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45" stopIfTrue="1" id="{1C971282-4F45-45D1-9577-65AB38E439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44" stopIfTrue="1" id="{EE7F2809-C82B-4EAA-A992-C86591B39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43" stopIfTrue="1" id="{8CB10102-AAE5-4DD0-971F-4C447923B3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42" stopIfTrue="1" id="{2602D708-3A4A-4F78-A5FA-186180BCB0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41" stopIfTrue="1" id="{B25AE0EC-1A8A-4E3A-A61D-0072958723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40" stopIfTrue="1" id="{3A6E17E2-58CF-4FB9-96E5-A66C83DE40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39" stopIfTrue="1" id="{DACDE52F-4761-4CF1-A8A1-1700EF1C0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38" stopIfTrue="1" id="{3CCDAEB6-3EE4-4159-9450-C6AD5EB0F9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37" stopIfTrue="1" id="{B9D9F047-8DAB-4A27-86D6-2FD0458432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36" stopIfTrue="1" id="{9FBFE90E-06A3-4B70-A6DE-83CE07F0FB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35" stopIfTrue="1" id="{8F87467E-7B6E-48C1-8C62-B0423CF7D7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34" stopIfTrue="1" id="{CE3694BE-AF25-4D43-BF26-2D5A2CD0AE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33" stopIfTrue="1" id="{F9201F3A-28B7-4A59-80EA-3B9782FA78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32" stopIfTrue="1" id="{DCB2C94F-B756-48E1-88E5-EF9484EF45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31" stopIfTrue="1" id="{78ADDAAE-EECF-4F1D-8B8D-40899686C2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30" stopIfTrue="1" id="{63FA34F7-BC51-492C-ACDB-145A1E3480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5829" stopIfTrue="1" id="{BDB2508E-F8F0-4528-8AB8-3D8DA1B13A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28" stopIfTrue="1" id="{819A0214-04FB-43CE-9E0C-7BF27FB0ED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27" stopIfTrue="1" id="{C7AD0FC6-AB19-42E9-B52C-F1669AA2C1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26" stopIfTrue="1" id="{8028852B-47F6-4DC3-8B84-4DA16D03CC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25" stopIfTrue="1" id="{F58A929B-38A0-489B-8352-AEC32DD378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24" stopIfTrue="1" id="{48DF661A-6044-4D6B-BB9E-1626E56998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23" stopIfTrue="1" id="{7CA067C8-C937-4937-AA8C-A76F7E6088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22" stopIfTrue="1" id="{F33A7FE2-8FDB-4850-8551-201D459B2F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21" stopIfTrue="1" id="{250EA81B-4B3A-4318-BFCB-67BA769B57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20" stopIfTrue="1" id="{F19844E1-BEEC-4E84-9B69-CBFDC50CED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19" stopIfTrue="1" id="{379EBDEC-F685-485F-8C1F-D9345853E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18" stopIfTrue="1" id="{C7EB7D69-5F8D-43B2-8117-8DC6545071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17" stopIfTrue="1" id="{8C92696D-9E71-4176-A814-8CCA3DB091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16" stopIfTrue="1" id="{2366E1E7-F8B3-4CB7-802E-FDF8D727D8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15" stopIfTrue="1" id="{D0750D6B-4814-439F-BA7D-28BA6630F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14" stopIfTrue="1" id="{54A2BC02-6569-43D7-A3E5-ADCFB0F220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13" stopIfTrue="1" id="{71756A33-D086-41A2-8041-E3F0DD4E95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12" stopIfTrue="1" id="{5E4948C2-FEB9-4F41-AD8A-F6F6D52A36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11" stopIfTrue="1" id="{CF36F7A9-E9BF-424B-8B59-7FC7D9260D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10" stopIfTrue="1" id="{15A382D8-FE2C-46FF-9C62-0D87AFDEFC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09" stopIfTrue="1" id="{604AFE3A-919A-40D3-92D4-DCF8858E1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08" stopIfTrue="1" id="{1D905185-A180-4CFB-BDB6-B64762C200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07" stopIfTrue="1" id="{C088C4A5-6DF4-4A93-A521-EBA90ECB54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06" stopIfTrue="1" id="{72940FE7-2E32-4BB2-97E3-9A8876D1CD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05" stopIfTrue="1" id="{5DA604AF-95D4-4AA5-9CD0-13DCB0B096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04" stopIfTrue="1" id="{319BE761-006F-4A6F-AF8E-09DFDD1F25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03" stopIfTrue="1" id="{C4DCB04A-C3A0-46A0-899A-22E8E3C70E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02" stopIfTrue="1" id="{56EBAFED-B2FE-4A76-8651-73EF060C2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01" stopIfTrue="1" id="{4117CF48-FC21-4AB6-9A20-261F62F64B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800" stopIfTrue="1" id="{C7BF427C-90F2-48A2-BB8D-3957870FC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99" stopIfTrue="1" id="{8BA6BFA2-773E-45C6-B43C-AD1D5CF7E2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98" stopIfTrue="1" id="{6FA0033A-A84E-472F-838E-35496AC71E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97" stopIfTrue="1" id="{2533717B-0B1A-4536-8E53-42F955E955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96" stopIfTrue="1" id="{58B6F4C1-31DA-47A0-8E58-B568AC00E8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95" stopIfTrue="1" id="{835B12F3-1597-4899-A59A-35FEF89AC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94" stopIfTrue="1" id="{7EB8B5AA-83F6-4508-A19A-0D54E88D6F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93" stopIfTrue="1" id="{A359F80E-272C-4847-9B62-F5E3691992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92" stopIfTrue="1" id="{9F1F414F-1D04-4C81-AF75-7C5DA4B2F2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91" stopIfTrue="1" id="{0BDEB07B-C99A-4522-8321-8AFF7B32A7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90" stopIfTrue="1" id="{382F5FC9-7EC8-4931-8D6A-5984757174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89" stopIfTrue="1" id="{664A8185-DF60-4C61-976A-432548F63D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88" stopIfTrue="1" id="{3614B9DF-B483-4DA3-B37C-9502BD74D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87" stopIfTrue="1" id="{AB2FC4DF-637C-4456-A6B1-BDDEE89C6C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86" stopIfTrue="1" id="{89DFB03C-32F2-40A1-A7E7-5F83D9E806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85" stopIfTrue="1" id="{8CFECFB9-7B85-4AFA-B499-E0DFC47111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84" stopIfTrue="1" id="{F0BF4AD5-0032-4C6F-AB80-348C6D3DB2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83" stopIfTrue="1" id="{10BC50A7-4BBF-4601-BB34-B3FFEE57BB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82" stopIfTrue="1" id="{CF46CDCF-38C1-4644-BE53-F1A0C333C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81" stopIfTrue="1" id="{BC8ACCBB-F0A9-4D63-9934-D234DE05BE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80" stopIfTrue="1" id="{D00E7AC8-377C-4E3D-8E86-0CD696D782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79" stopIfTrue="1" id="{67C71B8C-0260-4D8F-A2CE-19E3FBAD7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78" stopIfTrue="1" id="{54DD4B1E-ACFA-4453-B0C9-3BC9AA0D5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77" stopIfTrue="1" id="{CCA00385-84A7-42FC-BC7D-3F79079780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76" stopIfTrue="1" id="{FD1A1980-9A5A-44DA-AF14-C1058D134B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75" stopIfTrue="1" id="{453106A0-FD10-40FF-86E6-32C166305D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74" stopIfTrue="1" id="{6A0BF951-CB40-4361-AD15-96C3929C1E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73" stopIfTrue="1" id="{6156CF11-E4F2-46E3-B381-9FF2F9E6EB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72" stopIfTrue="1" id="{36D6D1DE-F577-4B35-9F68-59EB8969CF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71" stopIfTrue="1" id="{38529201-073A-426D-BB7D-E55238DA52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70" stopIfTrue="1" id="{9FEC02A5-69B8-4C04-B0F8-695D46ADFD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69" stopIfTrue="1" id="{30B6FC70-C803-457A-BA27-9D8078310E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68" stopIfTrue="1" id="{3A34B2E4-9FBC-4356-9322-6C422B338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67" stopIfTrue="1" id="{881A8846-0BA0-40F6-8E17-619EA4680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66" stopIfTrue="1" id="{3AA3DA79-28DD-4B2E-B441-5E2C15CB32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65" stopIfTrue="1" id="{EEC37C55-BB29-4F3B-9ECD-61B474AF07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64" stopIfTrue="1" id="{A72C2FE6-7ACF-4187-9814-CA23F54F8C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63" stopIfTrue="1" id="{943E1176-33BC-4893-9374-DFC48335D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62" stopIfTrue="1" id="{49C3FF14-1E87-4BFC-BAF7-D8C9F90864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61" stopIfTrue="1" id="{5A106E24-100B-47ED-8839-7725246143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60" stopIfTrue="1" id="{61BA0B99-D4D8-4401-9370-4142EDC64F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59" stopIfTrue="1" id="{6CEA751B-CA8A-4A79-A771-3B941A67A8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58" stopIfTrue="1" id="{E7FFB5EA-6039-42CD-B65E-B5F0F27CD7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57" stopIfTrue="1" id="{863DA625-FE7C-455E-B5C2-777EFE26DC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56" stopIfTrue="1" id="{4D553A22-1E7C-4381-8818-7203E60621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55" stopIfTrue="1" id="{7A0230ED-9C28-455A-92E4-7BE1C3919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54" stopIfTrue="1" id="{D493E2F4-1202-44C0-86CB-DA37D4330D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53" stopIfTrue="1" id="{31E5B565-B2EF-42CD-BFD7-F24605CEA7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52" stopIfTrue="1" id="{AC30D703-A664-40EC-A5CA-52A8CA86A4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51" stopIfTrue="1" id="{4578BA92-1ED9-44C9-B632-5B18F6DEA1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50" stopIfTrue="1" id="{F48F39F0-A7EA-484F-B920-456598A691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49" stopIfTrue="1" id="{5D2DBB69-1843-4584-84D0-1F729A703C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48" stopIfTrue="1" id="{DC7ED685-C0C7-4DE2-8B06-3E673614B7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47" stopIfTrue="1" id="{C19C74D0-1D8A-4C2E-96FD-BE272536BC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46" stopIfTrue="1" id="{055345B2-7EC6-4A3E-9DE1-4B1EF4244F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45" stopIfTrue="1" id="{D2287F9A-1B10-49CA-863E-412D9C5A9C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44" stopIfTrue="1" id="{64FD9959-C22B-4128-82C6-053B78D8DF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43" stopIfTrue="1" id="{9CAEFCCF-98CE-46CE-AD68-11A0C022DA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42" stopIfTrue="1" id="{D9FD94FB-45EA-4CFA-AFAF-5BF180577B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41" stopIfTrue="1" id="{0CB2F5F0-996A-418D-99FA-24810FEFF2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40" stopIfTrue="1" id="{9615318F-7BC9-48B5-8D51-C71ACAE1E9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39" stopIfTrue="1" id="{2DFB1A24-B1CA-4E0F-B6F5-B8D2F79513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38" stopIfTrue="1" id="{B45693F7-A935-4F74-B5E5-A3D4968CA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37" stopIfTrue="1" id="{2D252845-60E9-4FDB-A156-D9F30FB794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36" stopIfTrue="1" id="{4C4A949F-F581-439A-BB6B-A92F5BB32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35" stopIfTrue="1" id="{FF1B9C70-7B85-40A8-822D-EA8A1E0E7D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34" stopIfTrue="1" id="{CBF23B05-70B1-4DFD-A2DF-70CB1C184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33" stopIfTrue="1" id="{7DF7A7DE-5EF8-4D37-9AE2-CA9928006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32" stopIfTrue="1" id="{C4C315D2-4EC5-46D3-BF90-0F81D6CFC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31" stopIfTrue="1" id="{FEBE8D91-F142-4E97-BFB2-CBEA00EF17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30" stopIfTrue="1" id="{ABB62C70-9FED-4013-A9BA-D5B0D500FC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29" stopIfTrue="1" id="{3FD4D09A-3927-4AF4-BE5E-6FA7C553F3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28" stopIfTrue="1" id="{68B8B793-7C17-4EE8-AD20-59B32BA68F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27" stopIfTrue="1" id="{D2332A41-C32B-4814-9A3B-F15DBE889C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26" stopIfTrue="1" id="{881F124E-D227-4D20-8A53-96F6D8A949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25" stopIfTrue="1" id="{74FB9E0E-9C16-4239-BD85-E2F01B3F7C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24" stopIfTrue="1" id="{63748D4C-A5FA-4328-9B2C-3A3D755EFD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23" stopIfTrue="1" id="{CF44E6BA-D090-4701-952C-5F3513862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22" stopIfTrue="1" id="{BFA84803-5933-4858-8846-17FF600455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21" stopIfTrue="1" id="{A41BEBC7-1145-465D-8865-4A249FBBDB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20" stopIfTrue="1" id="{8D462C30-3218-4D32-B1F5-AED51AFCF4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19" stopIfTrue="1" id="{2D8FADB7-F7B2-4824-8A49-5F81595ED4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18" stopIfTrue="1" id="{8DC88F45-6F83-4660-AB56-30B69DFCF9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17" stopIfTrue="1" id="{033EFB80-F007-4796-9DD8-2EA692FBBA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16" stopIfTrue="1" id="{224B24D6-75EC-4DEA-8C49-A137EB642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15" stopIfTrue="1" id="{80B8D351-5DE6-4EDB-B33F-43497598CB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14" stopIfTrue="1" id="{789ABD7B-139A-4A56-BB2A-246A0DAB36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13" stopIfTrue="1" id="{A4EA1943-9F3E-4B4B-9914-6798801CE4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12" stopIfTrue="1" id="{30985D55-AC88-4639-A1AA-73D49BAD7C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11" stopIfTrue="1" id="{BB13D48B-4A42-423E-8EE9-6BDFD336D7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10" stopIfTrue="1" id="{EFA250D0-ED97-44DF-B5C8-335A0E8AE3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09" stopIfTrue="1" id="{D56496E5-6481-4011-BCAC-621C835D34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08" stopIfTrue="1" id="{D7792FE0-0020-4EFB-BF7A-BE93754263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07" stopIfTrue="1" id="{7C4202B2-81C3-436D-83C0-3F95FB0036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06" stopIfTrue="1" id="{7FE046C6-8577-4CBB-8C56-9F08BD281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05" stopIfTrue="1" id="{A3983ADA-E4BC-4657-BED2-98071EA019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04" stopIfTrue="1" id="{2FDD9CCF-CE68-41A2-8F89-D0E639950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03" stopIfTrue="1" id="{A247A9CB-8723-4148-A138-F6837C77CE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02" stopIfTrue="1" id="{CB6E193A-76AA-40AF-9E71-BF363AF2BE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01" stopIfTrue="1" id="{B4802B53-ADF3-4E50-859D-461F83F7F5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700" stopIfTrue="1" id="{C2FBB93F-3122-450B-B58B-0ED89D4F9F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99" stopIfTrue="1" id="{83741D70-1515-4238-BDCE-30BC5A1D1F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98" stopIfTrue="1" id="{6366C3D9-D193-4FA5-94C4-717389AD45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97" stopIfTrue="1" id="{8656EAD7-3C29-4424-9945-F4EA960933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96" stopIfTrue="1" id="{FE9B04FE-1B10-47D2-A247-E01E2CFC81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95" stopIfTrue="1" id="{5B3F52F3-0E10-4EDC-BAF7-7762EE6373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94" stopIfTrue="1" id="{3CADF124-731E-48CB-9AC3-451D83BFC6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93" stopIfTrue="1" id="{EA001742-CA41-4FD0-BCDB-45C3C96D5D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92" stopIfTrue="1" id="{A219864A-6769-4309-A2EE-1D95BE5028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91" stopIfTrue="1" id="{D8F49DED-B378-46AA-A8EE-8FF7F0106C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90" stopIfTrue="1" id="{538ADBA8-4349-4EF7-8F77-E2F86B5F8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89" stopIfTrue="1" id="{90EE2A88-73F8-4647-983E-8B1FC1E858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88" stopIfTrue="1" id="{8C221005-E5AA-440F-98A9-D984BF964C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87" stopIfTrue="1" id="{15A71B97-0701-4D46-BBF7-DEF7DEB447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86" stopIfTrue="1" id="{43084BC7-14B8-4A3E-8985-42DAB13BDF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85" stopIfTrue="1" id="{A553BA17-B951-4FE9-8F2B-F4F8760AF0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84" stopIfTrue="1" id="{BC06289B-C134-44A8-8FC3-68B5CC833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83" stopIfTrue="1" id="{8C5B79FD-3B37-4A64-86B0-1F76DB8006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82" stopIfTrue="1" id="{F4EA3BF7-469D-45C5-96DA-18C7C4F799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81" stopIfTrue="1" id="{36A7BBD7-A47E-47DA-BF76-AAFA65DA71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80" stopIfTrue="1" id="{E521A465-7502-46B3-BD00-38C6F95A36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79" stopIfTrue="1" id="{F238C233-B4B1-47B1-9DAF-D7147F591F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78" stopIfTrue="1" id="{829C6019-C81C-4844-8526-92BB633378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77" stopIfTrue="1" id="{043307C7-B6AB-4770-BFF5-A7AC04D380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76" stopIfTrue="1" id="{1AA0BF16-3EDF-487E-BC00-0CCAF118C2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75" stopIfTrue="1" id="{86ED09A2-924F-4C48-AEC9-82BEA68C8F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74" stopIfTrue="1" id="{3EBD49A1-8FEE-4C6F-A988-DFC22D6B42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73" stopIfTrue="1" id="{B9D0006E-2C54-4CD5-8FBB-B8C5A625FA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72" stopIfTrue="1" id="{55B0CFE9-EB83-47C7-B38D-28A32791C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71" stopIfTrue="1" id="{DFC28612-0DC0-4292-9D66-3871E695FB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70" stopIfTrue="1" id="{42D393AB-B882-42F6-A68F-2E6B318113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69" stopIfTrue="1" id="{FBBE330B-50C9-446E-9A52-B4981CD68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68" stopIfTrue="1" id="{3E224B59-E3A7-4E64-8D77-A2E83A8F83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67" stopIfTrue="1" id="{79148F65-D929-42F7-85D9-E971A5F6DF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66" stopIfTrue="1" id="{923CFB0F-C0C8-42E9-A41F-954C1DF86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65" stopIfTrue="1" id="{A513B399-19AC-4824-9BDE-4B3F689BD8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64" stopIfTrue="1" id="{FC3CA275-F635-4E17-AB4A-A74607ACAD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63" stopIfTrue="1" id="{489ABDD4-C277-4EF2-89D6-2A83971118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62" stopIfTrue="1" id="{20CCB77C-3EB5-4C20-BF10-010B7794BA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61" stopIfTrue="1" id="{E462AB73-FB50-432D-AE18-E76CAE8DE0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60" stopIfTrue="1" id="{77236CDD-08CE-4A19-95B7-323A7510AA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59" stopIfTrue="1" id="{202872DA-0468-4B65-8FBF-8BA32A6D23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58" stopIfTrue="1" id="{78ED04A6-81BB-4955-88D3-DE82D145C6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57" stopIfTrue="1" id="{029234B5-E96A-4536-B16E-D88DA5CAE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56" stopIfTrue="1" id="{C054E5CB-D7BB-4475-9F98-D6BD6AD51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55" stopIfTrue="1" id="{D20EC9BD-939D-4FCF-A7E3-78F7DDD704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654" stopIfTrue="1" id="{B38A3FC8-65A3-4CAE-933B-79C48F0F9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477" stopIfTrue="1" id="{C9265DF1-01D2-4913-913A-7026EDF64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76" stopIfTrue="1" id="{EE92F30A-65F5-4A15-9E01-9B4E1AAD45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75" stopIfTrue="1" id="{C11BDCB8-5A1C-419B-AB2C-36438BC248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74" stopIfTrue="1" id="{6D93BD28-D8D5-4FF5-9653-CFFF701866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73" stopIfTrue="1" id="{194C6233-9F53-4336-B3AA-65CCB2A91B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72" stopIfTrue="1" id="{04ED21BD-E7C8-4970-A537-0A5062FD5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71" stopIfTrue="1" id="{0D6E486D-08E2-413A-88D1-A67C9DF652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70" stopIfTrue="1" id="{731CB37B-8DD9-4504-B899-3E59DBBF9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69" stopIfTrue="1" id="{ACBAB293-A487-4857-BBA4-DDF17E81FB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68" stopIfTrue="1" id="{C1BEFC92-EAE2-499C-979F-315319CBE0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67" stopIfTrue="1" id="{9FC3909B-014F-457E-B0F9-E9CA2D99F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66" stopIfTrue="1" id="{C15B6571-3F5F-4B05-AAA9-4FB31AC5E4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65" stopIfTrue="1" id="{65689EA9-64E8-4D89-BD31-8BB0C24E74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64" stopIfTrue="1" id="{52EECD18-DD67-450E-A9E4-1697CA1D8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63" stopIfTrue="1" id="{2DD21D90-6D39-46D9-A3CA-35AF900C60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62" stopIfTrue="1" id="{AEEF3F1F-06FB-4E51-8A77-4FB050D225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61" stopIfTrue="1" id="{DBA0A3F3-2680-4913-84BD-5DD1B05810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60" stopIfTrue="1" id="{B2B31394-4373-4127-93A8-BB86A42556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59" stopIfTrue="1" id="{568EE341-5022-4265-B016-944D6434DF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58" stopIfTrue="1" id="{B83D89D6-15B0-44CD-97A3-C4E38E7AD6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57" stopIfTrue="1" id="{D9233D88-0E47-4F08-8247-31C285689B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56" stopIfTrue="1" id="{A3E15D74-4E94-47AA-9CAD-376DCC3363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55" stopIfTrue="1" id="{5CE284D9-6F36-4A21-B88D-FD4D5ABF31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54" stopIfTrue="1" id="{297927D1-FD49-4E02-AF0F-FC0DBCCF56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53" stopIfTrue="1" id="{184E92D9-E39C-48F8-9E32-BF7D648A84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52" stopIfTrue="1" id="{B9F22108-8783-4191-90AF-0F500F67CC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51" stopIfTrue="1" id="{B47324CC-BBCC-4F41-B3AE-DD5AA6E3BE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50" stopIfTrue="1" id="{52941E54-B6E3-446F-B902-825EDDB735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49" stopIfTrue="1" id="{DAC4F65B-1F39-4B58-B45B-DE5968ABA8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48" stopIfTrue="1" id="{0B4BA729-3DE4-433E-BF88-42BA048FCF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47" stopIfTrue="1" id="{FBBB0FF2-EB6E-4C6D-87E6-C8B1C1964D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46" stopIfTrue="1" id="{EFABE915-8105-4309-AF37-F09459953C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45" stopIfTrue="1" id="{B50F8272-0B39-4635-9A9C-834C286B0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44" stopIfTrue="1" id="{45DD355C-0597-47C4-9B0D-A6849E74A2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43" stopIfTrue="1" id="{88F75888-53DC-4944-B983-F725465D6C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42" stopIfTrue="1" id="{E8B38335-2D0C-4CEE-9E80-07B8BC0F68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41" stopIfTrue="1" id="{9CAD18A3-4305-4CE3-99F5-28C7D1B86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40" stopIfTrue="1" id="{3AB2E755-26FB-44A5-A2AF-0C39555AA4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39" stopIfTrue="1" id="{08ABB47F-B367-4970-9FFC-836FCC037F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38" stopIfTrue="1" id="{EEE9E5B0-6815-4E09-B6E2-A7EC911D5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37" stopIfTrue="1" id="{CFD56C1A-C228-4065-83AA-805560B09D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36" stopIfTrue="1" id="{1CFF6979-CFF1-474D-B7B2-97A8542928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35" stopIfTrue="1" id="{9A9E0F5B-5690-4301-B46A-D0A210AC29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34" stopIfTrue="1" id="{8DCEE5E0-58B3-4CCD-AF9E-FA9C619683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33" stopIfTrue="1" id="{9CC85621-4D70-43C9-BBC6-3A134B1CA9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32" stopIfTrue="1" id="{2E111510-6D89-45F1-8E8E-3168E2D5A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31" stopIfTrue="1" id="{8B0096F8-52D0-43B1-BED8-15EA199E21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30" stopIfTrue="1" id="{B5B3B8B9-85DE-4B49-A274-BCE28887F7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29" stopIfTrue="1" id="{AE9FC901-088A-43CF-A25F-0F5135361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28" stopIfTrue="1" id="{AF36FDA8-7EBF-41F5-A0DE-703FC73BD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27" stopIfTrue="1" id="{9EA5D915-77F0-42A8-8BD5-3514FD5FE6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26" stopIfTrue="1" id="{D6414B89-1066-4F19-916E-5C850F46F8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25" stopIfTrue="1" id="{43A2ACB8-60E7-41FF-B794-E96A6E66EB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24" stopIfTrue="1" id="{AE961532-C67E-42AA-93F0-E60EF90339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23" stopIfTrue="1" id="{EAC63FEC-114C-4A27-BE04-617175FD67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22" stopIfTrue="1" id="{672B5871-9B3D-43C2-A1FF-334FAA3000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21" stopIfTrue="1" id="{14E32841-1748-45F2-80AC-E4FA8A1D31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20" stopIfTrue="1" id="{32F132C5-D038-4D7B-BBE5-B0754C21D1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19" stopIfTrue="1" id="{E2AA2BB8-7A37-40BA-8389-2D9B360876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18" stopIfTrue="1" id="{D24AF7A8-373E-4428-89B9-42ECB1922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17" stopIfTrue="1" id="{C3D3C5BA-79DC-4F50-8BDD-2374C712D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16" stopIfTrue="1" id="{4E61572B-2106-49F3-9DA6-AC918C8222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15" stopIfTrue="1" id="{7F714DEE-970A-4C13-B7E5-8B6045B807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14" stopIfTrue="1" id="{C6773373-B0BF-4004-A30B-1BBC772444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13" stopIfTrue="1" id="{7B4EA828-0DB2-4C43-8136-0AF2F1F5BA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12" stopIfTrue="1" id="{CAA1A875-11BA-4D3A-A9EB-819EDDE45C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11" stopIfTrue="1" id="{2C7D0C74-30D1-4E05-A770-66EC78FDF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10" stopIfTrue="1" id="{58442562-9AEC-43EE-B4DE-34A17F3C25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09" stopIfTrue="1" id="{5C23FFA0-4E84-467E-96FA-B1925CAB8D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08" stopIfTrue="1" id="{7D40E6D0-63DD-47A3-8766-83CED01C6C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07" stopIfTrue="1" id="{494236D9-C8DF-4913-B9BF-ACC9BB39DA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06" stopIfTrue="1" id="{12A16C6B-04E7-48CF-B250-9DCB135006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05" stopIfTrue="1" id="{E81E4DF6-7951-44AC-82BD-4E2873937A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04" stopIfTrue="1" id="{2A19B475-DA1D-4B9C-A9A4-3DF33F9FB2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03" stopIfTrue="1" id="{7B1701EC-FF49-4482-B07C-10B7F3091F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02" stopIfTrue="1" id="{A7849355-85DA-4D88-818C-7DDD2B71B5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01" stopIfTrue="1" id="{3035963E-DDD3-4CF3-A55C-CE9765B21C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400" stopIfTrue="1" id="{37356FCF-7D4A-4B98-B778-1517D648A0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99" stopIfTrue="1" id="{63827165-A2AA-4668-B377-D7400B3D6B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98" stopIfTrue="1" id="{F9A34EF8-9C7A-4339-A89C-1060CF60C4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97" stopIfTrue="1" id="{08A5C684-2282-4844-BA2E-561021A2E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96" stopIfTrue="1" id="{D289868B-09FC-43DC-956E-3E03A37511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95" stopIfTrue="1" id="{BA6A39C5-3856-451F-828C-75835DD6ED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94" stopIfTrue="1" id="{C6DFCF68-586D-41F2-8175-DEEF69B66E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93" stopIfTrue="1" id="{1E53A395-BF77-493D-B6C6-CF94DF1DF9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92" stopIfTrue="1" id="{A9DC3598-E99C-428B-BFC8-87038621EF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91" stopIfTrue="1" id="{FF6C9088-9C02-459F-924F-84D91748E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90" stopIfTrue="1" id="{F93FBDA8-681D-4CB8-9C2D-44A3FB45F9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89" stopIfTrue="1" id="{AA9A0138-0738-4155-9323-C41FD621C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88" stopIfTrue="1" id="{0A735A53-ECC3-48EF-890B-AE469E18D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87" stopIfTrue="1" id="{AAB2C1B4-F905-4723-92D8-D521B9A30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86" stopIfTrue="1" id="{13B217A7-4F50-422F-BB77-2F129FBDE7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85" stopIfTrue="1" id="{A32F26AF-FFDD-460B-902C-8EA4F81C1F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84" stopIfTrue="1" id="{CB9452F4-6D2E-4C22-A220-E6316BB85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83" stopIfTrue="1" id="{3ED868C2-6499-4669-882A-D17A4F4250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82" stopIfTrue="1" id="{283B99D9-E3B5-4CC8-918F-8A4A2FD85F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81" stopIfTrue="1" id="{7C0482CD-E797-4EE6-85A6-FC1D0462E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80" stopIfTrue="1" id="{207D6518-8378-4357-A04F-2C4584DAC7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79" stopIfTrue="1" id="{E2DE0E29-0DC9-4AC7-934F-CE85334D6A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78" stopIfTrue="1" id="{800C37FF-9365-46F7-AA36-45ED79A24B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77" stopIfTrue="1" id="{4A296655-E819-42D1-A4DE-9C84FA20E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76" stopIfTrue="1" id="{9F551B63-40DC-4DC9-99CD-ADBDEE0B67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75" stopIfTrue="1" id="{CA743A70-DF39-42C0-BB1F-CD9CC285C2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74" stopIfTrue="1" id="{3036F4F1-5327-4FBF-A6E6-BC7389293F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73" stopIfTrue="1" id="{03EFE887-96BC-477F-9B77-920D4BAE1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72" stopIfTrue="1" id="{DEF82F69-01AB-4594-8A6E-3DA780F528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71" stopIfTrue="1" id="{4A9A793F-52CC-4FD3-8D5E-38C96DB0EB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70" stopIfTrue="1" id="{ABF80207-AA62-4D65-950D-6F13B5F9DD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69" stopIfTrue="1" id="{AAA403A0-DD21-4D13-868B-CE4D8A1E16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68" stopIfTrue="1" id="{D91A72DE-FF95-4280-B30E-EA15D16AED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67" stopIfTrue="1" id="{9A6C7A24-BC25-46B6-8187-8C4AA9A552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66" stopIfTrue="1" id="{ED145FD7-8866-4372-834F-1AE64AE868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65" stopIfTrue="1" id="{F89FD1A6-998F-4EF3-86CD-882C68C697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64" stopIfTrue="1" id="{15E4BA6D-3960-48F3-AE8D-F7549A605D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63" stopIfTrue="1" id="{66EA9C6F-B74B-4F6F-8FB6-1DB4F200B5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62" stopIfTrue="1" id="{DE9993C6-0344-411E-91DF-49E663290F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61" stopIfTrue="1" id="{8E332523-8A8B-49F5-8F6A-9A510E728D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60" stopIfTrue="1" id="{CD8E0B61-4FD4-4EBC-A157-9A4BC0EB5E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59" stopIfTrue="1" id="{B5F831B2-1B45-4F5C-B767-381E049F5A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58" stopIfTrue="1" id="{1A51F06C-C735-4129-B3DA-EC5E2AC84E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57" stopIfTrue="1" id="{BC6520D1-BF3B-4C5A-BA0D-452A3DF7D1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56" stopIfTrue="1" id="{E04DC26B-738F-4CE1-A701-4B1F754C5D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55" stopIfTrue="1" id="{9328B2FC-905F-4117-BD97-282BB1EB66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54" stopIfTrue="1" id="{481E40C3-48AA-4EC0-B810-DD42DE8CEA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53" stopIfTrue="1" id="{EAFCDFAA-C049-41AE-829E-8AE46E6AAF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52" stopIfTrue="1" id="{21E9B78A-9AA9-4E11-8F3C-EFDF624400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51" stopIfTrue="1" id="{23A9C438-C4B5-479E-9683-A74C4B9AF0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50" stopIfTrue="1" id="{F3642B28-8563-4EFD-ABF8-3F609A9D05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49" stopIfTrue="1" id="{F0C8CC06-5B3E-4A73-A1BE-8710AC6191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48" stopIfTrue="1" id="{F9B43FBA-265C-4065-B35F-05D23E1A35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47" stopIfTrue="1" id="{D956282C-7544-4366-803D-2C8EABFA39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46" stopIfTrue="1" id="{6D348D19-1587-4339-8BF0-C0D7701695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45" stopIfTrue="1" id="{565ABED8-631D-4CA3-8959-CDB03A18A1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44" stopIfTrue="1" id="{3160635A-6336-4DDD-ABC7-1B1480023A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43" stopIfTrue="1" id="{57CD75F3-7F3F-4E9D-A810-4789EBDB1E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42" stopIfTrue="1" id="{0AB9AEF7-DEE2-4329-93E2-E71C617C6A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41" stopIfTrue="1" id="{50AE91F3-15CF-4129-82B0-09E63B3A1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40" stopIfTrue="1" id="{463F3BA5-AB46-4261-9E87-D86DCED090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39" stopIfTrue="1" id="{ABDD5E07-615B-4543-8CBA-AB976DF040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38" stopIfTrue="1" id="{AD4A6A30-829B-4F98-85C3-29881864D5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37" stopIfTrue="1" id="{B146B5EE-A307-4E72-9DF4-86B1BD2EB9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36" stopIfTrue="1" id="{C5F8AD6D-39D1-4CBE-9B83-1F39E0D8E1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35" stopIfTrue="1" id="{F296CA03-01B3-448B-B566-8C856B963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34" stopIfTrue="1" id="{E5D46BFA-4752-4C31-94A5-2DBD8E1CC1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33" stopIfTrue="1" id="{1CDD3911-8A57-4CE3-9C98-CFD56F32DF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32" stopIfTrue="1" id="{96D6AE2B-456D-41E4-B963-2A73E78CB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31" stopIfTrue="1" id="{59BC6038-899C-418A-90C8-7CBBAB95B2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30" stopIfTrue="1" id="{6FA7422B-1834-4392-B4BB-7E197A2F7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29" stopIfTrue="1" id="{CF041AF0-D291-4D7B-A8D6-393D55DB10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28" stopIfTrue="1" id="{A3725C99-DB31-4109-9074-EFF8736743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27" stopIfTrue="1" id="{322FC106-9B2C-42CF-86F6-23EE985BAE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26" stopIfTrue="1" id="{3BC1489D-147C-4FF5-9DF8-C35106794A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25" stopIfTrue="1" id="{142402DC-20C0-48D3-8CC8-25BC5F8873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24" stopIfTrue="1" id="{08D48BDB-42AB-4FB0-AB62-C83F6ADCF0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23" stopIfTrue="1" id="{71DB799A-EB6D-4C6B-A7D6-0DF540B7B3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22" stopIfTrue="1" id="{52DCA2DE-5A73-4595-BCF3-49BEB8B387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21" stopIfTrue="1" id="{D3E1EE34-7DA4-4419-B4E7-CFF8B9F86B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20" stopIfTrue="1" id="{2CDE7A84-534C-409A-87D2-89DA8ACC4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19" stopIfTrue="1" id="{666AB406-063B-4964-8E2D-15246F16AD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18" stopIfTrue="1" id="{17AE7EC3-C5CB-4D85-A433-51B455D08D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17" stopIfTrue="1" id="{8523852F-CE97-4C1A-B840-CEAC8FB32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16" stopIfTrue="1" id="{5BA30925-1A5D-4673-A60A-4A2144BC2A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15" stopIfTrue="1" id="{8D4CF688-64A3-436C-B14D-55625D2AE8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14" stopIfTrue="1" id="{F8861142-81BB-4EB3-9743-B4A47924C0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13" stopIfTrue="1" id="{76B366FE-2137-477C-997E-35BF5944AD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12" stopIfTrue="1" id="{716B67F8-774B-47F5-8968-458C96F576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11" stopIfTrue="1" id="{77BBBDEF-731A-4176-8A47-DD10DA2866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10" stopIfTrue="1" id="{D28AF8C4-D222-4A81-B3A7-08E985076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09" stopIfTrue="1" id="{D489126A-5FCF-430A-AF46-9AFAFD2705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08" stopIfTrue="1" id="{F3CB5DFB-9D60-450F-8592-8C22680FF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07" stopIfTrue="1" id="{C62C4BBD-7FDB-4813-9872-3F081FF713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06" stopIfTrue="1" id="{9489D493-BE68-4F86-A201-095242B297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05" stopIfTrue="1" id="{7514D2BB-A49C-4B8D-A1EE-658DAEAF3F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04" stopIfTrue="1" id="{FCE43579-2BE6-496F-951F-FE0141F43D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03" stopIfTrue="1" id="{60596A6C-8168-4EE4-BC2E-425F65445C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02" stopIfTrue="1" id="{D1C2129E-61B7-473A-80A9-57C32F5B0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301" stopIfTrue="1" id="{AD7EF6C5-F971-45A5-B8AF-DEA7A30E47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300" stopIfTrue="1" id="{8FBAA9FC-2C13-40D6-BF57-192D214324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9" stopIfTrue="1" id="{5313D425-23BE-4DD2-8C44-04D471F9A1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8" stopIfTrue="1" id="{97283855-3D47-4520-A8B5-5B58FC67E3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7" stopIfTrue="1" id="{261409A9-2926-400C-9E52-8A4023DFD5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6" stopIfTrue="1" id="{3822BBD5-07EC-4E8F-871F-55436D77EF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5" stopIfTrue="1" id="{809EAA82-9171-4090-B741-81DA1C728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4" stopIfTrue="1" id="{3AF26508-EB4B-4CE4-BBC8-1344F7B0FA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3" stopIfTrue="1" id="{3E7AEDE8-C1EA-497F-88DB-9DB2767282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2" stopIfTrue="1" id="{945B48E7-4D57-443F-8B79-351004AED2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1" stopIfTrue="1" id="{316F032F-D72D-47F8-87B1-752239D93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0" stopIfTrue="1" id="{C4B8C936-9AF3-41EA-BC7C-D10952982B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9" stopIfTrue="1" id="{69E6EE00-A24E-43D4-B71B-58DA0291E7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8" stopIfTrue="1" id="{3E146A3F-4B13-43FF-97FC-2D23D68DCF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7" stopIfTrue="1" id="{64F171D0-DFF0-4D3F-8F8E-BE5649B0CF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6" stopIfTrue="1" id="{C1AF0366-7E0E-46DD-A240-448249433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5" stopIfTrue="1" id="{0D2E5FED-6FAE-4FD1-AA47-E27BEC2881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4" stopIfTrue="1" id="{1F58DC65-B8D8-4713-B564-C49CC312F7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3" stopIfTrue="1" id="{0B25B2AC-639C-491D-9E17-EF0BD57841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2" stopIfTrue="1" id="{A8D780AE-ADB7-4627-970B-0641765851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1" stopIfTrue="1" id="{82795538-910D-4BC5-8F4B-54B5D01409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0" stopIfTrue="1" id="{76FEF95D-85D1-4366-80AB-FAC6622086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9" stopIfTrue="1" id="{77D19292-6826-4302-8F41-E26166A3C9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8" stopIfTrue="1" id="{63C883D6-827E-4953-B55B-3AAFC3994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7" stopIfTrue="1" id="{CB35A8BB-AB02-472F-B5DE-57CB1AA46D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6" stopIfTrue="1" id="{2C9D6891-4075-4127-8044-841018F019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5" stopIfTrue="1" id="{31D9CCBE-650F-4050-9C86-9AFB2A1D8B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4" stopIfTrue="1" id="{F1ABBE42-E0FA-474D-97A9-346D2C7F39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3" stopIfTrue="1" id="{AF73C091-844B-4207-956E-60D1F2A348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2" stopIfTrue="1" id="{42527247-A1F1-4637-84DE-DA42FF6702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1" stopIfTrue="1" id="{2FBC055B-1B16-4557-A873-C7500B347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0" stopIfTrue="1" id="{21FA3DFD-1FCA-4A86-B62F-1320F54239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9" stopIfTrue="1" id="{03D10A17-EB1F-4063-B50A-70F7F7F51B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8" stopIfTrue="1" id="{C496C8DF-11DF-4B34-8946-2A653F5B88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7" stopIfTrue="1" id="{EA61137E-9AB2-4DE7-BFEB-D30098796A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6" stopIfTrue="1" id="{0E5F5352-5135-41A3-A7B2-08F94622F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5" stopIfTrue="1" id="{203A98F1-D5E0-422E-B413-0F19125B87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4" stopIfTrue="1" id="{83C66363-BC57-4D17-B604-6DA21931FA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3" stopIfTrue="1" id="{57CDFDC6-705B-4449-8DE1-56DF39B72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2" stopIfTrue="1" id="{9FB19AF5-7BF5-4057-A327-AEF2B5B733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1" stopIfTrue="1" id="{B64EF7D7-82F3-4FA2-9004-DC5D78D8F0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0" stopIfTrue="1" id="{6BC41EF5-CF6C-4B94-BCB3-802DECCFEE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9" stopIfTrue="1" id="{F9859224-6DB2-47F5-A7CE-748C535787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8" stopIfTrue="1" id="{7E3F1C8D-CD74-4B8F-BF17-0EE262A04B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7" stopIfTrue="1" id="{78463F2C-BFC8-475B-A2EB-0377C54197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6" stopIfTrue="1" id="{35D669F0-00D9-42B9-A952-64468A8A3D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5" stopIfTrue="1" id="{B3B07AA6-5680-4E68-91AE-3674A6EFD8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4" stopIfTrue="1" id="{1D0B6381-5A7D-401B-BE42-218505CA78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3" stopIfTrue="1" id="{2B6CD05E-3146-4CEB-B2C5-71142E66A8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2" stopIfTrue="1" id="{3B956F6E-D754-42C3-9211-571C724957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1" stopIfTrue="1" id="{1EF324FC-1FD1-449D-83F6-7904D9A9F2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0" stopIfTrue="1" id="{73CAA923-D68B-43A5-8D03-8CAD2AEEAF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9" stopIfTrue="1" id="{46A0F1A0-B488-420D-A256-0CA5170A54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8" stopIfTrue="1" id="{B8D715A5-D2B5-4C94-8418-A71E1400D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7" stopIfTrue="1" id="{39A56977-182E-487D-8008-B1DAD51891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6" stopIfTrue="1" id="{39D14FB1-EA65-4EF3-B1A5-9EBEF22A24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5" stopIfTrue="1" id="{67DEDED6-F764-4DDB-98FB-C7DDA8CA8F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4" stopIfTrue="1" id="{94CB6302-85D1-4859-9AB0-DF776A9843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3" stopIfTrue="1" id="{A94090F6-146C-4E00-B195-DE790B7577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2" stopIfTrue="1" id="{2FBB35DF-B0A6-4C30-8C12-347D98F24C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1" stopIfTrue="1" id="{EA6A921C-95FA-47EF-9E92-B7F2A4EBC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0" stopIfTrue="1" id="{EF90BB68-82A0-41EA-B8BD-49274D2BC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9" stopIfTrue="1" id="{E2BC99E9-E497-488F-B801-747C57E946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8" stopIfTrue="1" id="{81370A41-E5F4-4D16-A78F-76663AD6B9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7" stopIfTrue="1" id="{24F28303-3A7C-4504-8B8B-F0E7AFD18E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6" stopIfTrue="1" id="{5C5EA30C-B632-4B64-812D-7A5E546D67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5" stopIfTrue="1" id="{61558824-9CBF-4EA4-919D-C3B65A161A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4" stopIfTrue="1" id="{DAE44D9B-8C76-4169-BC01-4C037CB02C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3" stopIfTrue="1" id="{B32E5FFC-1D2B-45E4-AAE4-3E478F78D4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2" stopIfTrue="1" id="{DFEB6199-248C-42EF-AF3E-52FE07F309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1" stopIfTrue="1" id="{C7B161F1-690F-43E7-96A3-5EC8629FA8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0" stopIfTrue="1" id="{6FB08459-BEEF-4A47-AF7B-F70B01B779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9" stopIfTrue="1" id="{79782EF6-7724-43E7-94AE-AC908ACF88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8" stopIfTrue="1" id="{4E0028DE-A1E5-43AE-B7FF-613E61EF33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7" stopIfTrue="1" id="{47626956-63CD-4C9D-85D7-2534E9D973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6" stopIfTrue="1" id="{1F3FC33E-33F8-4BF4-A686-2B1A7E4577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5" stopIfTrue="1" id="{21D0D936-0C29-4247-9F58-5719142901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4" stopIfTrue="1" id="{86EA52E8-B56E-4BFD-AB71-799BBAC3F6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3" stopIfTrue="1" id="{02DD9F7E-CEF0-4AC3-8A2D-4E740328AB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2" stopIfTrue="1" id="{63113C09-22C4-46C1-AE48-2012117AFF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1" stopIfTrue="1" id="{C6A38767-A996-498E-8857-E2527DE6AB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0" stopIfTrue="1" id="{7B4AC7BE-7AFD-4D3E-BE30-871A368D5A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19" stopIfTrue="1" id="{035B568F-015D-4344-AAFB-B3EF4D4508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18" stopIfTrue="1" id="{6DB79DEA-D480-4AA2-848B-5DAF3BCF67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17" stopIfTrue="1" id="{71C40423-7FF6-424A-B2C4-2A440B9627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16" stopIfTrue="1" id="{3E4FF5E3-621B-48DB-8876-6DA662443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15" stopIfTrue="1" id="{FFE0AB99-1CC3-446D-AEB9-0B0EA84BA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14" stopIfTrue="1" id="{02C88C92-17E5-4F9B-8C44-6D569A33D0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13" stopIfTrue="1" id="{A9B854B3-B2E8-46D6-AB3E-4150BB890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12" stopIfTrue="1" id="{BEAC9FBE-30B4-42FA-B3F0-3A9A57141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11" stopIfTrue="1" id="{6C5AF607-9D61-4930-8523-8D400FBEFC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10" stopIfTrue="1" id="{C9C39C5E-3FCC-4F59-891A-83FFA39E0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09" stopIfTrue="1" id="{A2DABD1C-59C7-49FD-9A3C-F723B45909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08" stopIfTrue="1" id="{CD9CB379-F3B8-4D68-A44D-6B131CA9E0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07" stopIfTrue="1" id="{DD6FCA01-7A99-4579-96A0-29D0504DA2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06" stopIfTrue="1" id="{132F914B-DA7D-44F5-9F17-3E91A58370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05" stopIfTrue="1" id="{6A40516E-0157-4942-9AB2-F9556705F7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04" stopIfTrue="1" id="{CCF2FED6-1C92-421A-A8F1-2AA0B86F30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03" stopIfTrue="1" id="{E01179D0-BF37-4DEC-B2A9-C380B4ADA7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02" stopIfTrue="1" id="{6D75F8DC-163C-43B4-9C09-4E6DB7A54B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01" stopIfTrue="1" id="{2F9194A6-066D-47CA-ACE0-53FBEB094B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200" stopIfTrue="1" id="{BA932F60-ACA4-43CD-ABFC-9A866073E5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99" stopIfTrue="1" id="{C4D6BFD0-2312-451D-941B-7B781A491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98" stopIfTrue="1" id="{3024791F-6063-402F-BC49-8370C32F95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97" stopIfTrue="1" id="{41B91B08-B83B-42DE-B8A4-3D42F6D346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96" stopIfTrue="1" id="{3ABB37FE-5C4F-4A1F-810D-758B69ADC1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95" stopIfTrue="1" id="{B17BBD89-E1C0-472F-AD3A-DBF6D28213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94" stopIfTrue="1" id="{03822044-90D9-41F4-9144-D5591AC3FA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93" stopIfTrue="1" id="{80643565-37A5-4288-94CF-CBB0E0B2C0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92" stopIfTrue="1" id="{577C2421-D7F2-4C4A-BCD8-D48EB50CB6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91" stopIfTrue="1" id="{4701065A-72F0-4CBC-8032-977C71649F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90" stopIfTrue="1" id="{97C406C3-F93C-48B0-9252-C2DF1258A6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89" stopIfTrue="1" id="{9AA9CF00-D09E-40EA-B5B2-F458CEC7C0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88" stopIfTrue="1" id="{6ACF6EC5-C6F3-4D02-89EE-3456B7CE8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87" stopIfTrue="1" id="{128DDE0E-70AC-451A-8E8D-964A6169F5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86" stopIfTrue="1" id="{A7D8068F-9D6C-4E36-AC73-726D56D9CE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85" stopIfTrue="1" id="{2F1EDDE1-2636-445C-A612-AF106DF88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84" stopIfTrue="1" id="{CDD27187-DA58-4EC2-8F50-A5BCD308D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83" stopIfTrue="1" id="{67CB9730-15AE-4C36-B9F2-7CB8D75120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82" stopIfTrue="1" id="{B3238E32-0D61-4F15-8A90-32165CC6E4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81" stopIfTrue="1" id="{CFEDCE6A-7B2F-4959-ADD8-2F6D27551F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80" stopIfTrue="1" id="{27B97F99-AFD0-4EA3-B4A0-099DD5F612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79" stopIfTrue="1" id="{B8E5FCEF-DEFF-4132-8A39-E68EA90DE5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78" stopIfTrue="1" id="{C889B03A-15ED-4842-9D1F-6ACDC7763B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77" stopIfTrue="1" id="{81FBC7C6-0385-437F-B391-E0716AB810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76" stopIfTrue="1" id="{BF284D28-90F9-49F9-9EBB-10F887C595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75" stopIfTrue="1" id="{EA622C78-A0D8-4815-825E-E7D187119E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74" stopIfTrue="1" id="{57F3BEAE-9F73-4152-BA66-47164838F4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73" stopIfTrue="1" id="{5209025E-3C33-4699-B897-2B82BC4216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72" stopIfTrue="1" id="{83E9C33C-174A-499A-BA36-996997ED4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71" stopIfTrue="1" id="{A6A80ABC-BEFB-4523-8C65-58CFC2169A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70" stopIfTrue="1" id="{DCD7DCB2-6101-4DEA-A995-5DCCE4D06D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69" stopIfTrue="1" id="{FF50E2E0-0134-40D6-AF60-D2E1999110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68" stopIfTrue="1" id="{1EF76627-7351-4598-B2E9-DA0F7A139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67" stopIfTrue="1" id="{0642833B-7F9A-480D-8FC8-2F46A63A7E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66" stopIfTrue="1" id="{F9C03D74-3991-4C0E-9597-E31006331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65" stopIfTrue="1" id="{DFA1532B-9247-4EA8-A0F0-DEDEA68BC7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64" stopIfTrue="1" id="{F5557676-4508-4A32-87DD-A4B6E3552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63" stopIfTrue="1" id="{BE47DC16-DC48-4647-A6F7-76448D135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62" stopIfTrue="1" id="{87F854BD-1ACF-4F02-8BE2-1C12ABFD41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61" stopIfTrue="1" id="{3584DD7E-E528-4F5D-90C1-97D441C114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60" stopIfTrue="1" id="{8CD81E53-AFF7-484B-BEEE-6F0CD1D152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59" stopIfTrue="1" id="{312472FA-3E15-42E9-B136-BB8BDA8711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58" stopIfTrue="1" id="{2278C214-EC39-47AC-85CD-4B735693A3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57" stopIfTrue="1" id="{EC32AE8E-1490-486E-8F6D-66BE74D2DD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56" stopIfTrue="1" id="{D5D09054-0A3B-4AD1-B5B2-688E602790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55" stopIfTrue="1" id="{B9A23537-2000-4C34-A3F9-B612C09AD5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54" stopIfTrue="1" id="{D387336A-7B3B-43E3-BFEB-5B5D2298D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53" stopIfTrue="1" id="{1B24B7E4-2F0B-421E-8298-500E12802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52" stopIfTrue="1" id="{F4DFA0EE-DBAC-4BAD-8235-4B23B79D50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51" stopIfTrue="1" id="{8E7D244B-3E7C-4399-B065-E565538BA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50" stopIfTrue="1" id="{7EAD0DEC-AF4B-4013-8FAA-07319C8564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49" stopIfTrue="1" id="{7610A61B-5E78-40A4-B02B-450F6E9E70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48" stopIfTrue="1" id="{772B57F5-F4D9-4355-84DF-179F2031A8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47" stopIfTrue="1" id="{1450E70F-E6C3-4863-85D4-A36DEFB3DB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46" stopIfTrue="1" id="{1D1219A3-73ED-405F-B1D0-537F66A90B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45" stopIfTrue="1" id="{AF0C66A3-2E65-4CCC-868C-334DAA3504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44" stopIfTrue="1" id="{41D7DBBA-29C7-4BD2-88E5-19B34513A6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43" stopIfTrue="1" id="{97C4EC14-78FD-45C8-AFB2-677655289C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42" stopIfTrue="1" id="{180BEA1E-626F-42BD-8EB3-A375E2E3F2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41" stopIfTrue="1" id="{2EDED4CE-BFCA-4784-9A35-1622C7B060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40" stopIfTrue="1" id="{874EB7FF-F24A-4AD6-AB04-D58CEA9D83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39" stopIfTrue="1" id="{BD86F397-59B5-42E2-87CB-0B99CE4343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38" stopIfTrue="1" id="{5B183955-372A-4664-90ED-E10A062E40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37" stopIfTrue="1" id="{94BF64A1-4E17-4326-B888-B62E0DBEA9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36" stopIfTrue="1" id="{A0EF60C0-FCEE-447A-8E00-DCC3EEA5FE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35" stopIfTrue="1" id="{F51B9154-92D1-414F-BB1C-E2C86B4B85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34" stopIfTrue="1" id="{545F4DE0-F918-47D7-B7C7-478733D2EA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33" stopIfTrue="1" id="{2F38BC6C-8EBB-4FAB-B7B2-D983C8ECEF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32" stopIfTrue="1" id="{05E527E9-BA1F-43A9-B74B-5043145CC3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31" stopIfTrue="1" id="{7297516D-9603-410F-8D2C-0AB9714C85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30" stopIfTrue="1" id="{4AABCDA2-AA60-472F-B6BA-09DA82F955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29" stopIfTrue="1" id="{44CC772D-201C-4840-9177-0956C41F32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28" stopIfTrue="1" id="{629C2444-CD4D-4F70-A089-A00D29E057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27" stopIfTrue="1" id="{F29A818A-0AF8-4C81-A4AA-A760BFBAA5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26" stopIfTrue="1" id="{B403FC54-68D2-4D32-9971-D7756CB3DB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25" stopIfTrue="1" id="{DCFA4F62-2384-41A9-880D-4D7430A74C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24" stopIfTrue="1" id="{49F4450A-2A52-470B-88A2-19482FD84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23" stopIfTrue="1" id="{35E0D84F-B966-4AED-A62F-F48F4FCADC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22" stopIfTrue="1" id="{2E1281ED-1B87-4D04-A748-1A82896A9F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21" stopIfTrue="1" id="{4095789C-4A58-431A-9189-C95481F461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20" stopIfTrue="1" id="{1D24AF2D-9468-46F7-9539-68EB495580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19" stopIfTrue="1" id="{97F303D0-87B9-47F6-ABDB-80737B40F1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18" stopIfTrue="1" id="{51A977BD-EEFD-4A48-8917-9EEF3DB41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17" stopIfTrue="1" id="{4EDDC7A1-C01C-4B34-BC89-02857248BA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16" stopIfTrue="1" id="{944EDFDC-988C-44AD-96F1-AD6ADF0091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15" stopIfTrue="1" id="{AED57352-4A2E-4FCF-9451-1F8A011135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14" stopIfTrue="1" id="{6B389E41-4A13-46B7-BCA5-58BBE68434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13" stopIfTrue="1" id="{756949DF-7A1D-45A5-9B26-1F94B2AFFD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12" stopIfTrue="1" id="{4B349FBB-66CF-4462-A8EC-126868DC42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11" stopIfTrue="1" id="{29431FC8-CAEE-45DE-BCEE-D8FFE60C33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10" stopIfTrue="1" id="{0F50F81A-8CA3-4889-80EC-AA0793CDC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09" stopIfTrue="1" id="{1FCAAA0B-5651-4456-8864-17EBE003EA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08" stopIfTrue="1" id="{EA4BFF6F-9A3B-48DE-8BCB-FEB69775D4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07" stopIfTrue="1" id="{230D742A-C1A8-44A9-A776-690EBE1F8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06" stopIfTrue="1" id="{134723CD-066D-4F69-8269-3472360852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05" stopIfTrue="1" id="{04AD6B71-BDA9-450D-BB5B-17E3772E9A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04" stopIfTrue="1" id="{1BF4AB7C-CC23-44F1-8FB3-5A1FB8E3B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03" stopIfTrue="1" id="{F7188C29-2D4D-44BF-BA4D-9114380BEB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02" stopIfTrue="1" id="{5299A44E-55B6-42F6-9A18-582A7EE82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01" stopIfTrue="1" id="{007ADDF7-A68C-4843-8C82-1F9F1AC893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100" stopIfTrue="1" id="{6577945B-9C54-49ED-9C46-B3FF67ABDA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99" stopIfTrue="1" id="{8BB224B4-E759-48DB-96FB-03A9AD4E45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98" stopIfTrue="1" id="{09DDD0F3-F1F9-45C9-A927-E10254E452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97" stopIfTrue="1" id="{2EE53B69-73CB-4452-ACC3-25AE617AAE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96" stopIfTrue="1" id="{EA99C0BD-6A35-47B9-A47A-7F7CCC89AB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95" stopIfTrue="1" id="{AC4F62C5-5943-4B4E-9451-9DD491302E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94" stopIfTrue="1" id="{DAB155AA-7033-4697-967A-F6E09EC1C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93" stopIfTrue="1" id="{1B2B9EA7-8B63-4676-9F19-B967F942B2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92" stopIfTrue="1" id="{E20CF707-D706-499D-8A6A-9B084BCCFD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91" stopIfTrue="1" id="{58033170-3912-4048-922D-F6A79A1CA7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90" stopIfTrue="1" id="{5ED37A3D-1F8C-4F63-A2DC-5BCF50D532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89" stopIfTrue="1" id="{6CFF1092-40CA-40B8-B0A4-23F121A46D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88" stopIfTrue="1" id="{77236B9C-F225-499B-BB5A-159799403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87" stopIfTrue="1" id="{1192811D-4D46-4B36-B4C7-6AD8288350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86" stopIfTrue="1" id="{D8BD5717-CBE6-4D5A-9F5A-28F8816A1A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85" stopIfTrue="1" id="{E3A3306F-C391-40E5-BD35-3B8EBA5750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84" stopIfTrue="1" id="{CEF8E865-2E89-4D85-8583-D2AD574B1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83" stopIfTrue="1" id="{D0B52B1A-BC9E-4ABA-9095-BE27B754E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82" stopIfTrue="1" id="{0FADBD96-6B2E-46FE-8E38-E7EF2B9D33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81" stopIfTrue="1" id="{6B647BDA-4390-4C59-A01A-B5C27FAF3C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80" stopIfTrue="1" id="{BC0C119F-5406-4E02-A48A-A81E8C7B47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79" stopIfTrue="1" id="{D081BF16-498F-426A-B1BA-6332DF7E83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78" stopIfTrue="1" id="{0C2F97F1-A42E-42DC-A96B-C6374C0FAF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77" stopIfTrue="1" id="{B4A3D797-1D1C-4D86-B0CD-48214678BA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76" stopIfTrue="1" id="{0C4AEFEE-FF81-497C-96BC-4DCD5B984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75" stopIfTrue="1" id="{B4B4F2DB-03CC-4F84-AC39-2C8C1230D0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74" stopIfTrue="1" id="{FA9ACD6D-4629-47D5-8D5A-B4A1F8A678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73" stopIfTrue="1" id="{93D32991-61FE-426E-AC13-56B7DB3C78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72" stopIfTrue="1" id="{2858E3F8-83E2-4583-880D-F9775131C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71" stopIfTrue="1" id="{8D973569-E5D1-4327-8610-FA52068F3D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70" stopIfTrue="1" id="{E8BFF253-4FCD-4EB6-9477-7D6A066447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69" stopIfTrue="1" id="{ED8365D5-E84C-4A4E-ADC0-1385C2063C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68" stopIfTrue="1" id="{68183224-CE15-447C-AE9C-5111EF1400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67" stopIfTrue="1" id="{081B03FC-F390-4836-89C1-1992FE1315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66" stopIfTrue="1" id="{48256DA7-144B-4973-9ECD-A63932D79C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65" stopIfTrue="1" id="{2E471F10-C9C1-44F8-8EB5-733EA8196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64" stopIfTrue="1" id="{A9EF97C6-BAF1-46F5-AA63-14AB22DA2E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63" stopIfTrue="1" id="{373C07F5-D89F-4075-9F73-E2509B1940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62" stopIfTrue="1" id="{D7E03F45-F4D4-4A29-A8C0-A254DF1750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61" stopIfTrue="1" id="{B79422B2-B593-4196-874D-412B421A74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60" stopIfTrue="1" id="{8384397C-4FD3-424C-BF01-2440FC10B7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59" stopIfTrue="1" id="{D023AF3B-097D-4634-9393-AF63E56F16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58" stopIfTrue="1" id="{D10C526E-B941-42D5-8FAD-8B2795086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57" stopIfTrue="1" id="{99886B34-509A-487D-A244-4489A9FF8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56" stopIfTrue="1" id="{01AE46B5-94E4-40E7-913F-EF7C5F4208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55" stopIfTrue="1" id="{603BF18B-1C7B-488A-82B0-146AFEE4C1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54" stopIfTrue="1" id="{B9C9983B-0B26-444C-A730-BF722D51EC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53" stopIfTrue="1" id="{DCA91D2B-E8D6-4EB3-A1B7-1CB93DA35A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52" stopIfTrue="1" id="{15C5D751-FC13-4DE1-9C8F-96E4B0F370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51" stopIfTrue="1" id="{D0E94D57-D534-47E1-877C-00884F32D8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50" stopIfTrue="1" id="{5C480998-CF9D-4430-95CB-1FCEA3CB05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49" stopIfTrue="1" id="{83EABFA1-F867-4A25-A297-2F4171A9DC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48" stopIfTrue="1" id="{741E7762-2B4B-473A-9642-8DACD3C60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47" stopIfTrue="1" id="{47F90271-36BC-415C-B23F-DE0D6B895C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46" stopIfTrue="1" id="{433EC12B-9675-4F39-86D4-AA3D46374E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045" stopIfTrue="1" id="{6F7E3021-AF69-40E1-8F2E-14F18EFF6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868" stopIfTrue="1" id="{77347C05-F9F5-402D-9CC4-E2AA24EB16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67" stopIfTrue="1" id="{74EF4C26-2A79-4AF0-9A1F-39D9EA148C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66" stopIfTrue="1" id="{830FC09E-6FAD-49D5-A3E5-1FFDA2E3A3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65" stopIfTrue="1" id="{D159CCAE-E91F-4E54-9EA6-05CF95DE6A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64" stopIfTrue="1" id="{A49CBF3B-C36E-4B98-BEE9-CB17EFC97D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63" stopIfTrue="1" id="{3B3E787B-4BCD-49E7-B4A8-02FBA91F3A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62" stopIfTrue="1" id="{8611BDE9-9751-41F8-A7F2-9A1093617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61" stopIfTrue="1" id="{4759CFBE-5EA6-49DC-BDBC-AFB71F9349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60" stopIfTrue="1" id="{93ECFC3A-1939-4F7F-A756-76E7789BE0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59" stopIfTrue="1" id="{3F34CF9A-966E-4553-9523-5E186DDD7C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58" stopIfTrue="1" id="{63536DF1-6C48-4F2F-A37F-E40D31827D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57" stopIfTrue="1" id="{0D375C2E-6949-41F3-8DD7-8356A8D47A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56" stopIfTrue="1" id="{F9D95403-2041-456E-8D72-29D63BADB1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55" stopIfTrue="1" id="{7AC0679E-0090-4824-93BE-B2C2EE5CD9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54" stopIfTrue="1" id="{3DC6B1C1-AF31-4B48-8BBC-1DEF688C1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53" stopIfTrue="1" id="{589CDAB5-548C-487D-9272-4F50F5C893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52" stopIfTrue="1" id="{3C8492B9-B471-4808-B7AD-59E29A6E9C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51" stopIfTrue="1" id="{33A87D14-7B8B-4DDB-8BBE-8A12405F0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50" stopIfTrue="1" id="{15C03B72-D367-4FEE-A769-F3292C68F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49" stopIfTrue="1" id="{AE52CC53-1D64-44A3-8824-FBC5C4A4C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48" stopIfTrue="1" id="{0B7298C9-6D2D-41DD-84B4-520FC9DDF7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47" stopIfTrue="1" id="{21655943-07FC-42D9-9579-E41F1FBC23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46" stopIfTrue="1" id="{3E9BDC14-A379-40AD-8887-E90F3FCD4C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45" stopIfTrue="1" id="{C8AF6DE4-687C-4275-AE0A-1BE4B7090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44" stopIfTrue="1" id="{53D68BE5-F257-4EC8-AEAF-24A4B2A8B8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43" stopIfTrue="1" id="{DE11701D-83D9-416B-94E6-9F73EA0160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42" stopIfTrue="1" id="{CA01AA81-327C-4CF8-947E-B29D8FDCEB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41" stopIfTrue="1" id="{D15DB6C5-6132-47A8-BC89-266B5F3FE8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40" stopIfTrue="1" id="{A2E8684D-DC05-48AC-B516-6EEC1DFA7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39" stopIfTrue="1" id="{23D3D04C-9C1B-429B-AD7B-E180D94FC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38" stopIfTrue="1" id="{093CF6EA-E4F0-4EC6-B62D-2B63413D8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37" stopIfTrue="1" id="{5679FD8A-6132-4B9E-AFC6-14C6B88C46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36" stopIfTrue="1" id="{87CDF4FE-336A-46BC-ADAB-E76FE1BEE5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35" stopIfTrue="1" id="{BC8AE207-DE09-434F-9BC9-AC9FD3DFC7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34" stopIfTrue="1" id="{0D3A5B56-8E9B-4A51-AF48-F9FB0554C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33" stopIfTrue="1" id="{D0647E67-2202-408F-ADF8-FD65C2AB06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32" stopIfTrue="1" id="{7E45146D-7743-4402-AA6D-F1D578D8AE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31" stopIfTrue="1" id="{95B1C62F-A49A-45BC-817D-9845CB817D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30" stopIfTrue="1" id="{2792F3B9-F75B-4030-8AE3-3446A9DBFA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29" stopIfTrue="1" id="{4FD45DEB-ED96-4683-AF8F-B2F3AD4627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28" stopIfTrue="1" id="{ECA7286F-2717-4BE1-8652-F54BDFA6E6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27" stopIfTrue="1" id="{690FEEE8-E420-4625-BE90-402A4BC9B2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26" stopIfTrue="1" id="{27CF0EBD-8536-4508-BD0D-27E167F824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25" stopIfTrue="1" id="{9F250956-DB71-459C-B6AE-C60FBFAC6F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24" stopIfTrue="1" id="{33BE72CE-67C3-4222-8C8A-41184755A1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23" stopIfTrue="1" id="{6B75C42E-62C1-4AE7-AA6A-0039314117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22" stopIfTrue="1" id="{5E9D2409-D079-40A1-8620-164F56741A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21" stopIfTrue="1" id="{8F76BDF1-C5D5-411A-93F7-03560C18D5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20" stopIfTrue="1" id="{B16A8259-840F-4712-8EC8-7E78F47603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19" stopIfTrue="1" id="{655A7F29-5D7B-4E93-8FC4-201566A85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18" stopIfTrue="1" id="{2ADF8730-F27E-4254-B42C-4DF9769E09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17" stopIfTrue="1" id="{A39E5D2E-8CE4-426A-B7B3-D00C2A812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16" stopIfTrue="1" id="{AE96587F-44EB-428A-A09D-67729E8DFC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15" stopIfTrue="1" id="{1E6E46CD-05D5-4E8A-BB2A-48561FBC02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14" stopIfTrue="1" id="{FD6820A9-39EB-4054-959F-06AC00A47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13" stopIfTrue="1" id="{59AC3FE1-D612-45BD-A142-4FF548753B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12" stopIfTrue="1" id="{88A5A325-BFF3-4720-9A20-8BD6F2E63B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11" stopIfTrue="1" id="{B08094F9-AE7F-446F-8C31-A4D7FD9FFD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10" stopIfTrue="1" id="{F3EF0BDD-B56D-45AC-B0D1-F716E96F11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09" stopIfTrue="1" id="{4093CBC1-6204-498F-B7E0-631FFF6B1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08" stopIfTrue="1" id="{D5B7EF12-7837-454B-B65C-B8A326E84E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07" stopIfTrue="1" id="{15CBB565-2E8D-43F6-B8CA-D6E69D3FCE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06" stopIfTrue="1" id="{79108D8D-FF94-42AA-B7F8-B58CE7E080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05" stopIfTrue="1" id="{8F60E700-C6B8-4FC0-A290-5FD9EC3595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04" stopIfTrue="1" id="{952B587B-C959-49F0-BA6B-99BFE6CE1F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03" stopIfTrue="1" id="{9B23C2C6-5C42-4740-8EEC-37FE928C6D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02" stopIfTrue="1" id="{730DC7C2-4611-4BB6-BB3C-D3841C8D1F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01" stopIfTrue="1" id="{925390D0-27D2-4A8C-8259-53D6CAA01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800" stopIfTrue="1" id="{66D1F473-5330-4061-81AC-645D0373A4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99" stopIfTrue="1" id="{7F9CABCF-06F6-4EB9-B6CE-FCE725438B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98" stopIfTrue="1" id="{435E2216-7DE1-48C0-8B5D-813E0C123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97" stopIfTrue="1" id="{0CEBC37B-C88C-4507-BA91-45DD3EAE9E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96" stopIfTrue="1" id="{ACE83509-C94D-46A2-88F9-2CAC365A29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95" stopIfTrue="1" id="{14896530-5F81-4ACF-AA6B-12B0C0F1C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94" stopIfTrue="1" id="{11376432-50C2-4C7C-9F52-063A228E98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93" stopIfTrue="1" id="{C56D0222-0211-4200-A43C-CFC51C9AE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92" stopIfTrue="1" id="{6EEBEAF5-8146-4551-9DDE-E2A4124A88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91" stopIfTrue="1" id="{E2C00774-3140-49C9-9BD3-047B7816A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90" stopIfTrue="1" id="{8D6133DE-BF50-479A-9FF5-87C99E254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89" stopIfTrue="1" id="{A0A5CD04-826A-411B-9761-96793550C9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88" stopIfTrue="1" id="{E380AD31-724A-40DC-A94B-760A111E58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87" stopIfTrue="1" id="{E85D333E-E78B-4B34-A760-D81A4E64D4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86" stopIfTrue="1" id="{BF73C68E-E240-4858-B10B-E48E6BBFFB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85" stopIfTrue="1" id="{45828BA5-5B8D-4286-B10E-DF3FEDCA34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84" stopIfTrue="1" id="{8C35ED3A-E701-4A9F-8C7F-D8B38F6400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83" stopIfTrue="1" id="{0C3CD4FD-2C24-4DE6-9DB3-9BBF0EE845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82" stopIfTrue="1" id="{C74AB4A6-2259-4577-A1D4-525DC6E228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81" stopIfTrue="1" id="{149F62D4-8F85-4066-AA17-2D91FA8300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80" stopIfTrue="1" id="{92E91571-1443-4E9C-97DA-92426FAB5D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79" stopIfTrue="1" id="{C96B8226-ABCA-4265-9B11-41E25200CD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78" stopIfTrue="1" id="{A9A84C7B-6909-4DF7-86DC-502E78A653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77" stopIfTrue="1" id="{3A8BBF61-1375-456E-9238-CEF4D47440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76" stopIfTrue="1" id="{0C502526-8690-45A8-9E29-A2FF9573F4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75" stopIfTrue="1" id="{37D360FE-A6B4-4B6E-8BE3-526E245A73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74" stopIfTrue="1" id="{3BF9A90D-6924-4308-AEB2-DB5264D65E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73" stopIfTrue="1" id="{4DB16B5C-FA3C-4B31-9288-F5BC21BFC0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72" stopIfTrue="1" id="{D4241AB0-A84C-4DD6-A706-B0A754B52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71" stopIfTrue="1" id="{3D8DA720-9E3D-4DC6-85BC-C63B935DD1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70" stopIfTrue="1" id="{778E30F9-6B07-45C1-9714-5C11CA0AE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69" stopIfTrue="1" id="{42A950CF-42D4-4929-8150-B618628743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68" stopIfTrue="1" id="{C8630264-FF7D-4007-AF27-53EA29826F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67" stopIfTrue="1" id="{8C0A8E84-862D-498A-A67A-75DEE9E12C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66" stopIfTrue="1" id="{C04A62F8-DD17-4019-8FF0-6323BA26A2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65" stopIfTrue="1" id="{82748193-768D-40A3-AF07-BDFDA8BDA6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64" stopIfTrue="1" id="{55A8DBC3-D6BC-4855-9343-5C429F4076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63" stopIfTrue="1" id="{2D02AA11-0F66-43C5-921F-2E23AE150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62" stopIfTrue="1" id="{BA8C124A-3718-4B67-9577-3607D34268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61" stopIfTrue="1" id="{14F9E402-89BD-4B81-A134-136302E969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60" stopIfTrue="1" id="{6B2D83A1-B8BD-4907-8EFE-FADE4146F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59" stopIfTrue="1" id="{06CD79E1-8C3C-4B39-98AD-04164F1A63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58" stopIfTrue="1" id="{4B14CB63-59DF-43C8-8C58-B7C8D95AD9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57" stopIfTrue="1" id="{B594E54C-6710-49C5-9821-4A233CD152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56" stopIfTrue="1" id="{484CE641-5041-4FDD-92F5-9887F80671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55" stopIfTrue="1" id="{B2F46F36-2FA0-467C-975C-ABD8C614A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54" stopIfTrue="1" id="{836339D3-826F-4607-B532-1122E0B9E4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53" stopIfTrue="1" id="{417EA398-04FF-4F5E-9C88-EF9868414B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52" stopIfTrue="1" id="{3F8FA05F-6721-402B-802E-A937B1B385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51" stopIfTrue="1" id="{D894CD11-8FFC-47F5-B559-C8837DBAAF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50" stopIfTrue="1" id="{845CBD04-693C-43CA-AE09-661070105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49" stopIfTrue="1" id="{EBF8B8C7-6D7F-47E9-B2BB-C56A9CBBB9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48" stopIfTrue="1" id="{8D70D8F0-386D-4FAC-AE19-AEF08F2B1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47" stopIfTrue="1" id="{26B5615F-D36F-418B-ADCA-7E5E8FDBD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46" stopIfTrue="1" id="{39E19FF4-918A-4C78-9238-8BBB441FE2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45" stopIfTrue="1" id="{50917A49-16D9-488C-AD0C-9483BC2B18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44" stopIfTrue="1" id="{708C3E3B-E845-4100-B784-42156C782C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43" stopIfTrue="1" id="{729260B7-05C8-4650-9CCB-95D66F80FD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42" stopIfTrue="1" id="{F38F1E84-0E2B-49EA-A4B4-01E452B6CC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41" stopIfTrue="1" id="{C73ED339-1A3D-4FE2-8D95-EC5139E245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40" stopIfTrue="1" id="{5E0054EB-5627-44A4-9E44-E2328B2668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39" stopIfTrue="1" id="{BFF625DB-BF54-4CB2-9D85-5A93BA6927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38" stopIfTrue="1" id="{8D8043D4-1E35-439D-BB43-C808C7D294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37" stopIfTrue="1" id="{96145B04-60AE-45DE-8CC8-FDAED64DB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36" stopIfTrue="1" id="{647AA095-E400-4109-8E48-20A46153E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35" stopIfTrue="1" id="{FF4497EC-49AE-4C28-AE19-D30A36BBBF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34" stopIfTrue="1" id="{5D38893B-3382-48DA-9F34-1D42884F05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33" stopIfTrue="1" id="{59497F84-BB03-4282-B214-32923FB96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32" stopIfTrue="1" id="{1C8B6561-B19A-4DDB-BD6B-EF0D64E4A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31" stopIfTrue="1" id="{529C76E5-50F6-4E42-8DE6-B43DBCB9E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30" stopIfTrue="1" id="{B3DFCBAA-B2D5-4994-A9CE-A25615A0A4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29" stopIfTrue="1" id="{4E41B7D0-A8D7-4786-AD7E-1A57AECB61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28" stopIfTrue="1" id="{476DC1C9-A3C2-4C66-8E1D-472562C594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27" stopIfTrue="1" id="{CA32A367-B76D-4866-BCAC-87265866EB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26" stopIfTrue="1" id="{36FB3897-9435-4144-BB54-76E73641BD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25" stopIfTrue="1" id="{587369D2-D592-4E70-9640-3CA14241B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24" stopIfTrue="1" id="{B82E2297-57E9-4B42-B99C-D7AA47B34A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23" stopIfTrue="1" id="{CABE7FD6-725F-412D-8C3F-6E1EAB002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22" stopIfTrue="1" id="{6E72227F-203C-4E9D-B67D-BC84D174C4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21" stopIfTrue="1" id="{F73952AF-5DD8-45E0-AA67-9AF8DCF6F5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20" stopIfTrue="1" id="{EAA6AA8F-E2C8-473E-89A4-365E11BD1D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19" stopIfTrue="1" id="{99D58391-8BBE-4C82-9BDE-292B7C97BD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18" stopIfTrue="1" id="{7B9FDAE2-1DE6-4FB4-9E51-48BAEDE52A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17" stopIfTrue="1" id="{8BFBB5CA-2092-4596-89E0-204203A57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16" stopIfTrue="1" id="{A4A11D50-0C23-473D-B4A0-118C9C6519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15" stopIfTrue="1" id="{5F5D01C5-9D92-4839-8C91-ABE4D0827D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14" stopIfTrue="1" id="{28DBCF75-31CE-44BC-866B-848F5BCDE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13" stopIfTrue="1" id="{CA6DCEF1-E912-4967-A633-168AF56B6B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12" stopIfTrue="1" id="{C940B548-5B35-4FA0-91A3-3932E964D2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11" stopIfTrue="1" id="{44AE9EF1-89E3-4DBC-90BC-81273FAA26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10" stopIfTrue="1" id="{F20E9BBA-F4F5-42AC-8989-103FE4D71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09" stopIfTrue="1" id="{08194803-08AA-4E4D-AAEF-A5C17734A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08" stopIfTrue="1" id="{C41EE138-34E2-4E1E-AD2A-C66968B0B1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07" stopIfTrue="1" id="{D46A4BBB-F643-46FD-8E54-7CE9EAB442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06" stopIfTrue="1" id="{2EBFC703-8FDD-426A-9AC3-1911247D3D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05" stopIfTrue="1" id="{BEB16348-5B3A-46DE-AAFF-767DE1483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04" stopIfTrue="1" id="{7C19B1E3-BDEA-47BB-AF7A-DF3A6B427E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03" stopIfTrue="1" id="{A3EF4354-75B6-4D70-82C8-D86EDE58F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02" stopIfTrue="1" id="{E95F6DC8-2C26-4A7A-9D76-E57F101FD8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01" stopIfTrue="1" id="{885D87FF-63D8-4FCF-89A4-7BD7EFA58A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700" stopIfTrue="1" id="{94B01E47-CF5F-4218-8F7A-9F285263D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699" stopIfTrue="1" id="{D0E97FF3-A650-4853-9769-3A11562B6E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698" stopIfTrue="1" id="{DE8F78E2-1F52-4ED9-BA4E-43A01EA0AC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697" stopIfTrue="1" id="{8DE4EC04-2D2E-468B-9616-7D029053DB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696" stopIfTrue="1" id="{0F1F4740-6A2F-408C-927D-D03BDD6893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695" stopIfTrue="1" id="{E842B302-9503-42B9-B49A-FBD23DDA75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694" stopIfTrue="1" id="{2627987F-2BDC-40CF-817D-9FA4ABC79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693" stopIfTrue="1" id="{2C7B0026-3EE5-4F18-80D7-1F3AA5A8CE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4692" stopIfTrue="1" id="{7FEED8DC-3911-4AE3-8EDF-DF10ABF319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91" stopIfTrue="1" id="{5FD17575-2E67-440C-9C64-7753AA9D9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90" stopIfTrue="1" id="{F1F39C31-8B80-4ADF-B395-9B116D0E11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89" stopIfTrue="1" id="{E39F365D-5056-431E-85B6-3670DE7555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88" stopIfTrue="1" id="{52F04F69-7858-46B8-A7E7-924F939673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87" stopIfTrue="1" id="{7150BF7B-D6FD-4FED-A039-417C79FC9B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86" stopIfTrue="1" id="{94915DE6-DAB9-4080-95E5-40EA26C197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85" stopIfTrue="1" id="{3DC8150F-8962-4AA0-A4C9-C1EE539449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84" stopIfTrue="1" id="{161D8CAE-4B9A-443C-B08F-52BCE9F3DC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83" stopIfTrue="1" id="{07F59A27-C229-4988-80F9-F6B90B63B5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82" stopIfTrue="1" id="{BB9F9A49-1955-4D9D-9479-635E1B9737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81" stopIfTrue="1" id="{192E2EBD-EC45-4738-AE45-641E1F4512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80" stopIfTrue="1" id="{225525C1-0C3D-4075-98F9-567CE974EE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79" stopIfTrue="1" id="{30FE2B97-C5E3-4BEA-86D1-B82CAD029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78" stopIfTrue="1" id="{D1D575EC-4E67-4615-9B3C-00328A0B7F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77" stopIfTrue="1" id="{73BF727B-83C9-4B0E-9616-88616A722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76" stopIfTrue="1" id="{17FE4B89-C924-4063-ABEA-DD9FE7E3F7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75" stopIfTrue="1" id="{244381FC-51EC-46F7-AD32-E6DD592061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74" stopIfTrue="1" id="{A025151F-E064-4D37-8205-70C851B77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73" stopIfTrue="1" id="{27DABDA0-FAE7-446E-A2B8-994836BD7D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72" stopIfTrue="1" id="{77C0B2FD-84CC-4D0F-A0D5-08FD3743E1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71" stopIfTrue="1" id="{D028E4A1-A5F6-4853-82C6-2145F8F241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70" stopIfTrue="1" id="{F4793E8B-B4C2-4A0C-9F5A-FA1FBE14AC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69" stopIfTrue="1" id="{06CAFA8B-314D-4266-ADFA-C7FB213058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68" stopIfTrue="1" id="{7D804274-E151-45D4-A421-AF6B178299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67" stopIfTrue="1" id="{F472E8D3-DBDB-44B7-B5B0-9636A54081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66" stopIfTrue="1" id="{FC6253B1-E233-4437-897B-C401A2B8F3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65" stopIfTrue="1" id="{A54CD83C-AE69-4418-94AD-560DE779DB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64" stopIfTrue="1" id="{DB7EC6D1-296F-4452-B030-2873D46F9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63" stopIfTrue="1" id="{6DD994EB-8303-4D0F-8AED-632415913C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62" stopIfTrue="1" id="{82385EC5-E49B-49CC-85B1-0C55B34717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61" stopIfTrue="1" id="{8F9825BB-7617-443C-906E-E21A2EDF88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60" stopIfTrue="1" id="{AFF70A79-165F-4C8B-AF29-BEB08BFFBE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59" stopIfTrue="1" id="{7FEB982B-0DDF-4DF3-A40D-F428C6B67F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58" stopIfTrue="1" id="{947A6784-A079-4F10-B1B0-C2B2B93E0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57" stopIfTrue="1" id="{702BB3B4-16D7-42D4-9BA0-674FFDAFF5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56" stopIfTrue="1" id="{1E2ACC90-9BF8-4B8A-9BFD-3051B4E22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55" stopIfTrue="1" id="{173C8DE4-715A-47F5-93F3-949C61F2A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54" stopIfTrue="1" id="{1BF8E6D2-66FD-4D39-A34B-940E0684B0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53" stopIfTrue="1" id="{AC991464-2857-45C8-9F12-39927378ED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52" stopIfTrue="1" id="{E3F15E11-F490-42A7-AEB8-C18CEDE0BB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51" stopIfTrue="1" id="{458FB658-BD95-4FAE-A74C-ECF6A89F31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50" stopIfTrue="1" id="{57E3756A-FC9B-40B7-89F5-3FE9A22378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49" stopIfTrue="1" id="{0D02FA5F-6B79-4614-BF43-A10ECA705B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48" stopIfTrue="1" id="{1A756E08-7063-49CC-9DEB-20F1EB637A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47" stopIfTrue="1" id="{039D005A-9DFF-47C3-AFD6-45D05502EE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46" stopIfTrue="1" id="{32954E5F-BD6A-47C1-832A-C235183E89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45" stopIfTrue="1" id="{787C4726-94C0-4BB2-B5AE-0115B3712F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44" stopIfTrue="1" id="{3A8F977C-D1A6-4BF8-AEED-132ACA1FC9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43" stopIfTrue="1" id="{BA500AA9-891B-453E-B374-D48A23CAFF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42" stopIfTrue="1" id="{2C81BAA7-AAC2-4CEA-A9FB-046F28EF1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41" stopIfTrue="1" id="{711B5E87-5465-49DA-9DFA-7AF1B607FC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40" stopIfTrue="1" id="{8A912CB3-6BEA-4EA0-AFF2-583A9788A6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39" stopIfTrue="1" id="{E611B581-21E4-425E-AB19-26F9EE67E3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38" stopIfTrue="1" id="{FFC8D1F5-17D8-4564-8026-5E47BA9B97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37" stopIfTrue="1" id="{1C24FD36-CA11-431D-B3F0-5B25BD39D1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36" stopIfTrue="1" id="{6AC63889-3AF4-4D44-AD49-82765013FF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35" stopIfTrue="1" id="{6E784FD9-9EDF-4FB2-AF7B-C4619D62A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34" stopIfTrue="1" id="{A82A5947-0A20-4F93-96E4-04366BFC5D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33" stopIfTrue="1" id="{F02E2CD7-5515-41BD-A813-72431617B1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32" stopIfTrue="1" id="{B0A687B5-871C-4394-8388-AD4154A360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31" stopIfTrue="1" id="{C4BB6BD0-C076-4AE8-AE9B-0F8CB7A170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30" stopIfTrue="1" id="{9C531261-DB14-41BA-86C1-A1A564515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29" stopIfTrue="1" id="{4DF082D6-79D4-4BE7-86D5-05A8018762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28" stopIfTrue="1" id="{2CAE8A48-FAD0-48BC-B6F0-05244F4EF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27" stopIfTrue="1" id="{5EC91095-7615-46BE-94D9-460DFECF94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26" stopIfTrue="1" id="{3DB04C6B-37C4-49DF-82EB-A4A66F36CD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25" stopIfTrue="1" id="{4158B253-E65C-4B74-A521-DBFAEE1587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24" stopIfTrue="1" id="{A33E0D94-A4B5-4B79-9898-36AF6E8159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23" stopIfTrue="1" id="{D0CDE3F2-E3C7-49A3-B3A0-F949BD8495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22" stopIfTrue="1" id="{A6A210FE-9B8D-400C-8BFF-B3535BE2E7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21" stopIfTrue="1" id="{0CC65E23-3BA8-4B47-9AAA-65BE386DDC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20" stopIfTrue="1" id="{58CA6884-5D52-4638-831A-B1CEC7B882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19" stopIfTrue="1" id="{B81F5313-91E3-4EAA-A5CE-D36DBD7E0B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18" stopIfTrue="1" id="{9E7B4AD7-4CB6-4B41-B816-10D6E883FD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17" stopIfTrue="1" id="{7E2E99CF-7D9A-43F2-9CF6-95CBA918D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16" stopIfTrue="1" id="{1C080522-8356-4F86-A18E-4CEEE4FEFC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15" stopIfTrue="1" id="{9CF270D1-67D9-43B0-9A25-361C20DB9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14" stopIfTrue="1" id="{96C95DE2-161A-4D24-8FC1-3F6027CA5C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13" stopIfTrue="1" id="{22D03A86-FDE7-4145-A43A-2F05227C93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12" stopIfTrue="1" id="{38D5A919-6D62-4D85-8498-CF79DFEFE8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11" stopIfTrue="1" id="{5A187406-BEC7-4DBC-922C-9FE63711C2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10" stopIfTrue="1" id="{AFBE4F8A-1204-4C50-93BE-BE2BF6679A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09" stopIfTrue="1" id="{8B669306-C95D-429B-A5BA-1C9D1F2A07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08" stopIfTrue="1" id="{16294B45-2545-4B48-827B-2091DD9EA2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07" stopIfTrue="1" id="{DCB8D13F-B2B7-4328-9930-B6F69A7537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06" stopIfTrue="1" id="{B9DF7DF7-E48F-403C-ADDE-6E03CB0EE7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05" stopIfTrue="1" id="{3267AAEB-B6C9-4DEB-9BF1-3D3A3F4F42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04" stopIfTrue="1" id="{5127419A-EA6B-40B7-87C9-24544C0580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03" stopIfTrue="1" id="{EDE1EE29-1746-4E4C-8CBF-A3BAD3260F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02" stopIfTrue="1" id="{B99E0580-0128-435B-A7EE-309CDDD6AB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01" stopIfTrue="1" id="{AFA97141-05CC-4557-B447-E4D0EDA958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600" stopIfTrue="1" id="{1F1ECF62-E28C-4102-BC7B-4CE0EFEDF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99" stopIfTrue="1" id="{CA6A95AD-5512-4529-B440-6A6868BDE9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98" stopIfTrue="1" id="{4F1B3D14-79A0-4DF7-955F-7FE113446C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97" stopIfTrue="1" id="{FBABE72E-9556-4272-8613-670D51C0F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96" stopIfTrue="1" id="{4DB1280B-8307-4236-8AD9-18953F492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95" stopIfTrue="1" id="{ED7B1498-1FC9-44BF-8FFC-5AF179545E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94" stopIfTrue="1" id="{FB6BB577-B529-49F2-B95E-97E19CEA17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93" stopIfTrue="1" id="{D8A6ACFB-3F85-444F-B116-C7890C1CED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92" stopIfTrue="1" id="{BED0CC69-226A-40B9-B4B9-005A40FA8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91" stopIfTrue="1" id="{AB8F947A-1AF8-4B3F-8A81-644D06F926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90" stopIfTrue="1" id="{6A62A832-9CC1-41F6-B899-7A6C982899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89" stopIfTrue="1" id="{332012B1-54B7-4736-9D79-ED6B98CAF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88" stopIfTrue="1" id="{ED2382EB-31E2-4443-864B-D4EA8C557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87" stopIfTrue="1" id="{86173330-6CD1-4535-AE90-378E4007B8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86" stopIfTrue="1" id="{7A7BA90F-52C6-4FA3-9A21-B2AC8B6D80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85" stopIfTrue="1" id="{315BA59B-A7C6-4FED-9525-AE14B74E75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84" stopIfTrue="1" id="{3F39FE35-6F49-45FB-8B59-B142A7AE1E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83" stopIfTrue="1" id="{6CF02BF6-5F11-4AD5-9EBB-06110CAE1A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82" stopIfTrue="1" id="{0C48F42B-DAC3-4E95-BA40-5DC13D9DF2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81" stopIfTrue="1" id="{67F0AE1C-F67B-4E05-9396-E691C4E8B8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80" stopIfTrue="1" id="{236A4D92-B1CE-4FB8-8BE3-F25E8B8E59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79" stopIfTrue="1" id="{F446A64F-4C40-4454-BF3B-ECC07ADA77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78" stopIfTrue="1" id="{113A9ACE-CA7A-4C11-AA52-D3A4FFA947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77" stopIfTrue="1" id="{BD9FA402-FEB6-4323-BDCC-D9B533F047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76" stopIfTrue="1" id="{DCC0D429-B525-4E2A-A5E6-5804AECEAA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75" stopIfTrue="1" id="{11F79D9A-7569-4540-B762-1310249666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74" stopIfTrue="1" id="{DC9F5272-53A9-4E6B-AE87-6B209E86D7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73" stopIfTrue="1" id="{0BF14F3C-D3CB-4CA9-90FE-6459897DD0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72" stopIfTrue="1" id="{5D947C71-33D9-49C5-9F43-9AF69AB629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71" stopIfTrue="1" id="{909446CF-64D1-424E-A7B8-89C540E85F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70" stopIfTrue="1" id="{11D83A66-3E32-4151-AA5D-C0C67EBB37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69" stopIfTrue="1" id="{FF84350E-9E0F-4650-A59B-EEA3EC631B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68" stopIfTrue="1" id="{30103956-859D-4B80-98B7-77CB2ED6FF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67" stopIfTrue="1" id="{E6F9B9E7-E158-4110-BCC6-F4DCB12056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66" stopIfTrue="1" id="{52E37BE5-9664-468B-81D3-79F46D3A87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65" stopIfTrue="1" id="{8D0DF29F-0230-4516-8ECD-18C394C377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64" stopIfTrue="1" id="{02F54E35-E5DE-4864-B947-F3278945BB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63" stopIfTrue="1" id="{F14B6F72-BD10-4278-A2F0-15381B7A83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62" stopIfTrue="1" id="{BFD1E043-991F-4910-8FFD-889B0D2052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61" stopIfTrue="1" id="{0161AF15-152B-43C6-8F8A-548C2B58D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60" stopIfTrue="1" id="{47695044-7FAF-4010-90F2-63336FE6E8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59" stopIfTrue="1" id="{CAE5EDCD-5167-4A64-B73A-564F8CF224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58" stopIfTrue="1" id="{92F36AFD-59F9-426C-B60E-B288C3C83B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57" stopIfTrue="1" id="{58409CDF-3373-401F-A2A4-C1FB738FB5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56" stopIfTrue="1" id="{3E13CDDA-44B6-41A3-A6F1-BAC803B672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55" stopIfTrue="1" id="{701775BE-FFA8-43D4-9128-085A436D9F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54" stopIfTrue="1" id="{17992B15-5049-4B47-AAED-B6F7FD5538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53" stopIfTrue="1" id="{9ADC677D-98BC-47D3-A0A8-CE88E5933D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52" stopIfTrue="1" id="{2041388C-9FE2-439A-A5CD-213FBCE1C9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51" stopIfTrue="1" id="{F6B0AB94-29F9-44F2-A953-E852638FEE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50" stopIfTrue="1" id="{0E7364EC-758A-4378-A94A-B23DE4897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49" stopIfTrue="1" id="{7C3FBC1C-0C72-47AD-9EB6-AEF579B8F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48" stopIfTrue="1" id="{7BEFCECB-9F10-401B-BF05-36177EEE71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47" stopIfTrue="1" id="{CE5EC2DA-15B6-44C4-AAC6-38857D71F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46" stopIfTrue="1" id="{4623F390-CC7D-4ED3-A790-341D77FFD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45" stopIfTrue="1" id="{2FB0CEC3-FEF0-4F4A-B075-02B815FE6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44" stopIfTrue="1" id="{A1250665-8971-4623-A5D3-ECEDA48CA4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43" stopIfTrue="1" id="{117168C5-7C8D-4FB3-A8EC-59312792B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42" stopIfTrue="1" id="{76AA37B3-921F-4C4D-994F-A2264DA23A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41" stopIfTrue="1" id="{2EAE9FCF-2E45-4E18-97F3-5B7A3BC2E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40" stopIfTrue="1" id="{F5AD79A9-DB80-4B08-8A50-1251DF4760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39" stopIfTrue="1" id="{5B67473D-8B10-40EF-8C5B-4D160808A5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38" stopIfTrue="1" id="{29764248-776D-425C-97FD-6467EFAF7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37" stopIfTrue="1" id="{ED399F96-47A1-41BD-9746-122F2FF900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36" stopIfTrue="1" id="{A4D124BD-0F25-42CA-BBC8-24C693FED0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35" stopIfTrue="1" id="{8FBCBB46-A647-4CD7-97AF-2C1F381FB2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34" stopIfTrue="1" id="{F32AB943-1FC8-4834-BFB1-30336F1217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33" stopIfTrue="1" id="{AEFD3E7F-4F18-492F-BAE3-742EB1E74F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32" stopIfTrue="1" id="{2AE124A7-6814-4C36-9051-41AD755FCD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31" stopIfTrue="1" id="{BF7686F8-0201-4D67-9AEF-FDD3C126D6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30" stopIfTrue="1" id="{84DD0788-CD98-4AAA-8822-5568C61CC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29" stopIfTrue="1" id="{4BB0A624-0DD4-4FF6-8AE8-3AA843E4DB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28" stopIfTrue="1" id="{39A000CF-98ED-4036-AE71-42F4C3B92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27" stopIfTrue="1" id="{AB382E1F-2F42-4F2F-A819-53FD5A3E4E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26" stopIfTrue="1" id="{8F8D7636-A58B-4228-B426-772EEBF420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25" stopIfTrue="1" id="{F9C3C206-8FC5-4086-A6EE-AEC0C0765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24" stopIfTrue="1" id="{4281F67C-D4DA-44FD-845D-7DEF787C11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23" stopIfTrue="1" id="{7F7DD531-7BD2-48D3-91E0-8F8258802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22" stopIfTrue="1" id="{BE1291C7-F9FE-4A30-AD53-EEFB2588A2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21" stopIfTrue="1" id="{765F3D07-A3B4-4BDA-BB57-7A7174AEAD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20" stopIfTrue="1" id="{510ECA42-4880-4E9E-B0A2-5CE0211F6B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19" stopIfTrue="1" id="{364B702A-BABC-46D5-980B-CEB9D6BD0B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18" stopIfTrue="1" id="{A19BCA38-776E-4E31-84F4-B8B0CB76F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17" stopIfTrue="1" id="{07DC1D3F-B5DE-496E-8CCA-01140F63CD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4516" stopIfTrue="1" id="{51340A87-FDC6-48E3-A1E9-D9F7A1D099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15" stopIfTrue="1" id="{B3CE5D0E-3668-46C5-9F07-3318E91D13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14" stopIfTrue="1" id="{62B6581B-77C8-413C-8733-60B49B674B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13" stopIfTrue="1" id="{A0E57C66-A6CC-4CB2-9152-0E9DA9836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12" stopIfTrue="1" id="{54D75213-0677-493A-934A-A78F3B6270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11" stopIfTrue="1" id="{A897DA1E-BA7C-444A-A6A7-8AE32F0FA2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10" stopIfTrue="1" id="{E076C4FE-2F9D-4332-8C00-537E7FFAA9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09" stopIfTrue="1" id="{34C5762F-0EC1-40F0-A958-C41D587ACB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08" stopIfTrue="1" id="{E79103EB-A283-4254-AE70-B39BBEA7EE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07" stopIfTrue="1" id="{66902898-488E-4A79-AAB1-404ADEBCA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06" stopIfTrue="1" id="{89B420A4-A20E-408A-8EAF-A870648543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05" stopIfTrue="1" id="{FBDF318C-27F6-4C6D-8256-3985A9D7DF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04" stopIfTrue="1" id="{0C3729C5-F483-470D-8759-8E9888DF02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03" stopIfTrue="1" id="{43D3A5E4-8A86-4EBB-B7B9-845CF37A86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02" stopIfTrue="1" id="{87D5F015-C077-41FF-9F5D-1D290B159D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01" stopIfTrue="1" id="{EC832E0A-CFBE-4C56-AD55-299CE08DBE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500" stopIfTrue="1" id="{23ACD473-1A02-4EF3-B6EF-52736961BD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99" stopIfTrue="1" id="{307EC2EB-CA50-4CB5-BAFC-DAA66DDF1B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98" stopIfTrue="1" id="{B1CC287D-B3DC-4D35-8926-4A120E9E79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97" stopIfTrue="1" id="{54F7AAC3-E6BB-44FD-9062-BA1E4C7829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96" stopIfTrue="1" id="{2B54483D-0081-4087-B255-6FABAFAFB8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95" stopIfTrue="1" id="{00793F0A-BEE8-4614-8F93-7DF2F23BB2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94" stopIfTrue="1" id="{C0F0B883-98F5-4CD4-A734-2D18AF478D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93" stopIfTrue="1" id="{061C4864-6D0E-4167-8142-89D71F449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92" stopIfTrue="1" id="{0179AD6C-F6D0-46E5-8640-80C3F9265D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91" stopIfTrue="1" id="{FD8A16AA-2C9E-4AF4-8046-BECC17614D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90" stopIfTrue="1" id="{EB3F3747-626B-459C-81F0-C26B46D51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89" stopIfTrue="1" id="{DE377298-8442-4688-AD10-25A6F1CF93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88" stopIfTrue="1" id="{C71B78FC-9D5A-4266-9AFB-841A34195E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87" stopIfTrue="1" id="{A68C969C-E729-4346-9DE4-189DB279F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86" stopIfTrue="1" id="{A951658C-018F-4AF6-B07D-9A989E39A8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85" stopIfTrue="1" id="{0A6B7389-422F-4516-9C0A-7331A6D908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84" stopIfTrue="1" id="{DC81B831-2E75-4C99-9038-76CF209472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83" stopIfTrue="1" id="{FA60F460-B1E3-46EC-9BEB-A57AAC4CEC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82" stopIfTrue="1" id="{4E55D6AE-7724-4ECC-B25D-2D9047938B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81" stopIfTrue="1" id="{4E9C7C8F-9EE2-4B0B-BC2F-1925C74ACA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80" stopIfTrue="1" id="{E0C67884-A7E4-4D23-B7C5-F6BD32AE28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79" stopIfTrue="1" id="{3A300ADC-F3F3-48A7-9EDA-1F9504BE34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78" stopIfTrue="1" id="{6B20B017-7D60-418B-AD7D-B6FD00C1EA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77" stopIfTrue="1" id="{6129519D-6221-4571-A353-9706349282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76" stopIfTrue="1" id="{12FA0BB9-D6E1-4D65-B84C-F12F7532D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75" stopIfTrue="1" id="{B8B45349-0B85-4E63-8EE0-7AA55F5363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74" stopIfTrue="1" id="{8AF02CDB-CF79-44D4-83A6-B08168FB0A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73" stopIfTrue="1" id="{1891836E-B87E-4444-8135-601BA12D2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72" stopIfTrue="1" id="{D51EA22E-DB41-42A3-977D-0D1839B6CD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71" stopIfTrue="1" id="{CEE4645D-2B87-4EC2-9C97-119B45E6A6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70" stopIfTrue="1" id="{9BBBCEDF-0A1E-4644-928A-900916851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69" stopIfTrue="1" id="{057515B2-6973-421F-8B9E-DAF76A678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68" stopIfTrue="1" id="{C327B13F-0DAC-4E18-A0DA-4E893146FD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67" stopIfTrue="1" id="{2649EE56-23F5-4E60-8650-6ED7B19AA6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66" stopIfTrue="1" id="{D1687E79-7C59-433E-861D-24DE50F6D8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65" stopIfTrue="1" id="{160108A7-80DD-4C0D-AC5B-BA905C87CF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64" stopIfTrue="1" id="{7BE62155-8999-4F13-A323-C700914473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63" stopIfTrue="1" id="{5FC17F29-D381-45B6-93D0-1E5B69ACA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62" stopIfTrue="1" id="{CD4C7D94-F9E3-4226-8FA3-B4A1A4B8B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61" stopIfTrue="1" id="{97D6EF78-F258-458C-B3C7-3E1C680566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60" stopIfTrue="1" id="{5498E110-EDD4-4B30-B5C1-AEE776635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59" stopIfTrue="1" id="{1B4D4253-6F61-42A4-9BD0-DBCA89C752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58" stopIfTrue="1" id="{787D63BC-351A-417D-BA9F-A99D88AC4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57" stopIfTrue="1" id="{2FCF63F6-5C7E-4455-8CB1-BE8E239C22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56" stopIfTrue="1" id="{302E72A2-C3D3-4201-AAB5-6C3282C4E8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55" stopIfTrue="1" id="{00CA5CAE-12D5-4EAB-B59E-04DBCEB3F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54" stopIfTrue="1" id="{ECAF0FC0-D217-4B57-9DEC-71ED131927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53" stopIfTrue="1" id="{3805B01F-643B-4CF7-840F-6082DBF874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52" stopIfTrue="1" id="{CD774549-D73D-43C6-A3CD-CA934A3EB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51" stopIfTrue="1" id="{EED80ED2-0A2A-41CE-B20F-9032D912DD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50" stopIfTrue="1" id="{B4BA75C0-BF51-436C-98C2-37DC246A1B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49" stopIfTrue="1" id="{1B6BA706-B3D5-416B-ADF9-B4BE225BF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48" stopIfTrue="1" id="{8CA299AA-3E56-4E9A-9F4C-E81F7EC94D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47" stopIfTrue="1" id="{BFE4E28F-228F-4AC3-ACA0-DEFEB3121E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46" stopIfTrue="1" id="{ACCC1B95-EABC-4791-92D6-C840E7CDEA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45" stopIfTrue="1" id="{0DF309DE-5363-42AD-A366-B62AB15F9E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44" stopIfTrue="1" id="{3D60249C-E716-480C-8E40-F98116F358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43" stopIfTrue="1" id="{E16F446E-29DE-44CE-B055-51A0E52A24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42" stopIfTrue="1" id="{80F5555A-3801-4A7F-9F3B-DC650F230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41" stopIfTrue="1" id="{77592015-DDF0-407E-92D1-A1C02187FC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40" stopIfTrue="1" id="{466D9B09-1742-4FAA-BF26-1282366784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39" stopIfTrue="1" id="{A91784F1-B161-4153-A429-9D9D74FCB1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38" stopIfTrue="1" id="{62F47B2E-3F6B-4D1D-8192-3FF6C64094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37" stopIfTrue="1" id="{6C691F56-42D6-4366-ADDF-FCB131DE74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36" stopIfTrue="1" id="{D58030CA-FBE3-4AF8-861B-E8806E5EAA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35" stopIfTrue="1" id="{C0790607-17D5-4DF0-ADC5-6FE5EBB5E0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34" stopIfTrue="1" id="{A9B54261-017C-4594-A681-D50E570210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33" stopIfTrue="1" id="{7FCE9F80-C2DC-4DBB-ABC7-541007F87B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32" stopIfTrue="1" id="{FD247350-F04B-4737-86B4-FDFDFDB098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31" stopIfTrue="1" id="{70D255A2-1966-4845-A779-CF3002A73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30" stopIfTrue="1" id="{A5460697-C145-4539-936B-1AD142479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29" stopIfTrue="1" id="{77BB02FA-D5A2-4D19-AEAE-1E81FBBA60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28" stopIfTrue="1" id="{48D3803A-AA66-4B07-9765-3AA3689BE8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27" stopIfTrue="1" id="{4472C386-5C4B-475C-BB58-CE33FA593D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26" stopIfTrue="1" id="{A7D40566-A559-4A5D-8057-3CBA974BF4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25" stopIfTrue="1" id="{CA253453-E9C5-49CF-A3C0-23AC8DBF35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24" stopIfTrue="1" id="{7D6A878D-7936-4A59-B896-22520ED15F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23" stopIfTrue="1" id="{14D5AAED-A6A0-4012-A717-D08F2C8097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22" stopIfTrue="1" id="{C9049E21-BBE4-439B-8A79-D831804516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21" stopIfTrue="1" id="{21948D6C-1990-49FF-808F-1DE28D8A9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20" stopIfTrue="1" id="{A7AD09D7-1BA9-4D89-A7F9-1D5810323C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19" stopIfTrue="1" id="{2E382DB5-4950-4376-8D4C-A0C784E4A5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18" stopIfTrue="1" id="{7E3B99B3-17C2-4045-A85B-B53092CBFD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17" stopIfTrue="1" id="{3722AADD-9C38-442F-895C-748327DB6B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16" stopIfTrue="1" id="{09C82454-AB06-49C8-982D-83EB81C5F3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15" stopIfTrue="1" id="{92B08125-79F6-4A1A-8D58-D23ADEC6D9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14" stopIfTrue="1" id="{A6D17D8C-724A-44BB-AB9A-FCF710B8FE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13" stopIfTrue="1" id="{070B091B-C883-4B73-AD9C-4D742CAF1A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12" stopIfTrue="1" id="{FBCEF8B7-146A-4506-BF1C-13EE8D4D0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11" stopIfTrue="1" id="{590D4690-8A92-4FFA-BC66-556D3D5E3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10" stopIfTrue="1" id="{86FE941E-2ABC-4F73-82A8-A4207F92D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09" stopIfTrue="1" id="{FBB3264B-04A3-4E55-A0D4-F5FC8665A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08" stopIfTrue="1" id="{0F90294D-9F08-41C3-B124-BA33E3AC7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07" stopIfTrue="1" id="{59BB56DD-7B97-4EC2-B401-D7D33AF5DB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06" stopIfTrue="1" id="{3F828DF6-2886-4348-8873-6EEC266956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05" stopIfTrue="1" id="{7CAC1C30-353C-420A-8A8D-42AB97FF0B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04" stopIfTrue="1" id="{519C2209-BA60-423A-A605-12D4695DEC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03" stopIfTrue="1" id="{9D494689-49BF-4C45-A8F1-72B3E793EC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02" stopIfTrue="1" id="{CF08036B-2B7C-47A6-8A4C-F1E0F82D3B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01" stopIfTrue="1" id="{B383A1B2-8DEF-4808-90F8-31631D1A0C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400" stopIfTrue="1" id="{EEAE20CB-F289-4312-80FF-799C9F098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99" stopIfTrue="1" id="{06298CB4-2BE8-42C0-8831-E3903CE86B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98" stopIfTrue="1" id="{37B769A6-0CA6-48DE-BF53-5A716CBD4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97" stopIfTrue="1" id="{542A0977-7273-48B2-ACE4-8C17F8243D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96" stopIfTrue="1" id="{03FF9050-02B8-41B9-8279-DE86ACF436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95" stopIfTrue="1" id="{9F7EA71E-1068-48DA-89FA-C65E533719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94" stopIfTrue="1" id="{5E7C4E9D-C9EA-42D4-9DE6-7BACBEAA32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93" stopIfTrue="1" id="{E99AB673-082E-4195-AAB2-3A9C70FE40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92" stopIfTrue="1" id="{4F3A6ED6-3381-4EE2-9A62-5089082B94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91" stopIfTrue="1" id="{5FE1E8C3-A49E-4EE3-85F5-050E1B82F8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90" stopIfTrue="1" id="{94D06FB1-7F3E-43D4-B18F-A72491C5AC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89" stopIfTrue="1" id="{75F3A380-5C35-4D19-8AA7-542620915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88" stopIfTrue="1" id="{E7ABF7C7-19FA-4573-A96E-9CCB9AD927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87" stopIfTrue="1" id="{AF82D3E9-3C9F-41F0-82D1-682FAEA35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86" stopIfTrue="1" id="{E823B323-E94F-4587-BF76-26C3D4A6EF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85" stopIfTrue="1" id="{D27DF6CF-A286-4D9E-9324-C639B49D41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84" stopIfTrue="1" id="{427AFF9D-6874-4BF9-8E9E-48C6E34C48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83" stopIfTrue="1" id="{0D14462F-6F49-45F0-B36A-0C3057F736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82" stopIfTrue="1" id="{32A9A339-D891-41BB-9F3C-1051D214DE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81" stopIfTrue="1" id="{6C2BB439-E0BA-4F57-96F6-9E970A0985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80" stopIfTrue="1" id="{7E598725-9194-410A-8C13-564DD1998F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79" stopIfTrue="1" id="{761E538B-19F6-496D-A97B-C9396DB92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78" stopIfTrue="1" id="{4809C458-A1E6-44A3-9D11-2EC1BFBC65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77" stopIfTrue="1" id="{5C3E7C88-98F3-47B2-A7B1-337A93CBD6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76" stopIfTrue="1" id="{4E1992FB-5D1F-45F9-96ED-C1AA38CDD6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75" stopIfTrue="1" id="{75FC5769-0B0B-427B-A8D5-FBC60691F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74" stopIfTrue="1" id="{6F4CC009-A209-4C1E-8AD8-CA862AE2B7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73" stopIfTrue="1" id="{C836C57C-42CC-4792-8521-A55CAB5D09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72" stopIfTrue="1" id="{41F18E43-0ED4-4BFA-8419-4B2C61DE1E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71" stopIfTrue="1" id="{49832C28-222E-4266-A76D-58F36A222A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70" stopIfTrue="1" id="{E23260C1-0F67-4154-94BC-E7F11B9C87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69" stopIfTrue="1" id="{2B18DE42-9582-4BFD-9B3D-53D8BFFB59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68" stopIfTrue="1" id="{39AD34A7-FB58-423D-AA01-B63F65482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67" stopIfTrue="1" id="{C0AE1C45-9226-4873-9A54-68FD139C3D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66" stopIfTrue="1" id="{2A1D830F-7313-4399-AA49-3E3130FCB7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65" stopIfTrue="1" id="{0D716143-765D-436E-B036-8D878005C0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64" stopIfTrue="1" id="{BE631328-1682-4EA8-8FE4-300F5B042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63" stopIfTrue="1" id="{7EE8FDAE-51D9-44E0-8E9D-0C815D9984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62" stopIfTrue="1" id="{C02E9AF5-C578-4DCD-B547-DBE425A80F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61" stopIfTrue="1" id="{B975DCD4-2535-40B6-A363-15A765FB68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60" stopIfTrue="1" id="{A1BAA291-C977-4C45-AFC3-2F49F9CD97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59" stopIfTrue="1" id="{C29CCBD0-9369-4D7B-A3E6-3E01602A07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58" stopIfTrue="1" id="{5E65BC46-4525-4661-B707-4936C85B7D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57" stopIfTrue="1" id="{1BB86F42-E895-49D9-9E53-16EC889662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56" stopIfTrue="1" id="{83F6FF58-BBF6-40B5-9557-347ABAB9DA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55" stopIfTrue="1" id="{A2CC9C2E-A207-450C-92F6-1113597012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54" stopIfTrue="1" id="{1EF00FCD-B94A-4C70-A5E2-9B4FE04791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53" stopIfTrue="1" id="{7DD1500E-ED51-497A-A74F-2654913832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52" stopIfTrue="1" id="{D87DD4FC-5EBD-4F0E-B3B4-E23E0CB5D3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51" stopIfTrue="1" id="{97C405AE-85F5-4830-B0FA-36B8BE24C6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50" stopIfTrue="1" id="{C6653A8A-170E-40BB-99F8-DEFC151C32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49" stopIfTrue="1" id="{018993A4-716B-4BE4-8FB4-DDB83FF2C6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48" stopIfTrue="1" id="{B1D64E89-5417-4223-82D6-3878A99D61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47" stopIfTrue="1" id="{E11B3C53-552E-42CD-8FBE-6647CE558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46" stopIfTrue="1" id="{E4A134F1-E3A6-45B7-B0E9-790C1E50A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45" stopIfTrue="1" id="{734270FE-F9D5-4177-B17E-617BEA8B78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44" stopIfTrue="1" id="{FEEC91D1-B910-4FB6-AE9E-3C22FD28CC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43" stopIfTrue="1" id="{27A92D04-376D-466E-929B-88F4E234B3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42" stopIfTrue="1" id="{7FA912F2-32A0-469B-97BD-102B2D7E3B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41" stopIfTrue="1" id="{ACB82BA8-3E46-4C6F-8302-A741D4041B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340" stopIfTrue="1" id="{1301067C-E13C-4A8A-8573-8A2CDE83AB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39" stopIfTrue="1" id="{D78F64FB-C23B-4E5F-B76E-C89F03515F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38" stopIfTrue="1" id="{BB9AE11B-E870-433E-B27A-A0389B7E05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37" stopIfTrue="1" id="{D25C8946-B509-4938-BFDC-CAB72C4E66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36" stopIfTrue="1" id="{6355377E-4256-4587-BF48-AD403BD3D5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35" stopIfTrue="1" id="{F6143A63-D253-407B-81A3-8592FF9A0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34" stopIfTrue="1" id="{A6F7900D-AAAF-4EB6-90D8-740CC41CA4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33" stopIfTrue="1" id="{73B605E8-32F3-43E8-849D-9A84B78B2C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32" stopIfTrue="1" id="{83AAA8B3-25D1-4B02-AAE5-A9F2D10874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31" stopIfTrue="1" id="{0E335359-D372-460B-8649-C13305AD2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30" stopIfTrue="1" id="{9B278F73-9A71-4E34-96C6-F77913D106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29" stopIfTrue="1" id="{CD7F3B64-6C18-46D1-94D0-19AD3EE261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28" stopIfTrue="1" id="{8FBAF447-EB65-4B1C-B247-B552241D0E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27" stopIfTrue="1" id="{7AC118E8-E831-4CB8-94BA-7D34E47C91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26" stopIfTrue="1" id="{0D4DC457-51CC-4500-99D6-B9D610C0FB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25" stopIfTrue="1" id="{44D936D4-8C13-413C-8558-871FD1D037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24" stopIfTrue="1" id="{2635E7A8-CF7B-4784-80B3-0F3CC23D3E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23" stopIfTrue="1" id="{4FFFB358-7A2B-4AF4-84C9-B428993752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22" stopIfTrue="1" id="{E6C4A72C-9D9B-4973-A3FD-080440AB84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21" stopIfTrue="1" id="{DF8200E8-AD56-4DF8-BB8B-C462213540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20" stopIfTrue="1" id="{5AAD44C1-003D-4B48-AF80-459ACFF866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19" stopIfTrue="1" id="{ACF3D24D-C2E2-49E2-B8F5-8C763F38BB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18" stopIfTrue="1" id="{E582A62A-BB5A-47D5-A15E-DF5783D31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17" stopIfTrue="1" id="{3B9E6D73-A538-4944-AFA9-F40FC3F852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16" stopIfTrue="1" id="{6EBC3EA2-8FC8-445C-91B8-872107A81A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15" stopIfTrue="1" id="{14BC9BE4-E007-4C86-940F-398AA92F4B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14" stopIfTrue="1" id="{8D869398-9EC5-4098-99B1-D89E88EBFE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13" stopIfTrue="1" id="{E4E95D2C-0C44-4DC9-84FA-6327D92E79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12" stopIfTrue="1" id="{393BAB51-A2AB-4E5F-9B81-56E0B34A9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11" stopIfTrue="1" id="{EBBEED33-BF1F-4E81-B246-2906D077A5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10" stopIfTrue="1" id="{3E4D6954-346E-4217-9388-3D901253D6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09" stopIfTrue="1" id="{7202702B-6971-400B-AB62-91C5ABF9FB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08" stopIfTrue="1" id="{DDEDBDB0-D0E1-4534-A834-798A688058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07" stopIfTrue="1" id="{87544EAE-9721-495B-86EE-F5E11F55F1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06" stopIfTrue="1" id="{36F516EB-7084-471E-96F8-6B2700836C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05" stopIfTrue="1" id="{E308CD02-0B9E-45FC-8640-F4E44CBA74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04" stopIfTrue="1" id="{66D3152F-7340-4DE3-9A5C-DB707F9660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03" stopIfTrue="1" id="{CCB8B052-A2BF-4A30-A2C4-722FC7EDC7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02" stopIfTrue="1" id="{8D68F8FE-DF98-4238-ADBE-9E77B152F4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01" stopIfTrue="1" id="{5D57FB94-7222-4BAC-8951-18A9FCAC76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300" stopIfTrue="1" id="{F14469D2-6F3B-49BA-99A4-04783E484C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99" stopIfTrue="1" id="{1EA7A80D-397C-489F-8C4A-FB3FF46D09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98" stopIfTrue="1" id="{97CAB3BE-45F8-4400-AD3F-4C9B9D72C4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97" stopIfTrue="1" id="{85C667EF-7C85-4C7D-BEAE-CCBD840AB7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96" stopIfTrue="1" id="{A2EDB89D-3284-4E55-B419-BCC76688EC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95" stopIfTrue="1" id="{86D9A6E2-5C90-46C5-8E77-3A813624A9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94" stopIfTrue="1" id="{577BCFC3-E0FA-4758-932B-11F4D8A4E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93" stopIfTrue="1" id="{71E91CEA-7B3B-4F15-AAD6-9C3BAFA8DD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92" stopIfTrue="1" id="{F6C5B073-113D-4DF4-8EB7-83EF0B1CD2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91" stopIfTrue="1" id="{A7DD7DB5-3D96-41BC-9D52-3359A5C5DA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90" stopIfTrue="1" id="{68367B56-B2B8-46DE-9EC0-1D9F04AFA7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89" stopIfTrue="1" id="{D4146B6B-6003-480A-A036-EE056C1D93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88" stopIfTrue="1" id="{AE2618B7-4F32-4D91-AE08-6A9A8DA40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87" stopIfTrue="1" id="{01F2328E-729C-47AA-B7ED-11FAD7945E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86" stopIfTrue="1" id="{9688979C-ABAB-4B8B-BAE5-AB0B5B986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85" stopIfTrue="1" id="{8E0C2C27-F7DD-4D26-B15C-C7F5D406F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84" stopIfTrue="1" id="{1C566C2C-3C36-4A4F-B8CB-F5D675E8D1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83" stopIfTrue="1" id="{F372778A-7A5E-4EF8-800A-7A810A034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82" stopIfTrue="1" id="{9C48E75D-3D1D-4C7D-BC45-FEA0DB51F9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81" stopIfTrue="1" id="{04FE666A-A191-4A75-B9C2-84F5787FCE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80" stopIfTrue="1" id="{BDA583B6-EDE8-4B07-A34F-E63E15097E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79" stopIfTrue="1" id="{A641C25F-9D44-40B6-A99F-F0DCAAD569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78" stopIfTrue="1" id="{F77C881C-31BA-4089-BA92-D4BC0DAC2A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77" stopIfTrue="1" id="{2499C644-C0B9-4BF9-A715-C90AFCE408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76" stopIfTrue="1" id="{5086748B-DDDF-4DCD-820A-80EFBD2510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75" stopIfTrue="1" id="{05B1A1C0-E8E1-45F8-86C3-F9ADAAE68C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74" stopIfTrue="1" id="{120EF1DB-1A76-42EA-98D3-66A8523972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73" stopIfTrue="1" id="{B21CBD93-2324-49D6-B101-4143C71ADF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72" stopIfTrue="1" id="{7F83FC03-99BA-43CC-95DA-D091792B33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71" stopIfTrue="1" id="{CC4AC157-9938-46BC-90CB-C8C372EE4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70" stopIfTrue="1" id="{0B64332B-3F0B-4F53-B383-B86A227854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69" stopIfTrue="1" id="{29727CFD-645C-4794-8058-C5BF6616D8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68" stopIfTrue="1" id="{786016BB-0A05-4D47-AD5F-F6846DE9D6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67" stopIfTrue="1" id="{C2DAD27D-2DBB-4F7B-BC5C-96E21EC637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66" stopIfTrue="1" id="{0FDBF3AE-AA89-4C0C-AE7C-8114D2A59E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65" stopIfTrue="1" id="{129DE00C-8A76-40DD-9414-6C7ADC13A0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64" stopIfTrue="1" id="{5B9C1667-FEF7-4A1C-B1C3-CD309FF60D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63" stopIfTrue="1" id="{DF8C2D08-8D6F-43B0-87ED-CFADACDC9C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62" stopIfTrue="1" id="{64E6DDD2-6C0E-4F04-949F-FB82F950F9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61" stopIfTrue="1" id="{25A0E61A-5A89-41E4-AE4E-AAF5314248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60" stopIfTrue="1" id="{85F5E7C1-2632-40B8-A97E-DF53ED8109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59" stopIfTrue="1" id="{AC26C558-8349-429C-A05F-DB2A6A3488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58" stopIfTrue="1" id="{89E83BA5-F485-4374-938E-1496C18901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57" stopIfTrue="1" id="{B9C7D834-B841-4783-9171-B6CC473342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56" stopIfTrue="1" id="{7585CCC4-7A1E-47F7-BCA0-4D966F284C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55" stopIfTrue="1" id="{1657B562-D84D-44FE-BE44-F34F8C5BCB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54" stopIfTrue="1" id="{77502CBC-0589-46D3-A660-F8265B77B9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53" stopIfTrue="1" id="{843EDCFC-45B9-4963-9A8C-B132633FD0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52" stopIfTrue="1" id="{BB8F4081-0B6A-443F-B40D-6901BB9B9B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51" stopIfTrue="1" id="{834EEA79-4F4C-4211-B844-EA110CCFA3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50" stopIfTrue="1" id="{E23F4C85-D9A4-4808-AE4A-AAD0E6544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49" stopIfTrue="1" id="{C1C21E70-B4F6-4C5D-BF8C-6E5C14A35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48" stopIfTrue="1" id="{DF893123-B096-4B44-BC9B-9257B459D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47" stopIfTrue="1" id="{3F0DA5B2-872D-46B2-9EF4-AA4FC75E54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46" stopIfTrue="1" id="{5A4D6FD9-0A95-418A-A90A-39489CC86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45" stopIfTrue="1" id="{F6C3BD39-53D4-4C7B-8BC4-9C511619CA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44" stopIfTrue="1" id="{3E22A703-7716-4E26-B2C1-C58E9FC085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43" stopIfTrue="1" id="{E8796FE3-0F9F-45AB-B3FC-837EF0D471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42" stopIfTrue="1" id="{4071250B-83EE-47D1-9D33-4DE8663B2F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41" stopIfTrue="1" id="{9741BCDA-01D3-418A-9202-5A949E97ED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40" stopIfTrue="1" id="{832F9EFC-936C-4485-B484-84BFBBAF8D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39" stopIfTrue="1" id="{C6E1715D-C011-4EC2-B552-D6DE6E9C4E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38" stopIfTrue="1" id="{CA0D5705-51AA-4974-B71B-D4AE92676C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37" stopIfTrue="1" id="{487665E1-1D3B-4BF6-93A0-8EB88E8949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36" stopIfTrue="1" id="{9F617584-2F1B-49BF-B47D-0A35F27A0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35" stopIfTrue="1" id="{37AD89EE-6FB8-43EC-8CA6-3F2CE2D08E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34" stopIfTrue="1" id="{C809EE18-493E-4A24-9972-2DE3EF645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33" stopIfTrue="1" id="{8FA62588-A384-4FC5-BCB8-F8244D563B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32" stopIfTrue="1" id="{5CDF6EA6-1E3D-4734-95DD-BA289320D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31" stopIfTrue="1" id="{E03D96B6-5574-45DC-AFE2-42DB0044DD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30" stopIfTrue="1" id="{9CE76235-21BB-49D5-AE72-00A5C0ADB2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29" stopIfTrue="1" id="{E9036467-9909-4746-A296-0A4FEEDDD7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28" stopIfTrue="1" id="{2A5981F0-90AE-4BD4-9844-7FA8E7946C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27" stopIfTrue="1" id="{CE53EFFE-12EC-47AC-96E4-4983FE426C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26" stopIfTrue="1" id="{D8048662-D469-4380-8AB2-6A60AFA7FE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25" stopIfTrue="1" id="{AC3C8C22-4148-434F-908E-990345D39B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24" stopIfTrue="1" id="{D7AD6F19-2B4E-499C-8B03-654A5196BE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23" stopIfTrue="1" id="{0960312D-C730-4372-BDB0-D8AFAB4DC5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22" stopIfTrue="1" id="{F63037BE-DD2D-4A59-8F77-5B2AE8BBCF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21" stopIfTrue="1" id="{4F114BA9-BF76-48D7-90E5-EF2E447442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20" stopIfTrue="1" id="{D3460BE6-AAD9-4119-A8F5-EAB2CB7D6D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19" stopIfTrue="1" id="{96F03064-B73B-4846-9D9F-5FEB272523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18" stopIfTrue="1" id="{0B501E55-5F2A-46F8-AC8A-5E06CC027B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17" stopIfTrue="1" id="{DE1C17C3-F8A6-40CF-8BF5-A26380C3FA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16" stopIfTrue="1" id="{1C6AA2E4-C6A3-43D0-A937-41AE173152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15" stopIfTrue="1" id="{09B1EBBF-08C4-4372-AAF5-DE875F4186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14" stopIfTrue="1" id="{2870ED1C-2C27-4624-9520-0D54FDAAA8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13" stopIfTrue="1" id="{8241E316-7232-4357-B49A-D00FECDEB7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12" stopIfTrue="1" id="{02ED88AC-8668-4DDF-AEE0-1C4E70D36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11" stopIfTrue="1" id="{0D3CF418-6ACE-4A53-9FCB-11C48938BA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10" stopIfTrue="1" id="{D952F239-58AD-4C60-8573-D561D79AEF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09" stopIfTrue="1" id="{85861B80-DEBA-4046-9AA7-98AAE51FA4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08" stopIfTrue="1" id="{5C962F41-CD66-45BD-A31D-267A91F9E8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07" stopIfTrue="1" id="{ABA383CD-7A40-4F85-A4F3-CB9D62BA7D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06" stopIfTrue="1" id="{21A07C8F-3708-439E-B424-78914A85C4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05" stopIfTrue="1" id="{69549F42-0BE1-42F7-9766-85EF0F77F8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04" stopIfTrue="1" id="{77E93640-6B2B-4046-B2BF-E2BE7C2CAD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03" stopIfTrue="1" id="{F5D8D4BD-CB7E-462E-9FD8-3F95367E9F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02" stopIfTrue="1" id="{5E5D9AF5-6762-458F-9F58-D715CECC2C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01" stopIfTrue="1" id="{8629E10C-2811-4FBA-9DDD-8EC1B4A2E3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200" stopIfTrue="1" id="{48FCBF02-AD5C-4215-BEDA-2590691A54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99" stopIfTrue="1" id="{DCCEC9EE-CD04-410A-B9CF-E015952694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98" stopIfTrue="1" id="{BBFAB8A5-039E-4C94-B33A-F851924942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97" stopIfTrue="1" id="{40E9293D-67B9-415F-B133-0715BD3D13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96" stopIfTrue="1" id="{9337E7CC-F503-4C00-A50C-3DC4937DE7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95" stopIfTrue="1" id="{A917BAC9-D4B1-4211-A1B1-E6FD3FFC68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94" stopIfTrue="1" id="{CEA70CF5-17DD-4BA7-9422-EEA62ABC6C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93" stopIfTrue="1" id="{516DB45B-4451-456E-983C-1C3D351828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92" stopIfTrue="1" id="{54D7B9F2-E20B-4900-9DD9-C558DFD99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91" stopIfTrue="1" id="{54DFEF26-11AB-47D9-A056-BB52F6D9F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90" stopIfTrue="1" id="{2DF451A2-A381-4C40-BEE6-F551951A73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89" stopIfTrue="1" id="{394404B4-893B-4457-9938-A9A8F538E6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88" stopIfTrue="1" id="{6FD5DBEC-F8C7-4D35-84A9-CDAEE08FD9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87" stopIfTrue="1" id="{2DE4B25A-2195-4D56-AEDA-6F3DCFDB4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86" stopIfTrue="1" id="{B88F8FAD-EFF7-4FED-9ACE-E03FCDC884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85" stopIfTrue="1" id="{CD38800A-0D71-42BC-8FF8-67DA3E0135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84" stopIfTrue="1" id="{2F5A6ED8-4981-48EB-91DD-14C2430FF5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83" stopIfTrue="1" id="{C2C70307-CE0F-4A6A-9277-C49AC766B3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82" stopIfTrue="1" id="{76A5692C-2A53-497D-A92D-2D597E9D66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81" stopIfTrue="1" id="{2AA2F20F-320A-4F4E-85AF-3907A5FDCD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80" stopIfTrue="1" id="{6A56262F-6FB1-44FC-9295-9F4740E26B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79" stopIfTrue="1" id="{06EA33A6-3DD4-4227-9DF4-D80EE36132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78" stopIfTrue="1" id="{A2E7C262-6A30-4D08-B5BA-3752125515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77" stopIfTrue="1" id="{4B6F4247-D3CC-48B5-B45C-49E969AE1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76" stopIfTrue="1" id="{763EC578-D617-4D13-81B5-D036C5A33F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75" stopIfTrue="1" id="{6F1586C9-061A-46CC-A64A-BA79E02E9D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74" stopIfTrue="1" id="{3E918428-FD48-41A1-BA5A-EBE5F2C40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73" stopIfTrue="1" id="{9902A026-21B4-4495-86C7-01EB63EC34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72" stopIfTrue="1" id="{13F1C330-0F30-4F78-9CA7-C2EA98AC5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71" stopIfTrue="1" id="{9F360B23-F67A-4484-A4BA-40E4917E80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70" stopIfTrue="1" id="{07038404-E16C-4386-BEA4-23497595EC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69" stopIfTrue="1" id="{6F985224-7F99-44D5-B22F-79F558FF0B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68" stopIfTrue="1" id="{B9488E04-92EC-4C68-929D-5AA1DFFDA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67" stopIfTrue="1" id="{A0E37A0F-06AE-4EC6-8143-BCB0F317E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66" stopIfTrue="1" id="{39C31819-5228-43B3-A025-789C66908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65" stopIfTrue="1" id="{7C5CCDB1-F789-48B5-93EE-29D2A5EBA6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164" stopIfTrue="1" id="{65E75FFC-50D6-4307-9289-24D5FDA8A3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63" stopIfTrue="1" id="{45AC37A2-1457-48ED-AF70-928F1F9528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62" stopIfTrue="1" id="{8E75489C-6B0E-434F-A27A-E8D54C347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61" stopIfTrue="1" id="{D586A3AE-FE12-49D5-BAA2-B51A378FE1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60" stopIfTrue="1" id="{99365B30-EB00-401A-998E-DBF719AABA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59" stopIfTrue="1" id="{26BA2091-C6FE-4626-8FC8-CE9225E18B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58" stopIfTrue="1" id="{12F9657E-086F-4457-8BC9-3598F9973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57" stopIfTrue="1" id="{1FEB8E01-07B6-4819-A975-144C61E5B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56" stopIfTrue="1" id="{777F1FE9-7C07-4D87-AEAF-4AD9D39208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55" stopIfTrue="1" id="{EC9B3AE0-7F94-4EBB-AA3F-9C0E885335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54" stopIfTrue="1" id="{1E301951-02FE-497B-8250-06C3CE0D57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53" stopIfTrue="1" id="{33EB9EBC-1052-4914-BB60-85E6F8C01E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52" stopIfTrue="1" id="{9989C49C-13C6-4EB7-9538-606A9B99AF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51" stopIfTrue="1" id="{EC7245F0-576D-4253-9CFF-D10CD4616D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50" stopIfTrue="1" id="{C1E80856-E342-4708-BCCA-E435A7B10C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49" stopIfTrue="1" id="{15EFB6AC-EBB5-450E-924C-A504D0B71C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48" stopIfTrue="1" id="{A6A0427B-50C4-4DAD-9EEF-FF7758515B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47" stopIfTrue="1" id="{056F8AEF-0F92-4BA0-99C3-3F89FC484A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46" stopIfTrue="1" id="{FF8D64A9-F105-46BB-9A45-AF535CDAF2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45" stopIfTrue="1" id="{DDAE7FA8-C821-4C6A-BAAB-AAC33AF717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44" stopIfTrue="1" id="{22DBF7AB-E5A5-4F94-869C-CEC41035B3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43" stopIfTrue="1" id="{FD5D1948-BA42-418B-AEEA-2B2163E0D4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42" stopIfTrue="1" id="{0993D912-8B5D-4787-A0C3-B46E74FD3D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41" stopIfTrue="1" id="{8D50BCA1-F755-4175-8085-DEF32C2E82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40" stopIfTrue="1" id="{E77687CC-85B6-4AAF-B1CE-AE5BFA61F4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39" stopIfTrue="1" id="{DDBFF1D0-07D3-4B88-B0B6-39280B109B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38" stopIfTrue="1" id="{51F49122-35D8-4530-BA6F-E82CA8424B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37" stopIfTrue="1" id="{E8F00A3A-78A3-4012-B692-008F6DD71C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36" stopIfTrue="1" id="{F392E6F9-75E4-4178-89DA-035A6C0182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35" stopIfTrue="1" id="{8150C566-47D3-4384-82F2-C09DC005A6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34" stopIfTrue="1" id="{8829B9EE-990A-42B9-B75F-EC25641E9B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33" stopIfTrue="1" id="{87787DA1-48A8-4CEF-A706-9AEDF79287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32" stopIfTrue="1" id="{E9F313BF-093F-4CF6-821A-6EDA921029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31" stopIfTrue="1" id="{B15D578D-BF07-4978-9970-B4496DB51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30" stopIfTrue="1" id="{EF5EDB48-DDE9-4643-8877-7B83880E5A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29" stopIfTrue="1" id="{0B367189-D39E-46FF-9972-D1863CB944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28" stopIfTrue="1" id="{46BD3F90-FB87-42D2-BCCD-7AE2DF5E8A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27" stopIfTrue="1" id="{D9047C99-8876-4D04-A10C-151F89C22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26" stopIfTrue="1" id="{645511AB-0CD3-4E03-BB91-403C146CE1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25" stopIfTrue="1" id="{159E9597-9FEB-44F1-B18A-01E2B91D82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24" stopIfTrue="1" id="{C16F970E-C6E8-49CE-BB54-F2718996D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23" stopIfTrue="1" id="{0C130610-E5FE-48FA-864B-339585611B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22" stopIfTrue="1" id="{B73093E4-86DE-452E-BF49-A46660645F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21" stopIfTrue="1" id="{55D7F762-5A4E-48A3-80E0-2F4746E69A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20" stopIfTrue="1" id="{B7C5CCFA-2F6D-4E66-BC70-0A48C4D29D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19" stopIfTrue="1" id="{5C38DEA7-4B1C-44A2-B4CC-C0CD2585D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18" stopIfTrue="1" id="{4AB46773-2258-4309-936D-A3EF5384B8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17" stopIfTrue="1" id="{30263690-7262-47AB-A7B3-D203BC17D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16" stopIfTrue="1" id="{34B7ADC8-AC1F-49B2-9C36-7A3346A892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15" stopIfTrue="1" id="{9B970841-2A81-44B6-8736-798785E17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14" stopIfTrue="1" id="{5DC88C6E-A9DC-4C06-BDD6-1DAFF533BD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13" stopIfTrue="1" id="{76BB6E10-30E4-49AA-A8C6-29AA3C1B35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12" stopIfTrue="1" id="{DB3469C1-5A60-4224-9DF1-B84B9AAC5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11" stopIfTrue="1" id="{D2500356-1718-443C-9CA9-93AD838D18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10" stopIfTrue="1" id="{3313E62F-AED4-456E-9799-2060DC18AC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09" stopIfTrue="1" id="{6C882914-1E08-471D-B3E9-99F7F7763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08" stopIfTrue="1" id="{9FAFBDD7-475B-42E8-8819-70F70C3968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07" stopIfTrue="1" id="{753E135B-C356-43BD-BBA4-BB2B09B569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06" stopIfTrue="1" id="{7C8F1CC7-9512-4E4B-AB75-3CE48F7E4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05" stopIfTrue="1" id="{58B2F589-0D47-468D-A6C0-859676EAC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04" stopIfTrue="1" id="{43EC55E9-2CA8-44A1-BA89-0C9E26BD7C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03" stopIfTrue="1" id="{D3DAD91F-ABFF-4B12-A315-668AD3530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02" stopIfTrue="1" id="{7C0BF402-4494-4E1A-B2C2-CFCD68DB20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01" stopIfTrue="1" id="{915A3A20-EBAE-4CF2-8777-F9200F4F8C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100" stopIfTrue="1" id="{DCF0C75C-8879-4573-BF57-1DAEDA5836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99" stopIfTrue="1" id="{AC14772A-AF48-4CCB-9161-167318F90A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98" stopIfTrue="1" id="{8E1A6A7F-F46E-41C1-AADB-580BFCCE3B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97" stopIfTrue="1" id="{EF45724D-36B6-431F-A5FF-4CC86B6CA6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96" stopIfTrue="1" id="{430561FC-1529-42EB-81ED-7B5B5CC797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95" stopIfTrue="1" id="{F43229E1-7BD6-4158-BB34-A3D786365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94" stopIfTrue="1" id="{E7DB0DBC-7A3D-4BD1-9B14-C608C81E00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93" stopIfTrue="1" id="{A331F090-0C84-485C-9D41-1174FDCED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92" stopIfTrue="1" id="{02959A34-B04B-41CA-BFD4-A63D12CFC9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91" stopIfTrue="1" id="{A23B7BED-662F-41F5-9746-53CE7030E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90" stopIfTrue="1" id="{9679612E-F79E-4FB9-8C50-0F8154BD5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89" stopIfTrue="1" id="{29ED8340-C7B8-4125-9A0C-E121FDE65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88" stopIfTrue="1" id="{18CDED6B-FD71-45FD-AE3F-319498E3D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87" stopIfTrue="1" id="{E6B09DFB-575C-4C24-8349-FF29920365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86" stopIfTrue="1" id="{664B9F67-36C9-4937-9A5C-E2470E7359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85" stopIfTrue="1" id="{85B349BB-F565-4E99-BCA5-C5BD7BAF9F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84" stopIfTrue="1" id="{102D87A9-8B62-4EF9-BBD4-3FF0C2AEA1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83" stopIfTrue="1" id="{DAE8F7F9-C534-4386-8459-835EF3C903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82" stopIfTrue="1" id="{E898DA3D-9954-4813-BB4D-E64FB3553E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81" stopIfTrue="1" id="{87FD43A3-331E-4DA9-A249-090E6C0F2E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80" stopIfTrue="1" id="{DD80FC3F-1514-43E6-8B6A-2D792B22C8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79" stopIfTrue="1" id="{95C4942B-BC63-461C-849E-CBE3575135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78" stopIfTrue="1" id="{DEEE8200-6373-41CA-AFE2-6C9290A1A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77" stopIfTrue="1" id="{62D37B66-ADF4-4AB0-A567-7641A41B7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76" stopIfTrue="1" id="{D7C0C0B1-CA08-4451-9437-097CCA187A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75" stopIfTrue="1" id="{A67F1F9B-D127-4E19-B9A4-32420B69DB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74" stopIfTrue="1" id="{659ACA32-8DAA-4BA7-AB4C-3B1BBBFC1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73" stopIfTrue="1" id="{67694D6A-15C8-4725-A773-D009F8F030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72" stopIfTrue="1" id="{45566C5C-63D6-4145-8499-D520E99D2B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71" stopIfTrue="1" id="{CA627F7E-F502-437E-B4D4-AC7D96CC37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70" stopIfTrue="1" id="{DFA7AF57-FEE9-4A26-9A71-7B2DDF439C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69" stopIfTrue="1" id="{1FEB2C89-18FE-40BE-B85E-2D2D63009C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68" stopIfTrue="1" id="{F16F3FDC-AF59-465A-B041-132AD229C9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67" stopIfTrue="1" id="{510266E0-8B48-4282-8473-3D15294F0F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66" stopIfTrue="1" id="{E7B21849-312B-48BD-A87C-E289378726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65" stopIfTrue="1" id="{0D0C5D80-D372-4A5D-92A2-45C9A2607F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64" stopIfTrue="1" id="{F6AB257C-C8CF-422A-BD2E-1798B9441D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63" stopIfTrue="1" id="{225AFECF-21D0-430C-8CBF-4198940C30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62" stopIfTrue="1" id="{4E35DB9C-DB89-49E3-AD78-B49ACC5D07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61" stopIfTrue="1" id="{615F5A76-6930-4AB6-A5AD-2176EC72B1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60" stopIfTrue="1" id="{2025B6C1-5C28-45FB-8964-2B9D64EB95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59" stopIfTrue="1" id="{46BB2BFD-60CE-4F6B-9B1D-1BA64BC1F3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58" stopIfTrue="1" id="{DB5A10E4-66CD-4D58-B418-EEE5264F5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57" stopIfTrue="1" id="{4ECE1DA2-B6C7-4B1D-9A8D-B50B7BEF87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56" stopIfTrue="1" id="{B05A55B3-2351-48CC-9001-A65A00C05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55" stopIfTrue="1" id="{05DB14B0-2FB0-41A0-9DCF-85F0F70A1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54" stopIfTrue="1" id="{176FAF2B-8DDD-4733-8397-3A6AC1E435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53" stopIfTrue="1" id="{09A3ECE2-677E-4086-930B-64042E89EC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52" stopIfTrue="1" id="{568F98E6-150B-4498-B0CC-BAACC7EA5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51" stopIfTrue="1" id="{6557A644-56CE-48AD-A223-B4312F86FB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50" stopIfTrue="1" id="{643DDC3B-B922-416C-8A05-E54FA51579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49" stopIfTrue="1" id="{273BA27B-1104-4CD7-AE6B-F9CB873929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48" stopIfTrue="1" id="{F7F35F01-AFC4-4BDB-BBE9-654CB59579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47" stopIfTrue="1" id="{C1FBD6F5-9F60-4395-89B7-84CB5359D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46" stopIfTrue="1" id="{EFF27710-A85C-4E90-961A-EA86D85152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45" stopIfTrue="1" id="{2F5BDF7B-2B6A-4B20-9CB7-90CDA6017F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44" stopIfTrue="1" id="{43A9F9B0-BD9A-4BD6-9984-D9609CB1A5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43" stopIfTrue="1" id="{02FC50D8-076F-40A4-8779-EF943EB4BF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42" stopIfTrue="1" id="{08B766B1-EBB3-4C3A-97C9-EF3D5FC7A7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41" stopIfTrue="1" id="{B3E77A5B-883A-4A80-88C3-7784C5552F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40" stopIfTrue="1" id="{2FDDF8DF-154E-402A-B552-82AC56066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39" stopIfTrue="1" id="{856AA3DA-BCB9-42FD-A004-7361867393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38" stopIfTrue="1" id="{A08E0578-042C-4CA9-8E22-89DF273C35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37" stopIfTrue="1" id="{89F701AD-A7EA-406D-939D-5874CFCB95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36" stopIfTrue="1" id="{8FEE6309-8003-481A-80E1-B4C5170DB3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35" stopIfTrue="1" id="{1C3B1298-31E2-4671-99D7-404D8477B8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34" stopIfTrue="1" id="{36D53CBA-B045-456A-AA23-6355E8A60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33" stopIfTrue="1" id="{1E909878-2E0B-4199-9E13-BDDDAD6273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32" stopIfTrue="1" id="{6499D315-4305-4F2A-BC27-8BFCC3A105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31" stopIfTrue="1" id="{BFA251C1-8CA0-4166-895F-29EEA93AFC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30" stopIfTrue="1" id="{5FD518B1-A4CB-4304-8203-76F488DD9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29" stopIfTrue="1" id="{BDF4B96E-700A-4740-AFD9-035A8B123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28" stopIfTrue="1" id="{27BC6D98-AA09-47A7-9A57-10762721B7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27" stopIfTrue="1" id="{E535AF76-F23B-4D3D-BDF8-3359B61600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26" stopIfTrue="1" id="{38DD1AE5-A252-4A53-B7AC-5D321C9562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25" stopIfTrue="1" id="{BD77ECA3-BD88-4F98-BF9F-F8D934C2E8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24" stopIfTrue="1" id="{C0203602-CFC7-4DDD-99EE-EC9B7BB8EC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23" stopIfTrue="1" id="{073ACA9B-6670-4D79-82A5-5F884B1E6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22" stopIfTrue="1" id="{D9B6D49E-F267-4E3B-B6E3-F16EBB7256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21" stopIfTrue="1" id="{DE70391B-3168-406B-B623-AF76AEF843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20" stopIfTrue="1" id="{DC59AE6F-A71C-4FD9-9AE9-756F05F1D4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19" stopIfTrue="1" id="{D03A4E20-ED86-4E80-92D4-D055A23DAC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18" stopIfTrue="1" id="{6E9A51E9-82C5-43E9-AA26-7CE26E0D9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17" stopIfTrue="1" id="{BA69DC57-3E8C-4C29-A29F-F983B713FF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16" stopIfTrue="1" id="{3818E607-1D04-41A9-80C3-E42E309EC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15" stopIfTrue="1" id="{6A14C6CA-DA73-44E0-948E-76B5101F17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14" stopIfTrue="1" id="{B567A9A4-B51F-48FC-931B-D08B493AB1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13" stopIfTrue="1" id="{353F4C67-7569-4C1B-9F72-6965FF4DAA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12" stopIfTrue="1" id="{97B430CC-2E18-47FD-A751-65EF1F8C63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11" stopIfTrue="1" id="{F863F9E6-D3EA-49BD-8816-9B001CEA3E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10" stopIfTrue="1" id="{8EF8E83C-2FE1-44E2-A4AC-ABB0C897E2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09" stopIfTrue="1" id="{C850C8DC-15F4-47D2-9F23-90256E3790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08" stopIfTrue="1" id="{C4DDD6D0-81A3-4370-8932-1E3732BAAB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07" stopIfTrue="1" id="{AFEA96E7-0B87-466A-8405-F2505A7C41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06" stopIfTrue="1" id="{6FB687B9-BA0B-481F-B5FC-637A9ADCFC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05" stopIfTrue="1" id="{8A64C809-7B85-4AF5-AD97-7E1CD763FA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04" stopIfTrue="1" id="{F9A50FF5-EDF3-4535-8157-3479D8D749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03" stopIfTrue="1" id="{FFA99D34-EDC7-4AE7-A236-2AA958C5BF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02" stopIfTrue="1" id="{2DD97D6B-6FCE-4237-8E31-7066702820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01" stopIfTrue="1" id="{5A9742AC-8CFF-4A78-8DB3-CDBB3BFE3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000" stopIfTrue="1" id="{9D771CD2-A55C-4F75-A820-7A32BC4FF1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99" stopIfTrue="1" id="{BBBCD79C-D8B0-4FD3-93B5-C98A7DC1BD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98" stopIfTrue="1" id="{6A3DFC69-F1A7-4F3E-A461-3D6E5BF0BA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97" stopIfTrue="1" id="{EF56C073-46C2-4ACA-894E-5ED2E8848F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96" stopIfTrue="1" id="{C00F0F09-0B19-4DC1-929D-E89CEF778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95" stopIfTrue="1" id="{0C182BC5-5E1A-4F43-939D-22BF7D3A0D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94" stopIfTrue="1" id="{3042EB04-5FB2-4862-94F9-80A100EAA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93" stopIfTrue="1" id="{4365B64B-6B5C-4F98-9282-374CC05B6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92" stopIfTrue="1" id="{76EC07B1-5759-45DC-B36D-B4CE07C932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91" stopIfTrue="1" id="{8F92D02D-055E-42F6-994E-1127E89855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90" stopIfTrue="1" id="{3200EC7F-86D8-4C6A-A92A-7973B2886D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89" stopIfTrue="1" id="{18D87E4D-C1AF-45F4-B0B1-C8B9EDC224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988" stopIfTrue="1" id="{8376228A-4EE9-4812-8B46-7185E270BB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87" stopIfTrue="1" id="{36F1C818-F8AC-4137-8B52-D042533A6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86" stopIfTrue="1" id="{044C70A8-7FB6-4EEB-B9EB-DB54B4CDD1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85" stopIfTrue="1" id="{481A5530-C7FB-45A4-9737-12DDB6355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84" stopIfTrue="1" id="{810C342E-D09F-4A3B-8E5C-95134A84F6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83" stopIfTrue="1" id="{D964ADCD-5E3E-4809-A0C9-EF1CABC5FA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82" stopIfTrue="1" id="{B5660C66-4130-41DE-BD2A-84982AF9CB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81" stopIfTrue="1" id="{93077426-99C9-4DE7-813D-44DF261A2E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80" stopIfTrue="1" id="{9834FBDC-CF92-453C-A140-90CDE52101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79" stopIfTrue="1" id="{4E961A4E-A6A8-4020-9F6E-E643B81A3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78" stopIfTrue="1" id="{13B398A0-172F-41EA-B312-0A64EC697D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77" stopIfTrue="1" id="{5C5B29B9-9886-426F-94E2-A6F827616D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76" stopIfTrue="1" id="{97692EF5-6A9F-41DB-B0F7-5653028B35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75" stopIfTrue="1" id="{166F6F77-EC19-4D37-9DD2-D77F560C63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74" stopIfTrue="1" id="{6BF6BFA0-C7E9-4AC2-8818-C211C5DCD6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73" stopIfTrue="1" id="{114E1626-46D1-47CC-AC7D-A9D02B57D9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72" stopIfTrue="1" id="{7D62AF86-AEB3-4F10-8502-89EEF16643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71" stopIfTrue="1" id="{59FA4476-15B3-4EF5-8738-2238DD4FB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70" stopIfTrue="1" id="{D4AA9633-AA84-4AB4-BA2C-F2A711E673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69" stopIfTrue="1" id="{C580E29C-21B4-4D63-A886-D4B06493C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68" stopIfTrue="1" id="{4FB20289-DD55-40E8-977C-D1534D72C5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67" stopIfTrue="1" id="{1796C57B-D0F1-4A57-949C-54606BD21E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66" stopIfTrue="1" id="{EF39B40B-17E4-481E-A490-E5392B2C5A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65" stopIfTrue="1" id="{599B55D6-8024-487C-8C8A-1D2EA9A2A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64" stopIfTrue="1" id="{41F77A3A-F304-4382-8BCC-3462057C9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63" stopIfTrue="1" id="{504E3EC0-5827-4B1E-B27C-2164DC0141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62" stopIfTrue="1" id="{96EC145F-7A74-42C5-85BA-78557F69F7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61" stopIfTrue="1" id="{08288943-BF16-4518-B4F8-0D160E1EF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60" stopIfTrue="1" id="{239C1B93-FE19-4EE9-A0F5-50A94459D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59" stopIfTrue="1" id="{47686D44-32F8-4FFE-A62A-C27FC475A8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58" stopIfTrue="1" id="{DD97769D-B306-4838-A7DB-29AFF53EED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57" stopIfTrue="1" id="{92A12A49-CDB8-4075-8F17-9F213CBB4B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56" stopIfTrue="1" id="{359CB8DB-04D9-42A6-AB36-C7F4AD8A7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55" stopIfTrue="1" id="{5A126208-BA88-4ECE-97AD-F37AF347DB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54" stopIfTrue="1" id="{866F9441-B273-4907-B893-BCAFBF360E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53" stopIfTrue="1" id="{61D7C229-7528-4FC0-A591-C0EB1F35D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52" stopIfTrue="1" id="{842BD05D-9273-4959-9E53-FFC7878D65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51" stopIfTrue="1" id="{57D0CDDD-6790-4402-90AB-4B96BB4FD3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50" stopIfTrue="1" id="{F56061FD-28E0-4507-8525-001D47B94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49" stopIfTrue="1" id="{74DB17B2-4BB1-437D-A693-59B810302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48" stopIfTrue="1" id="{E91F9525-D2E3-4071-99C6-31E9B70476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47" stopIfTrue="1" id="{1E64BE1A-91D9-44A9-BE1E-1A2A0785F9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46" stopIfTrue="1" id="{68E3AAD9-311D-4B5A-883B-EF8ED9272B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45" stopIfTrue="1" id="{87597788-2851-4477-8C4E-433CAB967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44" stopIfTrue="1" id="{EA32A6AF-D380-4AEE-887E-9BCC318C7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43" stopIfTrue="1" id="{8B51B010-97E6-498A-BF52-4A3534427A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42" stopIfTrue="1" id="{F0B138A1-9596-46AF-9095-7F8BF1B08B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41" stopIfTrue="1" id="{A175D851-68AD-43EF-8EA6-AA31F6076D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40" stopIfTrue="1" id="{3C1F5EC1-0951-47F6-8125-68D5217653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39" stopIfTrue="1" id="{4EE9E59A-8C66-4A79-B5F5-509269A2EA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38" stopIfTrue="1" id="{B95A4C43-831E-4AF1-BD62-74793C811B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37" stopIfTrue="1" id="{FA1969FE-C008-4197-823A-E6A6DFC9E7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36" stopIfTrue="1" id="{7C50A041-2521-460D-87CE-0FBBFBFCAE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35" stopIfTrue="1" id="{ABB53AF9-2C74-44BC-B2E7-0EC968CCA1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34" stopIfTrue="1" id="{68C436B3-AFCA-489A-97BE-7F4CFBA93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33" stopIfTrue="1" id="{57C7B651-E4BD-4332-A41A-8909C7AFE6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32" stopIfTrue="1" id="{811838AC-5C93-4808-9F4B-B77E6CB17C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31" stopIfTrue="1" id="{64E30240-9A37-4857-A1C4-975CF8F7D1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30" stopIfTrue="1" id="{6B907D61-D8A9-4F12-A489-995F2B249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29" stopIfTrue="1" id="{0487F4B5-AA3A-4B6E-B1B0-DBDB4B8500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28" stopIfTrue="1" id="{F099A14A-AAA7-4149-9557-BF509BEF4E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27" stopIfTrue="1" id="{418EF363-89F2-46A7-82FD-2E3FCC0B8A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26" stopIfTrue="1" id="{5BD8558E-5593-4E5E-8282-DF632497E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25" stopIfTrue="1" id="{52B8C653-20D7-4137-8893-5F57BB90FC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24" stopIfTrue="1" id="{F9CD66C8-2CFE-471D-AAEB-3945FCDB86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23" stopIfTrue="1" id="{122DF283-BF4D-45AC-937B-CD4834C782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22" stopIfTrue="1" id="{3E2D6708-6C5B-4232-AE71-1E3EBEE545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21" stopIfTrue="1" id="{14B1E2BF-DB73-4548-B8E3-49C1215AC7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20" stopIfTrue="1" id="{9BDC4DC5-5319-4E08-93B1-00CC38A3A0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19" stopIfTrue="1" id="{096DDBF9-007A-479F-9474-12D777D0B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18" stopIfTrue="1" id="{E948E165-B2F4-421A-ACFE-880889C98F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17" stopIfTrue="1" id="{88BD84A8-07A2-4945-84C5-D9E6C48A72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16" stopIfTrue="1" id="{6AE0358C-B6E9-44F2-A3D1-80D2E9EA98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15" stopIfTrue="1" id="{5496BD0D-2229-4D53-BB44-B7FEE8ABD7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14" stopIfTrue="1" id="{ED47ACE4-F74C-4431-B839-14F21CAAD2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13" stopIfTrue="1" id="{7D806B07-C3E1-474A-891F-B1AA3F8E1B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12" stopIfTrue="1" id="{04159502-76C1-402D-B8E4-484709A3C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11" stopIfTrue="1" id="{591D82BD-AE0E-4F89-8068-A16B90246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10" stopIfTrue="1" id="{61DE1B81-7240-4939-97E9-9C7C54D4C8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09" stopIfTrue="1" id="{DBF7B5DA-5FF7-45E6-A6CB-93810862C3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08" stopIfTrue="1" id="{D6A93393-EACC-4024-BFC5-5AA1EFBB56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07" stopIfTrue="1" id="{3E357D9F-2004-4C0A-940C-A00096D8A1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06" stopIfTrue="1" id="{FDD22C8A-C2CE-4511-858B-55484AB9A0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05" stopIfTrue="1" id="{CAF6338A-7ABE-48CC-AA79-2955C01606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04" stopIfTrue="1" id="{065E5C7C-EB69-4DDE-83DF-B80C1ADBFD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03" stopIfTrue="1" id="{1710DE5A-FAE7-4F1F-AB4D-244039F983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02" stopIfTrue="1" id="{8C0A41E4-33E5-48AB-B502-7D7C45DF56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01" stopIfTrue="1" id="{41A3FAC2-0950-451B-99FD-87DF5AF6D1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900" stopIfTrue="1" id="{D2A44B8E-21F5-471C-A5E1-32D8BD7FAE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99" stopIfTrue="1" id="{C928D68F-D1E7-484F-98F8-6D8867A41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98" stopIfTrue="1" id="{E9678BA0-BF1A-4297-ADDE-FE69928F35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97" stopIfTrue="1" id="{811A2983-3938-4DF4-B6B1-28F0F3D88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96" stopIfTrue="1" id="{215CB4B6-AB97-4526-A3C7-AC5685F067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95" stopIfTrue="1" id="{BADADEE1-7801-428F-9155-19C605CF5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94" stopIfTrue="1" id="{FE0018A2-8780-469B-A3EC-D3470A4AF3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93" stopIfTrue="1" id="{D7737CDA-7943-40FF-B834-E1A7A80378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92" stopIfTrue="1" id="{20218B8E-0197-42A5-BFF2-A05F8F3A97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91" stopIfTrue="1" id="{3466332E-671E-46CC-B900-1F4732E3F1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90" stopIfTrue="1" id="{AB36AE85-001E-4430-88AD-5C7353BCC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89" stopIfTrue="1" id="{6B8D12F2-F547-47B7-A179-344AF45B9E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88" stopIfTrue="1" id="{04888543-F579-4619-88C1-8BB6A059D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87" stopIfTrue="1" id="{EF3D1065-E4F9-46A1-B4BD-57F272529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86" stopIfTrue="1" id="{D355DB47-E4E4-4411-B94E-060A4A54C0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85" stopIfTrue="1" id="{98B93DA8-C07B-4A24-916D-278E4AA982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84" stopIfTrue="1" id="{6AB8338A-0ACE-4031-920B-0F25F4A17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83" stopIfTrue="1" id="{A70EE680-4F07-43A5-816E-ADE17832A3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82" stopIfTrue="1" id="{B18D2A69-2C23-48E4-ABEB-0F536C561C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81" stopIfTrue="1" id="{2884BAE1-19E5-4071-86DE-056D68F6CC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80" stopIfTrue="1" id="{392C4EA1-2B63-4455-A48C-EF7C41C299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79" stopIfTrue="1" id="{D033C957-4C85-4F00-862D-6A728A999F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78" stopIfTrue="1" id="{1E5CAA54-E3AD-44CE-9D68-CD8FAE9A44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77" stopIfTrue="1" id="{EF1B65D3-57F1-4C71-8312-15E778CC08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76" stopIfTrue="1" id="{C3718CD1-8485-4289-9555-435A824D79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75" stopIfTrue="1" id="{1411AED8-2ED5-47B4-A82D-58D27F09DD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74" stopIfTrue="1" id="{A64BF3DE-B573-42D5-99CF-A25058A2FB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73" stopIfTrue="1" id="{E0541C72-A39D-4E53-8B0B-753B016EDA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72" stopIfTrue="1" id="{34B8B824-2050-43CE-B8A8-167B1FA71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71" stopIfTrue="1" id="{498B8F28-49C7-42A2-A615-17245F0E7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70" stopIfTrue="1" id="{C281EF63-ED77-4942-830B-80FE813BDB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69" stopIfTrue="1" id="{45F1D8A9-492D-4592-B624-CFDA052DF4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68" stopIfTrue="1" id="{195262EA-5467-403F-88C3-45DCE8930A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67" stopIfTrue="1" id="{EFAD96EE-B11C-439C-ABE3-2F4EF5345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66" stopIfTrue="1" id="{59124814-D0BB-424B-A187-7AC45B60AA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65" stopIfTrue="1" id="{23EEB02B-C61C-4F42-91E6-5261C71DC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64" stopIfTrue="1" id="{1423FFBC-9553-4031-B443-5D8BA38BFC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63" stopIfTrue="1" id="{DF5911D4-0D27-44B7-826B-D57D6DABD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62" stopIfTrue="1" id="{479CA6F6-4AE0-45D2-9254-4EC5446E6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61" stopIfTrue="1" id="{F9F487AC-8789-4DCD-9A63-FA892BA193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60" stopIfTrue="1" id="{99BBFFF7-EB95-4B03-AA95-BC4794BB1B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59" stopIfTrue="1" id="{BD660C69-EA78-4F9F-8568-BA7A0B465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58" stopIfTrue="1" id="{BB18172B-2B7D-4F93-BBBD-903DCBE456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57" stopIfTrue="1" id="{567FAA45-651D-4AAB-A49D-F9082ACCAB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56" stopIfTrue="1" id="{EA171E8A-81F2-48F5-BB61-25D2256ED9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55" stopIfTrue="1" id="{3384B572-4E09-4BA8-9E19-5761A3FDDD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54" stopIfTrue="1" id="{40559F0E-DDB9-4D16-AD62-2FCFA125EB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53" stopIfTrue="1" id="{564525D1-8C39-45B5-8C8B-0C9D720344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52" stopIfTrue="1" id="{A9F958C3-C9E7-4CDE-B307-2B76AC1875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51" stopIfTrue="1" id="{D9F844F7-B9A4-4973-B6E0-EA1CF54D36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50" stopIfTrue="1" id="{8DE41905-A908-4BCE-B630-97FEF7FF25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49" stopIfTrue="1" id="{905528F1-FDCA-4471-B0A4-F9D4A94A31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48" stopIfTrue="1" id="{16648A48-A167-4BF5-991F-081EC3EE63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47" stopIfTrue="1" id="{FDBD72A8-51C4-4BBE-B9EC-F0FA3DEC6F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46" stopIfTrue="1" id="{B9B9395F-3FC4-4A6C-ABE3-866CF5284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45" stopIfTrue="1" id="{464C5DC4-A617-434D-A367-6B38631593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44" stopIfTrue="1" id="{DA1234DB-A3D2-45B0-A609-6D29FFFCA4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43" stopIfTrue="1" id="{B4969A46-6DA1-4822-BB14-48B9A59C72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42" stopIfTrue="1" id="{15408CFB-1CA1-40BD-9946-88FFD597A1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41" stopIfTrue="1" id="{65C68E71-4C70-4B30-A6C6-32C0881344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40" stopIfTrue="1" id="{74FBFA39-DB2D-4F85-824E-7E10019101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39" stopIfTrue="1" id="{292E82E6-CEC2-4DA5-AC8F-F35015E069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38" stopIfTrue="1" id="{9A3FA00C-5310-4C54-86E6-CDB55CD03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37" stopIfTrue="1" id="{87A43FBA-67E5-47A1-B4F5-D0807D1028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36" stopIfTrue="1" id="{DEDEE22B-34D0-4EBC-8252-37B306D79C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35" stopIfTrue="1" id="{F9D2B707-3278-4ADE-9C2A-94DC9D5E4B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34" stopIfTrue="1" id="{37974EEA-8554-4C30-B856-0FEA1E0F0E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33" stopIfTrue="1" id="{3B8745E6-82F7-46B7-94C9-B17E59C342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32" stopIfTrue="1" id="{F31206FE-81F7-4462-9158-74F351A072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31" stopIfTrue="1" id="{B89ED45B-EF9B-40BD-8F58-F81F31EDA5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30" stopIfTrue="1" id="{C13059A3-408F-4763-8D36-8A24D0A01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29" stopIfTrue="1" id="{4061E697-7F0A-42CE-8742-75FFB3616C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28" stopIfTrue="1" id="{A3F670B2-9033-4BE2-8418-1E4584F3BD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27" stopIfTrue="1" id="{82DCA844-08A1-45AD-B32B-A59E886678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26" stopIfTrue="1" id="{A5055987-1F3A-47AD-A818-B3F4DFA6F9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25" stopIfTrue="1" id="{7C37CADD-F65B-45A0-9A1F-A459203BA4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24" stopIfTrue="1" id="{01E8273B-32DC-4C92-8B91-42B0CA48E7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23" stopIfTrue="1" id="{661BE379-C373-40EC-8BFE-2F4FF021BD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22" stopIfTrue="1" id="{FF792C01-5735-439B-911F-B394403A1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21" stopIfTrue="1" id="{75D657AD-6C8A-4D07-ABC4-7198368FB0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20" stopIfTrue="1" id="{1CC79CA5-D42C-4816-8CCB-4C8DE971CA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19" stopIfTrue="1" id="{756E3392-E0F6-40CB-B5DE-64D649E587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18" stopIfTrue="1" id="{9DB915EA-F0CD-48D3-916D-DD6192F41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17" stopIfTrue="1" id="{E27454C1-F06B-4CF5-96AC-0C9F16A56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16" stopIfTrue="1" id="{DBDD6755-D62A-4D8B-8967-E7F8F8F212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15" stopIfTrue="1" id="{EC99FF39-13C5-45A2-A132-505BF015EB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14" stopIfTrue="1" id="{AA34D807-03B0-4E84-A4E4-74DF4518A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13" stopIfTrue="1" id="{18F3EECF-57B8-422B-97AD-A0D888DEB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812" stopIfTrue="1" id="{B34F6A0E-0AF8-491B-9750-380E2D2EAB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811" stopIfTrue="1" id="{42E56EDD-3C03-4003-AA69-D81891852D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810" stopIfTrue="1" id="{B2A3DB0A-4F7B-4511-AA52-00F6E86591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809" stopIfTrue="1" id="{0496205D-E863-4F77-8088-2235C9FD6B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808" stopIfTrue="1" id="{E41DC29B-53F2-4181-91C0-41B649BEEE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07" stopIfTrue="1" id="{2EB70384-8D0F-4ED7-86AD-38BE06715B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06" stopIfTrue="1" id="{72148E1F-07BD-465B-87B0-AB9A6F8E4C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805" stopIfTrue="1" id="{0B281019-BAA7-4B47-BD25-7A81B833D4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804" stopIfTrue="1" id="{CF490AAA-9D00-42DD-8621-0AEC599E0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3803" stopIfTrue="1" id="{261ECE9E-8721-48D7-B9EB-CA6E7CE78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3802" stopIfTrue="1" id="{B6DE5507-1680-4403-BC2D-B0FF3BA7E8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801" stopIfTrue="1" id="{EEE203B6-7C35-404D-A472-A32557E18F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800" stopIfTrue="1" id="{639EF3E4-9C56-48A5-9570-73B50B668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99" stopIfTrue="1" id="{18ECBA3D-865D-4C7D-A77A-5E4B171652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98" stopIfTrue="1" id="{98E6130E-814A-495D-BC6E-9810D5EBFE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3797" stopIfTrue="1" id="{89E0E6DB-32B8-4A51-90D0-7689887FB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3796" stopIfTrue="1" id="{0F2C0F43-EF2B-416E-9C60-6065572C5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795" stopIfTrue="1" id="{F8C407AF-4F55-4555-9040-1222E4A03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794" stopIfTrue="1" id="{6C6FE573-D6FA-4B7D-86F0-5B1DA27B03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3793" stopIfTrue="1" id="{D044B019-C2F9-4443-9EF0-E1CDF966ED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3792" stopIfTrue="1" id="{8203BDBC-DF12-4D98-A783-8334297AC9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91" stopIfTrue="1" id="{15B72835-DE97-4C24-804A-5082DC9546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90" stopIfTrue="1" id="{9BD96834-7E7E-46D4-A0B2-940756059F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89" stopIfTrue="1" id="{655BADC1-ED23-45B8-B621-87708D890D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88" stopIfTrue="1" id="{40B11172-A54A-4DC4-8B65-D0B84A13F6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87" stopIfTrue="1" id="{D3258911-9A1A-42C9-BC4B-5B48502E80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86" stopIfTrue="1" id="{7781D9B2-698A-4819-8EB2-3CEAD1056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85" stopIfTrue="1" id="{406428B6-5A5D-4907-A48E-99E0E59349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84" stopIfTrue="1" id="{1FFB9FA1-E62A-4144-8760-1D0A15622C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83" stopIfTrue="1" id="{2EB053A1-F887-433A-AAF8-D4FA8F9A59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82" stopIfTrue="1" id="{295C38A8-67C8-4770-91D9-5B6055F70E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81" stopIfTrue="1" id="{5A7723DA-3AFA-4D0B-86BB-A8E19FDF15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80" stopIfTrue="1" id="{A07A9471-6B08-4673-9559-AE122EF9B1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3779" stopIfTrue="1" id="{B138ADC0-39B5-40FB-BFC1-C17469C1B5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3778" stopIfTrue="1" id="{CAFF78C6-AF5A-4F4F-B69C-5E29F69041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777" stopIfTrue="1" id="{129B5AD4-2198-4D19-A16C-0B9D620F6C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776" stopIfTrue="1" id="{0BAB4109-883A-4EBB-A1F6-BE93B811B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3775" stopIfTrue="1" id="{DAB0D531-9887-4F5E-ADB9-F3AD76CFE2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3774" stopIfTrue="1" id="{31CD21FD-02B9-4898-B471-56EC92DF6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73" stopIfTrue="1" id="{53578B01-D25F-4645-8F82-44384F4F0C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72" stopIfTrue="1" id="{ABEFEE66-6F17-4F7E-87ED-D8F81B22E0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3771" stopIfTrue="1" id="{61533F18-7A71-4CBE-8A4C-96C852643C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3770" stopIfTrue="1" id="{4CF071BA-6C86-4FCE-A4A2-EAAC03EAC1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69" stopIfTrue="1" id="{C1CAC262-A5CE-4378-9017-59D8A2223C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68" stopIfTrue="1" id="{7DAB7B6E-FD76-4939-B52B-E84F00A54E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67" stopIfTrue="1" id="{BBC6A9B7-D007-4EB5-8DA5-D2252E5CA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66" stopIfTrue="1" id="{009228FE-0334-41E3-8313-917544468C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65" stopIfTrue="1" id="{165A03F5-5701-4F18-B337-B41663A31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64" stopIfTrue="1" id="{4C415B7E-AA72-41DB-8C5C-9CB162F0C6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63" stopIfTrue="1" id="{124964ED-0432-4999-9B27-C6A4B9AE19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62" stopIfTrue="1" id="{9227D225-1D74-49A5-BB26-367163D2AE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61" stopIfTrue="1" id="{BB3CAEDC-DA8E-45F4-963A-A6FFEA86B1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60" stopIfTrue="1" id="{0226EB69-FE36-4F05-94CE-DD65422A3C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759" stopIfTrue="1" id="{412A2177-49DB-47E2-82B6-41D840041B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758" stopIfTrue="1" id="{631CA893-8540-4511-AF15-7012A0F8A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57" stopIfTrue="1" id="{03F231F4-D263-4CF1-8B30-59015CB649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56" stopIfTrue="1" id="{3EEC8B13-0497-4250-97C8-B885BC3227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55" stopIfTrue="1" id="{70D50FCC-A57E-4D25-9E76-EB444531CA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54" stopIfTrue="1" id="{76CF1719-1F82-41E9-9376-68900631BD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53" stopIfTrue="1" id="{47A357F9-59FA-4299-AD8D-261E5BA911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52" stopIfTrue="1" id="{2FC28208-25FC-41BF-AB81-AFE7C581CD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51" stopIfTrue="1" id="{33E5AD59-A4A5-4BE5-9674-0234FD7504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50" stopIfTrue="1" id="{58E75F9D-29F5-4483-90F2-A1AC238E0B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749" stopIfTrue="1" id="{DC5E0A02-CFF0-4C00-BA5E-F1A9E4D6A2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748" stopIfTrue="1" id="{808A5131-04E2-4C85-8984-08399F0648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47" stopIfTrue="1" id="{508A18F6-371D-49BE-AB0E-A186A395EC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46" stopIfTrue="1" id="{536F2C90-C1DA-4EAB-85A4-2793C191BA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45" stopIfTrue="1" id="{03A7EDAD-B271-4453-B770-16981E0C6A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44" stopIfTrue="1" id="{8F69404B-D93D-40D2-A84B-F04BA2C8A1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43" stopIfTrue="1" id="{86986E4A-A025-4CDF-8F48-ED3F196061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42" stopIfTrue="1" id="{DDC8A07F-63A9-4502-8A22-CBC4EDFBD3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41" stopIfTrue="1" id="{CE5FBB8A-8F15-4236-B5DD-B81CCF07B6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40" stopIfTrue="1" id="{73952384-C93D-4A1A-B470-837E26F351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39" stopIfTrue="1" id="{BC9A8139-26E9-4778-8B66-20431D4043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38" stopIfTrue="1" id="{49D46461-BC92-4E01-ADD3-1C13118F5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737" stopIfTrue="1" id="{C6951704-9C41-4202-A222-02863F99F8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3736" stopIfTrue="1" id="{007012C7-BA6B-4054-A11E-42C01B116C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35" stopIfTrue="1" id="{FFBE4F45-D3AD-4E18-BA97-AE0A24A3E2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734" stopIfTrue="1" id="{FF0CB4FE-B717-4E63-9960-E1AA8B6BD4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33" stopIfTrue="1" id="{F02576B1-E091-42D5-92ED-05BE6F9C17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32" stopIfTrue="1" id="{F55799B6-7279-43D0-97C5-07311E204D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31" stopIfTrue="1" id="{13CE6223-4EE6-479A-9D8A-7230070A88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30" stopIfTrue="1" id="{D589F1CC-AE30-44DA-B9D0-97C39067F6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29" stopIfTrue="1" id="{7B84E21B-6314-4D9A-92D9-B9D5BC1E29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28" stopIfTrue="1" id="{05C2EFBD-F071-4DBA-9937-4877019C8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27" stopIfTrue="1" id="{BF0AAC5F-3A31-402D-A10F-2D8D2B4F58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26" stopIfTrue="1" id="{7F9C0773-9F45-43F1-9526-C380F02500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25" stopIfTrue="1" id="{52D88CEF-AC81-400D-B478-C5D10004D8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24" stopIfTrue="1" id="{660DC89C-F945-4890-9E0D-563A991A77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23" stopIfTrue="1" id="{CE1C89C2-87EE-427A-9060-57702581F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22" stopIfTrue="1" id="{70577CCC-4E4A-468F-AE42-5B1932FFFF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21" stopIfTrue="1" id="{E5C53B60-7936-46F7-9CFA-D201525572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20" stopIfTrue="1" id="{65C10F3F-5679-46BB-8E8A-14A91F5514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19" stopIfTrue="1" id="{0E35320F-5343-45A1-BE9D-B0EF8A12DD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18" stopIfTrue="1" id="{7D42F416-68F5-43C5-93C0-A7F923804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17" stopIfTrue="1" id="{34C2618E-319E-4AE6-AD23-CF8AC3769F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16" stopIfTrue="1" id="{4A25D59F-307B-4BC3-A3DA-7F659F9843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15" stopIfTrue="1" id="{B029F13E-ABE4-4537-9452-A5D35049A8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14" stopIfTrue="1" id="{FBA5388A-E3A1-4E12-ACE2-80027CD7B9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13" stopIfTrue="1" id="{CBCCC570-29EE-42EF-81BD-7BD014A03F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12" stopIfTrue="1" id="{98ADB2F1-C502-496C-8836-AC604611B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11" stopIfTrue="1" id="{53C095CF-D70E-42E3-93CF-C05100C454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10" stopIfTrue="1" id="{B36A9B6C-085B-422E-A7C0-7721B462B0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09" stopIfTrue="1" id="{ABFF32BF-F669-4787-B128-38D2EE336E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08" stopIfTrue="1" id="{9BAEA175-7FB7-43E0-ABE1-F58F097CD0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07" stopIfTrue="1" id="{3405F4E6-A9FE-4D3B-A90A-71DBB8A4A4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06" stopIfTrue="1" id="{B76DEE96-B569-4F4F-8C16-5933A68B52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05" stopIfTrue="1" id="{D5A53B93-7133-4132-BEF2-921E3C8A87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04" stopIfTrue="1" id="{9FAD16B3-0217-48EF-8FA0-07D55FB0CD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03" stopIfTrue="1" id="{2980EB14-2990-4A72-B816-BE74530A1D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02" stopIfTrue="1" id="{B31B08C0-7425-4716-89A1-AB06357FB7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01" stopIfTrue="1" id="{8BEEA7FF-1A46-4DEE-A188-629BB61685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700" stopIfTrue="1" id="{2F1CF8FC-86FF-45BF-8411-58E83A651B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699" stopIfTrue="1" id="{C35E86BC-CD11-4251-B8BD-0F8F976DE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698" stopIfTrue="1" id="{9B622A22-EB2F-466B-B378-54D4DBDC1D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697" stopIfTrue="1" id="{1F3960AC-2C49-4966-8FA9-773F7D5DC6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696" stopIfTrue="1" id="{9CD8F2FF-C92A-4614-B79F-6A263EAB9B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695" stopIfTrue="1" id="{DD5FDED5-D8D3-4741-B193-B32E5F73C8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3694" stopIfTrue="1" id="{B28C1BAA-6C13-48EE-81EA-DD0D2A4BF8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93" stopIfTrue="1" id="{5319B021-9045-4D60-8527-AA1E78BBEA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92" stopIfTrue="1" id="{0A7F067F-84BA-41A1-BEB0-F861C324A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91" stopIfTrue="1" id="{531239BB-4695-4B36-9761-C27B23AD4D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90" stopIfTrue="1" id="{759A8836-D7AD-4E01-BD0E-1D1C235045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89" stopIfTrue="1" id="{07DD3497-0F53-4B94-8E3A-DDEAB11DF0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88" stopIfTrue="1" id="{CB926AD6-6F59-4669-89B4-6EDCC9D43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87" stopIfTrue="1" id="{82E13F18-99F8-4B61-A8B7-C7E5014B10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86" stopIfTrue="1" id="{F7CD6D3C-109F-44C3-8371-2660F701C3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85" stopIfTrue="1" id="{7629A587-C9F9-4375-9971-F6ACC7042E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84" stopIfTrue="1" id="{57D9DC73-D9CD-4588-9E80-2412E34F81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83" stopIfTrue="1" id="{AB0E7AA2-ABC9-4A1C-A510-163A7DDB17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82" stopIfTrue="1" id="{5FD1A56E-28F0-4301-87E2-BEAAE8AE80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81" stopIfTrue="1" id="{5A405DF6-CEDA-4563-9965-37BE69C8C2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80" stopIfTrue="1" id="{89E50153-C551-4730-80C9-E6624C60C9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79" stopIfTrue="1" id="{F8049723-63D7-48BD-B0B4-C382860DAE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78" stopIfTrue="1" id="{4EB56A3B-6ED1-4E8B-9556-FE88A55C8F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77" stopIfTrue="1" id="{657A2099-DF23-463C-B4A5-61FFA219E5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76" stopIfTrue="1" id="{BB3E6F3D-96DD-4B70-91BD-9AA4D0AF83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75" stopIfTrue="1" id="{5C6A9F97-E159-4A7E-A414-1E9B5224E1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74" stopIfTrue="1" id="{F8720ED7-DF38-4F1A-AC55-2D1CF20F9D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73" stopIfTrue="1" id="{5C1EE18D-9C82-4A54-A1BB-811E3A8B54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72" stopIfTrue="1" id="{1ABCAF0C-701B-4239-953C-0826FE0C0F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71" stopIfTrue="1" id="{7C42DA34-7128-4E1C-91AD-533A2020E5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70" stopIfTrue="1" id="{D7249E79-3A0F-4422-B5DC-71DCC04D63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69" stopIfTrue="1" id="{63D8F2D4-3B4A-4E6D-8B5B-A47B6F54B9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68" stopIfTrue="1" id="{5465FB52-7D52-4D5D-B36B-1820F0FD34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67" stopIfTrue="1" id="{06CE23F5-5BB0-4D6E-9EF8-0A9BB33C2D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66" stopIfTrue="1" id="{A19D70BD-097A-4A47-A99F-4C656B6D85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65" stopIfTrue="1" id="{676A6326-2C92-4A89-BAF5-9C0D94206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64" stopIfTrue="1" id="{1C6C0738-5E16-4059-B8AD-8B957C02EA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63" stopIfTrue="1" id="{4DC72CCF-341A-4C29-8602-59FCE2509B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62" stopIfTrue="1" id="{D0DB3C57-245C-41B0-8EB9-C742F45A98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61" stopIfTrue="1" id="{4BEB7DE6-B0B0-4A49-A76E-01234BC1EE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60" stopIfTrue="1" id="{FB43D339-B6E6-49CC-86CB-812FDA3471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59" stopIfTrue="1" id="{B0FD7B99-C3D4-4BDC-BB35-91E26B02C7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58" stopIfTrue="1" id="{E2A505A5-D840-4EB3-9AB3-987886D443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57" stopIfTrue="1" id="{1624DAA7-576D-42DB-9D9C-D66B8C69B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56" stopIfTrue="1" id="{405564B5-6652-4635-BD92-3E03EFEA01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55" stopIfTrue="1" id="{5127B703-9435-41AF-932A-6E651304B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54" stopIfTrue="1" id="{CB6C04B3-1CC4-4A8E-A53B-6B3104ECEA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53" stopIfTrue="1" id="{348637CA-E007-430B-ACFF-E10E1D4471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52" stopIfTrue="1" id="{6722D030-3F1F-4B52-A416-8C96E6BB8F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51" stopIfTrue="1" id="{107DBAA0-DB58-4DF7-ACBE-7D36FCBB08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50" stopIfTrue="1" id="{46042B19-5910-4189-80BF-D2AEFD83A4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49" stopIfTrue="1" id="{C0FE5A06-351F-4932-B08B-C193D494A9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48" stopIfTrue="1" id="{293F069D-707B-4C71-9A85-E48EC089E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47" stopIfTrue="1" id="{4F668485-7CFB-4F52-99F5-AD2F36023A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46" stopIfTrue="1" id="{7BC04E6B-198D-4AA1-9969-24E43EFA2E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45" stopIfTrue="1" id="{6D806775-1C5C-4B48-A987-A76E7A4DE9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44" stopIfTrue="1" id="{7144B41D-E6D8-4777-8DF8-D374C1D42E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43" stopIfTrue="1" id="{48BCC365-09BD-4282-A186-737923296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42" stopIfTrue="1" id="{894DB735-5174-48E6-99AD-D56761848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41" stopIfTrue="1" id="{FEBC0020-E99E-4555-8D18-8FF0009DF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40" stopIfTrue="1" id="{EBCF6DC3-A472-4312-837B-1A64D5E0AB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39" stopIfTrue="1" id="{D8AC2349-5A45-46BE-B20F-FD408A34A7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38" stopIfTrue="1" id="{88D45F5A-2225-404C-AFB4-47A3E11EB6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37" stopIfTrue="1" id="{BD20E9DF-27FF-4DF5-A533-9058AE429C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36" stopIfTrue="1" id="{010431E4-B162-434E-A032-B1A406953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35" stopIfTrue="1" id="{67467334-357E-4717-A121-92656FAE00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34" stopIfTrue="1" id="{74CD9C32-713B-40AD-899F-DDB3FA50E1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33" stopIfTrue="1" id="{942E1B50-5641-424F-85D9-16092E7DD6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32" stopIfTrue="1" id="{40E58E87-AB58-405E-9FE6-58B358DEB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31" stopIfTrue="1" id="{A738F708-8DE1-4EA2-8C2A-CA51391B91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30" stopIfTrue="1" id="{6EEC1708-AC34-4B6D-A92A-9A1F794D22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29" stopIfTrue="1" id="{4780780C-5A38-4841-BC0A-ECF0B271D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28" stopIfTrue="1" id="{6568515D-0C72-4D3C-825B-4308155B6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27" stopIfTrue="1" id="{E9724875-A9AC-45AF-97E3-3F025594D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26" stopIfTrue="1" id="{1F357D72-93A3-40D8-B1D3-2EF03A4671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25" stopIfTrue="1" id="{DE4E3EE9-FAFF-4214-B697-667194370F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24" stopIfTrue="1" id="{C88ACB06-3DCC-4297-8B0D-5C77DFD513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23" stopIfTrue="1" id="{38E8CFF6-DD3B-46EB-B064-42215C7456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22" stopIfTrue="1" id="{A8E39F20-637F-47A8-86E7-8A541364EF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21" stopIfTrue="1" id="{18D3B43B-C184-4FB4-A09F-B89D4FDB95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20" stopIfTrue="1" id="{89CEE7FD-8D5F-4F6A-A5F6-54D473034D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19" stopIfTrue="1" id="{4D9964A3-5B4D-43D2-AA4A-99AC678C9E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18" stopIfTrue="1" id="{7DE59739-2069-438E-AEC1-E4471BEBF5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17" stopIfTrue="1" id="{BBF30122-1761-432C-8DF6-48B92A7D48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16" stopIfTrue="1" id="{B36B7EE3-46D1-4FBE-91F0-37C9B76E86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15" stopIfTrue="1" id="{79EBE6C5-25A5-4EB1-9EA5-EAF410C15D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14" stopIfTrue="1" id="{39D77F78-0327-47B4-90A5-55B146FC4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13" stopIfTrue="1" id="{71E14539-4626-4AF8-A249-2FB2AC869E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12" stopIfTrue="1" id="{98A0DCD9-B641-49E4-AA2E-A12B1F2593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11" stopIfTrue="1" id="{F579186F-3142-4E83-A833-1D73AF1228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10" stopIfTrue="1" id="{2B054109-3DA0-4E3C-81B8-37143E67A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09" stopIfTrue="1" id="{DEC23087-5D92-49BF-ACD8-93178B900A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08" stopIfTrue="1" id="{C1096187-3502-4E4E-906F-0B32F53DDA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07" stopIfTrue="1" id="{B374F2B3-C516-4737-B386-D27834BFC6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06" stopIfTrue="1" id="{AEC884B8-AC52-4041-93CB-E29F147289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05" stopIfTrue="1" id="{18BD0CEC-8261-42D5-80AE-91A6608550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04" stopIfTrue="1" id="{8B06D959-79CB-414B-9936-9818EF101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03" stopIfTrue="1" id="{3AFFA46C-39A1-47B0-AA1F-78168DF35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02" stopIfTrue="1" id="{8E94C937-D50A-4E9F-8003-840B2277C1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01" stopIfTrue="1" id="{2F2D0762-C5DA-451C-91B1-4AE36805DB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600" stopIfTrue="1" id="{94991278-AA94-4675-957F-D938A4EC16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99" stopIfTrue="1" id="{7E961F69-BCF2-4AFF-9CA9-A04ADB9748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98" stopIfTrue="1" id="{91FCCB54-F9F0-4C9F-AE5C-A912B9074D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97" stopIfTrue="1" id="{895C8AF1-71EE-4E8C-AB67-B2EEA3FFC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96" stopIfTrue="1" id="{E8FE105E-3826-4992-8B0D-8BD93F5E1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95" stopIfTrue="1" id="{31E38D6D-B3A6-4C4E-80E4-08F50F0EC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94" stopIfTrue="1" id="{542F2E6C-33EE-4AF1-BD84-EBAE3A178B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93" stopIfTrue="1" id="{A431F094-CD2E-4F9A-ABF7-62C8D67CE6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92" stopIfTrue="1" id="{03C154A5-8B76-49B3-9FA8-B740F0CE5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91" stopIfTrue="1" id="{C87F9866-5D27-49D4-8FF5-5655FDC69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90" stopIfTrue="1" id="{7AFC1134-B8CB-4C92-9580-F046472F69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89" stopIfTrue="1" id="{B6F8CE28-A341-43D1-98AB-5BAD756287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88" stopIfTrue="1" id="{52744F46-8DD5-4D63-BAFE-C9F342390B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87" stopIfTrue="1" id="{7FD7CBFB-993D-4863-9C9E-3E77C21661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86" stopIfTrue="1" id="{295DAC0C-C191-4FED-9A54-4B224BFE2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85" stopIfTrue="1" id="{751E7DB7-A637-42B3-BF93-943F29AA01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84" stopIfTrue="1" id="{ADFED921-F7B2-41AE-B73C-7F9E59DDA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83" stopIfTrue="1" id="{5D268417-F47B-495B-9F37-B50A90725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82" stopIfTrue="1" id="{B71E40E8-B6EF-4EED-BA3E-2A0C1406A5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81" stopIfTrue="1" id="{C7A33327-4144-45EC-8B4E-B88B3CAD31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80" stopIfTrue="1" id="{A267BA62-EE01-46FF-95AA-0D17138E22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79" stopIfTrue="1" id="{B27835A1-E8D3-436E-9C4B-6209D55622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78" stopIfTrue="1" id="{C1F19629-F559-4CC5-B37E-4F9A3CE3F5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77" stopIfTrue="1" id="{C7D103B5-417B-4675-B5A5-065751609C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76" stopIfTrue="1" id="{A07B8DA9-C97F-4876-A608-F76E6DA0DF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75" stopIfTrue="1" id="{7FB8C1E3-02FA-4469-9739-26F4CF4839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74" stopIfTrue="1" id="{0647EBCF-3D38-4458-8329-FE9B906078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73" stopIfTrue="1" id="{8468AE9B-9032-4F2F-BF96-44C6A409CC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72" stopIfTrue="1" id="{CAC8D98C-98AD-416B-8F24-5953418209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71" stopIfTrue="1" id="{F53152A2-B2A4-4EA3-A780-EBECC41A0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70" stopIfTrue="1" id="{7B55F1B6-20D1-4B71-9590-EB0BFF50AE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69" stopIfTrue="1" id="{E9223A7B-0DE1-407B-8A04-38E593C7F8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68" stopIfTrue="1" id="{37B38824-4F9A-4B27-B646-6C97C4C97B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67" stopIfTrue="1" id="{463D370E-ECE1-43D3-AE81-B18B7C6B9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66" stopIfTrue="1" id="{7F261493-45BB-45F1-84AE-6FF4452A84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65" stopIfTrue="1" id="{B674EAAB-036E-4B53-882C-5CA75EBA89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64" stopIfTrue="1" id="{5961C079-51DC-4C07-AC91-D2F16DB14F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63" stopIfTrue="1" id="{E02580EE-FC91-4520-925F-DCC2B07A09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62" stopIfTrue="1" id="{590B4EC8-8959-47B6-8972-255D9FE5B1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61" stopIfTrue="1" id="{EF08498B-046F-480D-BD65-ADB95930B6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60" stopIfTrue="1" id="{96033374-EC5D-4696-988E-C5CE335AEB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59" stopIfTrue="1" id="{D44F2076-E287-4D34-A7F2-2EAA9F66D9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58" stopIfTrue="1" id="{6AA30910-54CD-49B2-AA8C-41404C0AA4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57" stopIfTrue="1" id="{BF643B0F-6966-4426-8F12-3AD48126A9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56" stopIfTrue="1" id="{8EC6A713-5E69-462E-A593-BE0E51958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55" stopIfTrue="1" id="{5CE121A9-AD57-4DB9-B225-A763E974FA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54" stopIfTrue="1" id="{F4CC5605-5616-44C9-9E20-266755104C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53" stopIfTrue="1" id="{9CBC44B3-B7E9-462B-913C-03295BEF55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52" stopIfTrue="1" id="{D665F87A-FFD9-4DF8-860E-6044BE24FE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51" stopIfTrue="1" id="{524D991D-3625-44EA-B82A-6ABD29C5C7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50" stopIfTrue="1" id="{69882DB1-8CD3-43A6-ABBD-4C6191404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49" stopIfTrue="1" id="{DB781E96-21A5-4F65-AA93-2A86775680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48" stopIfTrue="1" id="{019E0872-3E4E-4E2B-8D0B-AC8BB85EA3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47" stopIfTrue="1" id="{7A01FDB4-6ADD-4DE6-B683-E1FB6C62F6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46" stopIfTrue="1" id="{512EA5F4-E64A-463C-8A68-A1C8346C55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45" stopIfTrue="1" id="{0F206394-5B53-4063-BD80-D0941017E1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44" stopIfTrue="1" id="{9B1D63AD-D9A6-4C28-B918-66BC63FD4F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43" stopIfTrue="1" id="{8B09AC57-6B04-4CC9-B2F3-6AE72B0E3F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42" stopIfTrue="1" id="{C9320314-0BBD-4F25-871F-4352584ABB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41" stopIfTrue="1" id="{6EF3A8AC-7CB5-4316-BAA2-4C98B8D559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40" stopIfTrue="1" id="{406BB1A0-8B72-48CC-B2C9-5B50FECBD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39" stopIfTrue="1" id="{A4875D03-9DC5-47B1-8570-86EF59FB60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38" stopIfTrue="1" id="{2E572CA6-8175-4047-A1EE-6D943FDAC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37" stopIfTrue="1" id="{453A2D72-2C04-4994-A96E-7412E8802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36" stopIfTrue="1" id="{ED57FA88-6A91-48AA-9FCF-AD7868C03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35" stopIfTrue="1" id="{CC7E85BB-E8E3-4AC2-B525-6AAD5885C1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34" stopIfTrue="1" id="{8F620B4E-096D-45F6-9A41-97AA6F17A2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33" stopIfTrue="1" id="{F712209E-E2DD-4479-8BB2-7697B69E94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32" stopIfTrue="1" id="{D8EBAAA4-C00E-48B5-BE9F-266476E0A2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31" stopIfTrue="1" id="{9F1E0EE0-2E32-47EF-9995-9AA1B49C1A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30" stopIfTrue="1" id="{D1855BCF-6D51-4991-8DC5-4E01058FCC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29" stopIfTrue="1" id="{7F216F3A-92D4-41C6-92A2-00F4FAC0D9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28" stopIfTrue="1" id="{E63D55C5-97F1-4C58-BB56-1EE44B4CE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27" stopIfTrue="1" id="{7F8DC3FF-7779-4575-A15F-310D74A467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26" stopIfTrue="1" id="{6815A55D-A11B-4526-B126-A28850E5F4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25" stopIfTrue="1" id="{7D62E33F-99D8-44C8-BCA3-72C9DA9171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24" stopIfTrue="1" id="{0E557C8E-D439-471A-802B-482F14B51C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23" stopIfTrue="1" id="{478C3551-820B-449E-BB0C-04EE402F8F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22" stopIfTrue="1" id="{7B54F57A-FA96-4CEB-862C-1A33E626F7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21" stopIfTrue="1" id="{324D0881-FAA7-4C63-9CCC-27DFA3967B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20" stopIfTrue="1" id="{3380B960-C506-4918-AFEB-FED1DF7405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19" stopIfTrue="1" id="{FC6BBB96-61E8-4B6B-B207-FD83A789A2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518" stopIfTrue="1" id="{C84DAD51-91F7-443A-929D-791EDEC303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17" stopIfTrue="1" id="{5F588BC2-2C10-4B8A-8343-6B10507E84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16" stopIfTrue="1" id="{D739C801-A115-48EE-A847-D26DCAA3B7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15" stopIfTrue="1" id="{75B6F302-B072-4B8C-B7E3-B55D5F5EE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14" stopIfTrue="1" id="{0E61251C-81A7-4697-B3FE-A7706238E9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13" stopIfTrue="1" id="{242AF454-133C-4A11-9AF6-80A36069DE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12" stopIfTrue="1" id="{CBC26910-1E8F-4F49-998A-50CF685603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11" stopIfTrue="1" id="{3E600CC1-41B5-432C-A649-3AE96932B8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10" stopIfTrue="1" id="{A0DB4DCB-CB57-4FD0-8E0B-CF23A3C8F2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09" stopIfTrue="1" id="{DDF36A24-7D38-4304-BCB9-6A49C22139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08" stopIfTrue="1" id="{449F8A4A-BE37-4467-A849-991C13701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07" stopIfTrue="1" id="{86E77232-41F2-4EBB-9A19-340AE41CB2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06" stopIfTrue="1" id="{961B11E8-19D2-49A5-AB39-AF5C4C1B6E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05" stopIfTrue="1" id="{1DA4393B-FF2A-4848-841B-F0AC5ECC43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04" stopIfTrue="1" id="{281ED70B-D5CC-4666-8BA5-3274833D33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03" stopIfTrue="1" id="{9998C4E1-18C4-424B-8827-E1A598223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02" stopIfTrue="1" id="{50476DC3-BE74-436D-B529-F6EC6F0D54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01" stopIfTrue="1" id="{C1A521F6-F05C-4CAE-923B-B3066F77AE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500" stopIfTrue="1" id="{53DC9916-5D7F-407C-A729-06E34F389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99" stopIfTrue="1" id="{2FA15691-C984-45A1-84EE-89F92C70FD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98" stopIfTrue="1" id="{2B605480-02D7-4BA3-884A-E4463E8F98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97" stopIfTrue="1" id="{4D70811B-E886-4F2C-8CA8-3AF8926F66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96" stopIfTrue="1" id="{D5AFA80B-0B23-4080-A4FF-2ED45FD886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95" stopIfTrue="1" id="{A82CA892-9D0C-4E8B-A7D1-F8D7144085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94" stopIfTrue="1" id="{0BC877BE-8272-493E-9A5B-8F771927D5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93" stopIfTrue="1" id="{6912DFCD-CD44-42B6-9511-3EDB1EC87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92" stopIfTrue="1" id="{FF07281F-20C8-4A21-89C5-12F02D5D55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91" stopIfTrue="1" id="{7A395D65-0024-40B8-A0F8-A363192C00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90" stopIfTrue="1" id="{D8BB69C2-B388-4BA7-B21C-E74701D886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89" stopIfTrue="1" id="{26F72F36-FE7E-424C-9D9D-09813B907C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88" stopIfTrue="1" id="{71C257F4-78CA-48BD-BEAA-2DED48FD9C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87" stopIfTrue="1" id="{33FF287B-E116-4810-9B4C-D76AF1EE0E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86" stopIfTrue="1" id="{DA2342A8-E299-416D-B1F7-2DD26C86F8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85" stopIfTrue="1" id="{AA6560D8-39A4-4D0D-A7D3-EF7D5EF44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84" stopIfTrue="1" id="{94B25A95-9C62-43C9-AB6F-9E632869E0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83" stopIfTrue="1" id="{2109F28A-8C40-4B5C-9CAE-ECF1440FF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82" stopIfTrue="1" id="{E33F14B5-3459-438A-89E6-1BCAE27CD4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81" stopIfTrue="1" id="{17BEBBF2-EAEB-4EC7-957E-349EE3BFBE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80" stopIfTrue="1" id="{CB92EB5C-6F7C-4779-9DED-C72FEAFD78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79" stopIfTrue="1" id="{C39C7D68-5DA4-4E50-9FD3-463CFF52D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78" stopIfTrue="1" id="{2FCAED7E-25F5-44F7-BD69-D611070A9C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77" stopIfTrue="1" id="{8CAC4023-BC76-4F46-B9F8-812ACBFC18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76" stopIfTrue="1" id="{0A76F830-D51D-4FB9-B73B-4D0F78F59F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75" stopIfTrue="1" id="{9C0D07A1-8B93-48BC-93AE-E932A31E83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74" stopIfTrue="1" id="{6D11766B-30C7-4B00-8996-879618546F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73" stopIfTrue="1" id="{BB0E304D-1C75-427A-B98E-FB797B6728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72" stopIfTrue="1" id="{99449C87-D15D-43D7-B3F1-1B229534B6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71" stopIfTrue="1" id="{52F42DCF-291E-4663-A526-4C35D76BDA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70" stopIfTrue="1" id="{08F3908A-052A-4328-9B6C-968B11067D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69" stopIfTrue="1" id="{045FAF12-24F4-41A1-89E1-E476D45CD8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68" stopIfTrue="1" id="{784D9F82-7BF5-40D1-BEBD-93A828E433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67" stopIfTrue="1" id="{3172EEE6-75F4-477A-8580-1860359B41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66" stopIfTrue="1" id="{891F1C05-A123-4DC9-A4B7-8BF674F9D4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65" stopIfTrue="1" id="{CD7937F1-D270-4BD6-B865-6DC1A202D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64" stopIfTrue="1" id="{E4396D19-3FA3-45A1-A90B-6A82D42AF8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63" stopIfTrue="1" id="{BDF5FC3E-3727-47A1-8A5E-A7E377EB63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62" stopIfTrue="1" id="{E9250D1F-596B-4408-AC77-326F7480E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61" stopIfTrue="1" id="{D334DA50-6129-4BD2-957F-CA7539DE39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60" stopIfTrue="1" id="{31A673B8-2604-4AC2-BDC7-74CF4EF403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59" stopIfTrue="1" id="{D0DE7E16-6CFD-47B5-9E41-BAE092E17D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58" stopIfTrue="1" id="{F3677C4F-A279-481F-B880-C6754D44BE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57" stopIfTrue="1" id="{81C41E21-5B27-4E02-97BF-98804D0325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56" stopIfTrue="1" id="{497421C5-0B28-468C-89AB-3BEA4E6501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55" stopIfTrue="1" id="{2968FB90-B672-4FCF-BA82-701E959EB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54" stopIfTrue="1" id="{20E7C0E8-1C45-4818-8FE1-36D177C48C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53" stopIfTrue="1" id="{B4556FB5-16F6-42B7-B1F5-A19FAAD0F6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52" stopIfTrue="1" id="{03631F09-2D12-4A54-B34D-6981B42AE8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51" stopIfTrue="1" id="{8E059BF8-014A-494D-863B-AF37236D3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50" stopIfTrue="1" id="{EC21AA5E-32EC-4743-B61D-6DDAAD4AAE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49" stopIfTrue="1" id="{3382DF97-AB74-4293-B2A3-378B46CA3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48" stopIfTrue="1" id="{4F73694F-DB00-4CE7-AA91-FE85D074D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47" stopIfTrue="1" id="{2E532157-E841-415B-A565-03BA238673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46" stopIfTrue="1" id="{A844EAF4-E403-4B79-8464-255C2CAD7A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45" stopIfTrue="1" id="{726EC110-DBBF-4674-A273-CADECD6209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44" stopIfTrue="1" id="{451788BB-0C44-4645-B2B1-2B93E46E9C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43" stopIfTrue="1" id="{766742F5-BF21-47CB-9FA2-F8072FB87C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42" stopIfTrue="1" id="{1EE50947-DE8E-4A90-808A-7CB509FCA6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41" stopIfTrue="1" id="{B1ADD405-8259-408B-B150-44A7449309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40" stopIfTrue="1" id="{E9CEFF34-F293-403B-BA2E-BF7CF8BB6B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39" stopIfTrue="1" id="{0F0A2493-ACF6-4D61-BEAA-2B4EBD7CD4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38" stopIfTrue="1" id="{544F6518-6B33-489A-8733-F9867270C8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437" stopIfTrue="1" id="{C2472379-212B-42C6-918A-9A4774246F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36" stopIfTrue="1" id="{5F96F62D-2BE9-40EE-9BA3-E4CDE4415A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35" stopIfTrue="1" id="{4580C04E-D3F2-4397-AF1F-04BADCB02C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34" stopIfTrue="1" id="{73F3DCCE-2B53-41F3-A465-3F59E76B58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33" stopIfTrue="1" id="{5188AB02-8F1A-461C-A058-42389E5F93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32" stopIfTrue="1" id="{1A6DF0BF-BE43-499B-9F1F-08B51C0081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31" stopIfTrue="1" id="{04F94201-E273-4113-B2C5-4F9E601406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30" stopIfTrue="1" id="{2FC020A9-E91D-42AD-8170-DBEC1D7425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29" stopIfTrue="1" id="{08D447E2-8C78-4A48-83E5-6A0EDFAB23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28" stopIfTrue="1" id="{4A225E26-E2E1-4005-9A0B-A1C126989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27" stopIfTrue="1" id="{5BFDB330-A1BA-4724-B456-F11186EC3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26" stopIfTrue="1" id="{36021163-FB96-4E35-BA08-20740DA957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25" stopIfTrue="1" id="{43C57EDC-FE3D-4036-B2E2-37949B136D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24" stopIfTrue="1" id="{3042F449-27AA-44B9-9661-C48B654003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23" stopIfTrue="1" id="{A215CDEC-29E6-4832-9A2F-B591A060A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22" stopIfTrue="1" id="{4CB802F1-AB35-4ED6-8594-31CD33C45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21" stopIfTrue="1" id="{550AA4B9-4725-4483-AE69-BF7AD58487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20" stopIfTrue="1" id="{203E0C24-3833-4980-9CC7-69B44D7E4C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19" stopIfTrue="1" id="{04394DD0-2E48-4498-B036-7F8C1E7377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18" stopIfTrue="1" id="{0678B350-F61C-4B42-9032-8D4CB4E24B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17" stopIfTrue="1" id="{FA31730A-087F-43A7-8CA4-4E07B3C1B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16" stopIfTrue="1" id="{2D9D696D-27E1-4F64-88B6-FC98A26B3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15" stopIfTrue="1" id="{B67CCEFC-A965-4DDF-9FFA-67849E79B6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14" stopIfTrue="1" id="{419086B3-219E-4F39-B063-E182937B5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13" stopIfTrue="1" id="{6B94E10F-9CB1-4100-8EE2-A5215F661D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12" stopIfTrue="1" id="{4AAA664B-B64C-4361-A391-274850E12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11" stopIfTrue="1" id="{D0AB196E-2A08-42CA-8FE2-A7D674F60E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10" stopIfTrue="1" id="{C4BCB0B2-2E24-4CC1-BBD6-5C97DE3FCE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09" stopIfTrue="1" id="{549E4322-3C64-4CB8-AF9F-BC2794F2C3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08" stopIfTrue="1" id="{6DC0D397-BB98-4DF2-B4FF-C5F5252B79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07" stopIfTrue="1" id="{604EF54F-3192-456A-9684-B4D76C7968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06" stopIfTrue="1" id="{046CD567-033D-4D48-959D-C1086FAB83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05" stopIfTrue="1" id="{14A1C758-9B7D-4183-990C-2085D4D08D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04" stopIfTrue="1" id="{028EDBF4-DF86-4380-B6A7-D791F7520E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03" stopIfTrue="1" id="{54EC51FA-0D9E-45A4-AA9C-572A774773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02" stopIfTrue="1" id="{933A488F-676A-4DA0-A63F-87A5B10EB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01" stopIfTrue="1" id="{B0FA520E-43C9-4BCD-BD74-F432201D3F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400" stopIfTrue="1" id="{CA219FA1-B3C2-4F38-A536-7816AAA185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99" stopIfTrue="1" id="{85983C50-96F3-4428-A3E0-38741355D1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98" stopIfTrue="1" id="{48AAA2A2-DB6E-4BAD-B162-AF4A86767D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97" stopIfTrue="1" id="{7C2B816C-AFF0-476A-A54B-8BD0AC03A1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96" stopIfTrue="1" id="{249AB537-FC68-4759-AFD4-C290543C7A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95" stopIfTrue="1" id="{608C1110-6467-4D76-B08E-A26D30CA4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94" stopIfTrue="1" id="{0CE7D7D8-5FFE-4AEC-A570-4408032ABC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93" stopIfTrue="1" id="{F280C65D-865A-4C59-8A2E-05B5C1A443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92" stopIfTrue="1" id="{790CCE31-F833-49C1-AF88-D58252609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91" stopIfTrue="1" id="{73422D76-2196-4F83-991E-7D0DD0115C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90" stopIfTrue="1" id="{78B9F87F-E803-469C-B8C6-A2ACF70BEF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89" stopIfTrue="1" id="{DBCBDBFE-8BF2-4FFA-82C5-CC33680CC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88" stopIfTrue="1" id="{06E6259B-3195-4ACC-ADD7-37833923CB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87" stopIfTrue="1" id="{E92739BA-E64F-4E03-AC0A-0503F1D3C4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86" stopIfTrue="1" id="{22B5E288-0D94-47FD-AA55-81C1A1E627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85" stopIfTrue="1" id="{E9F2C3A5-35CC-41CC-BE82-1BB1FB6070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84" stopIfTrue="1" id="{04E3BF46-368C-4CEA-B9F1-65F26F6E6A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83" stopIfTrue="1" id="{97EAC913-0B9F-435B-BA01-0490B92A7C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82" stopIfTrue="1" id="{98DA8495-FA17-439F-987D-AEDB629691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81" stopIfTrue="1" id="{F56D1BF3-B0AB-4E22-B8A6-90781C8B21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80" stopIfTrue="1" id="{38C834C0-F946-4C2E-A1C3-F65DA0B848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79" stopIfTrue="1" id="{8FDC4522-E5A5-402F-9386-914A197EBE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78" stopIfTrue="1" id="{48F954E7-61C8-4923-989F-14C304AC0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77" stopIfTrue="1" id="{33C44B61-3701-4AB7-881D-EA162A66EC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76" stopIfTrue="1" id="{F8D64E8E-0B0B-4AAC-871D-B828889E7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75" stopIfTrue="1" id="{3A418F6F-412E-4C0F-B421-0CAB290DA8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74" stopIfTrue="1" id="{5A308971-41CB-4965-A282-5EC7FA6E2E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73" stopIfTrue="1" id="{F006A509-2549-4D6C-B0FF-07A3FAA9B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72" stopIfTrue="1" id="{63D8D434-7F07-4CC3-A065-68F364B8B4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71" stopIfTrue="1" id="{3FDDB3DC-028B-4E52-BD7C-79F0EBC7E3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70" stopIfTrue="1" id="{244DC4CF-E073-4B28-BC9C-1F19BABC20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69" stopIfTrue="1" id="{7B61FFEC-D9F7-46F1-8201-0242EBDAA2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68" stopIfTrue="1" id="{5960176B-6C76-417F-A92B-7832AA3D3F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67" stopIfTrue="1" id="{8D493318-C2B7-4510-A32D-12B0F9B89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66" stopIfTrue="1" id="{E1FECA8B-E8D9-4353-BCF0-4D7BD3801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65" stopIfTrue="1" id="{8EE89F50-39CA-425E-AB78-B8AB07BB8C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64" stopIfTrue="1" id="{1293043D-2A23-4D0B-ACB5-72CB87AEDE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63" stopIfTrue="1" id="{A06929E9-FFD0-426B-92BE-EFBA4207DB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62" stopIfTrue="1" id="{A56A9F79-7073-414E-89CD-F91A494792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61" stopIfTrue="1" id="{0E970620-C116-43CE-B7EE-A96872CED6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60" stopIfTrue="1" id="{235C99F5-7B9D-4909-9A88-980D45A6C7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59" stopIfTrue="1" id="{8F4B8914-EC9D-423B-95D8-48E0021E69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58" stopIfTrue="1" id="{32A5FCD9-A97D-4408-BEE0-139E122FF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57" stopIfTrue="1" id="{436023CD-F8AA-44B2-9B22-2A1DCE6C57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56" stopIfTrue="1" id="{DE5572E9-E32B-46FB-9460-6C826A5117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55" stopIfTrue="1" id="{3AA386A6-B676-4872-8B74-62C83B41D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54" stopIfTrue="1" id="{4E7D5819-88F7-4689-A393-F08E197EF2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53" stopIfTrue="1" id="{22A6FF43-C962-44AF-8EE2-0E5BEAB1A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52" stopIfTrue="1" id="{7A49E283-CCA8-4C00-A2D8-E4CBC37E74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51" stopIfTrue="1" id="{CC85BA32-992B-4118-BB2C-E411634A9E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50" stopIfTrue="1" id="{414F0B71-79BE-4030-A41B-6F6973FE53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49" stopIfTrue="1" id="{6515B890-F577-44DB-807F-F0FA34F5B6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48" stopIfTrue="1" id="{EE60D28B-65F8-43D0-98FF-C568C0761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47" stopIfTrue="1" id="{08B6DF62-79FD-4E97-9A85-47DDDEAFD8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46" stopIfTrue="1" id="{9EEBDF03-1103-43F5-AC56-6470C01435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45" stopIfTrue="1" id="{484D8A30-B3D0-425B-A382-06D9A3E5C4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44" stopIfTrue="1" id="{365590E7-01CC-48A7-ADD3-E3805DA3D3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43" stopIfTrue="1" id="{50C91CB8-1DBF-4415-872F-F0079DB9D9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42" stopIfTrue="1" id="{A3715BBA-723A-40A1-AD2E-D7379101EC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41" stopIfTrue="1" id="{28C6ADF5-FD86-42B6-8473-25C691283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40" stopIfTrue="1" id="{27FA656C-D267-42AE-B4BC-AA114DE649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39" stopIfTrue="1" id="{31D3C3A7-C2AF-4099-8537-67FF458FB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38" stopIfTrue="1" id="{876371A5-7CC4-4DA0-8F97-5C9CA25B79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37" stopIfTrue="1" id="{10D6807C-0B74-4224-8FEA-DA002F5B3A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36" stopIfTrue="1" id="{74D134A1-7E54-4BC2-9EE3-B1CB129F90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35" stopIfTrue="1" id="{0F14A5CF-459A-4550-9885-8FAC27C710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34" stopIfTrue="1" id="{05BB88F5-3356-4A38-B76B-020A225E87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33" stopIfTrue="1" id="{1C0D255C-3A5A-4F07-BAFC-18011D2657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32" stopIfTrue="1" id="{25AD3F81-964D-443C-B908-B4B6425E00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31" stopIfTrue="1" id="{7BDDAE86-C710-4845-85CD-8EB661B5F8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30" stopIfTrue="1" id="{007955A6-3647-47C0-B064-E2D210309C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29" stopIfTrue="1" id="{B68BD09F-E179-4D18-ABED-7104C59CEB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28" stopIfTrue="1" id="{B7E51756-B689-4045-9614-DE64CCE1D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27" stopIfTrue="1" id="{9CE2B921-522C-4F9A-84F3-230CF79B9F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26" stopIfTrue="1" id="{A29A75AE-56EC-46D0-8B1E-8BDF364F8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25" stopIfTrue="1" id="{6C7A43F5-F75B-4799-8764-5DA8A709C2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24" stopIfTrue="1" id="{7F84416D-673F-47EE-B47B-775ADE7FC2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23" stopIfTrue="1" id="{B7EF0182-E92F-4763-BB0C-3BB6031D00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22" stopIfTrue="1" id="{15842F19-C942-4428-9404-B55D844A6F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21" stopIfTrue="1" id="{9E43B695-76B5-469F-ABA1-39D0589F6F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20" stopIfTrue="1" id="{9F4BC3BB-7EEE-455A-B4FC-0273D50DCB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19" stopIfTrue="1" id="{CB1D7FB2-7BEF-467F-A397-DD32E52CA9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18" stopIfTrue="1" id="{AACFDF43-5E3A-4C77-8A96-F7B2199AB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17" stopIfTrue="1" id="{F15D607C-8641-4EF2-86AD-3D5E57426C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16" stopIfTrue="1" id="{067CECC5-5D18-4AA0-AB3E-5ACE8E023A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15" stopIfTrue="1" id="{536222DC-1AC4-486E-9D2A-B13E184631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14" stopIfTrue="1" id="{219E013D-3488-4BC5-AF18-AAC9D03918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13" stopIfTrue="1" id="{5215ADF1-A092-4B7E-BB52-13D5FBF17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12" stopIfTrue="1" id="{BE9D5090-132A-43CC-B876-3F9B0F3CD8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11" stopIfTrue="1" id="{58206E8D-5A2D-4825-8EC0-612441481E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10" stopIfTrue="1" id="{5AB9D634-7A99-4666-8676-F07053D7C6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09" stopIfTrue="1" id="{817C954A-2B7E-4871-9F81-420DA19E25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08" stopIfTrue="1" id="{1EA33B25-4400-416A-9ECB-03B6BC5C5D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07" stopIfTrue="1" id="{72A01096-4BDC-4258-9996-D3ED1E7E5E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06" stopIfTrue="1" id="{6079933D-5072-494C-B978-A4C5EFC588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05" stopIfTrue="1" id="{8CAE6197-82D5-45D2-A13E-914C2FF207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04" stopIfTrue="1" id="{76932C90-0241-4AD8-A1B7-AF1E3B8A3C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03" stopIfTrue="1" id="{25F09389-BE9B-448B-A4C4-BD50891D96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02" stopIfTrue="1" id="{67244694-65D1-482D-BC79-8129B6151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01" stopIfTrue="1" id="{160690D3-8880-4983-8A40-189F1264A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300" stopIfTrue="1" id="{56223EBC-F710-4B8B-88A6-DB7732DBF4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99" stopIfTrue="1" id="{791BC069-EEB4-41D1-B0D5-9E2F1C711C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98" stopIfTrue="1" id="{020C3CDF-2868-4A7E-8B99-5FE13A9E8A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97" stopIfTrue="1" id="{A6A02C62-52B2-4CF2-B0E9-45C683D456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96" stopIfTrue="1" id="{851E047E-8C7F-4C24-9BA6-123154B440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95" stopIfTrue="1" id="{FCC9DAB9-1A68-406A-9023-E55D37518B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94" stopIfTrue="1" id="{B18EB7FE-7349-4FE1-825D-171EDBA992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93" stopIfTrue="1" id="{CDCEF218-6B32-4C39-83FE-45B210DEB0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92" stopIfTrue="1" id="{39D63B39-F946-4393-AE2F-C7C6D61BF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91" stopIfTrue="1" id="{19D2FCE1-FD41-4CC6-A5FB-617AEE76C5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90" stopIfTrue="1" id="{990650AC-6E4A-440F-9EEA-D80D5336EB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89" stopIfTrue="1" id="{C0370714-A085-4545-91ED-AB21D9B1CD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88" stopIfTrue="1" id="{A7E77B5B-D58D-487A-B736-26CDF4B64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87" stopIfTrue="1" id="{F8D7C271-E641-4C33-83F1-5C11BFDB8B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86" stopIfTrue="1" id="{30FFA74F-7933-46BE-B7AA-C92D798B91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85" stopIfTrue="1" id="{A4671D54-BBF1-4151-8D40-20ECCD18E6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84" stopIfTrue="1" id="{14F8FB33-7764-4483-A0E0-D5E90EEE44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83" stopIfTrue="1" id="{C2262C26-C4EA-4355-A48B-1287B178CF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82" stopIfTrue="1" id="{D99A6D39-ABF9-4D68-A201-02401EE4D3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81" stopIfTrue="1" id="{2BDA924D-9322-4773-A7F5-924D84540F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80" stopIfTrue="1" id="{0214071C-9E50-4BFC-8FF2-5CEEA52AD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79" stopIfTrue="1" id="{69D6B81F-610F-4942-9DB2-B1BD399CDE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78" stopIfTrue="1" id="{4680748E-F0AC-4A9E-B110-52F4FF45D6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77" stopIfTrue="1" id="{4A2AF58C-AB0A-4728-B49F-1975C14CC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76" stopIfTrue="1" id="{527A2488-3F41-483B-B7B6-9DD7E92D8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75" stopIfTrue="1" id="{4D763BE2-2DD6-4FC5-B8C0-A54B95C8DB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74" stopIfTrue="1" id="{D8D72A37-6F17-4343-B788-EF21FFC902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73" stopIfTrue="1" id="{4AE57BC2-4BA2-438B-9F4E-82C7D6D8FF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72" stopIfTrue="1" id="{E7BB06E3-33BD-470C-AFEE-F5A0EEC887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71" stopIfTrue="1" id="{08140696-6C8E-4576-80E6-2AA9965B65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70" stopIfTrue="1" id="{1A8B73A5-5B6F-4E12-9033-7D8AE7503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69" stopIfTrue="1" id="{5BD308DA-30ED-42BF-A21D-D58C5EEFF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68" stopIfTrue="1" id="{91760183-E6EF-4A31-9D66-109E6A9A32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67" stopIfTrue="1" id="{72127181-9825-49DE-90CA-4010E623C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66" stopIfTrue="1" id="{F4E75CF3-08D7-4565-8903-0F3AD7A46D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65" stopIfTrue="1" id="{6934B659-6D96-419C-82B4-86C432B80B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64" stopIfTrue="1" id="{E031EEF6-7BAC-4766-A8BE-3761A576D6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63" stopIfTrue="1" id="{52E0324A-6751-42D7-A990-74FA7C1F64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62" stopIfTrue="1" id="{3435D545-4AE6-4E92-B5B0-7D65B3E5F8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261" stopIfTrue="1" id="{47ADF463-7E44-480B-96B6-C265092509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60" stopIfTrue="1" id="{4B2738C8-B837-46FF-88CC-649B1DCEB9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59" stopIfTrue="1" id="{E2510B52-5005-4775-B72C-E4262FE9D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58" stopIfTrue="1" id="{3EDC7CA0-9B83-4BF0-84C2-D74B1FA4C8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57" stopIfTrue="1" id="{73B0BB41-C24F-4768-9952-9FB85EFC2F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56" stopIfTrue="1" id="{4E6B06E0-5C25-4821-A525-1FFC48126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55" stopIfTrue="1" id="{897DB3EA-7AB3-459C-8DF9-9AD613BC1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54" stopIfTrue="1" id="{B52F5F95-7B20-4CCB-97CE-E7DC46C65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53" stopIfTrue="1" id="{494A4E47-DACA-4BB5-B65A-BBC0492022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52" stopIfTrue="1" id="{FAA06147-1578-4BEE-940B-E5F929700A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51" stopIfTrue="1" id="{0D2DCC96-2DF3-44B1-8D56-E9B7DCE23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50" stopIfTrue="1" id="{DCF8CAF3-1203-4ABB-B4B7-E45BEDFF6C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49" stopIfTrue="1" id="{382AC7F5-E2A7-4DEF-BD1F-F34A512822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48" stopIfTrue="1" id="{E078B8D7-8500-436A-90C5-EDDB266367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47" stopIfTrue="1" id="{D9C0C8D4-DBF0-47B5-908C-9E6933F783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46" stopIfTrue="1" id="{D63233BB-BB4D-43AC-B105-507412E955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45" stopIfTrue="1" id="{94C81BAF-757E-4ED9-9322-602A3E4A1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44" stopIfTrue="1" id="{0A8DC61F-962B-41BA-8931-93EDF29A32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43" stopIfTrue="1" id="{2154F995-4770-43C6-AD2B-6F027E714D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42" stopIfTrue="1" id="{2B5C4630-5287-4E0F-97E0-ABF1ABF41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41" stopIfTrue="1" id="{2555968C-1E73-442C-AF7D-6D426A44AB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40" stopIfTrue="1" id="{6C65960F-24F3-4111-94BD-E87774BEF5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39" stopIfTrue="1" id="{364ED9B7-7EC6-4A95-8088-EBC9565ABA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38" stopIfTrue="1" id="{7137F6F5-48B9-4882-ABEC-1163CA2B53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37" stopIfTrue="1" id="{B90E9C8F-2F06-4F71-9EF4-B4DC1FF2A8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36" stopIfTrue="1" id="{0B848265-C897-4083-9782-5D2F5F66E1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35" stopIfTrue="1" id="{BB741829-4532-44AF-B9A5-4B96712C8E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34" stopIfTrue="1" id="{E2994C5B-BB00-4779-99F0-5FCF7D0F6E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33" stopIfTrue="1" id="{7ACDB0F5-5C7C-4A89-9BF7-43341BB687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32" stopIfTrue="1" id="{1D5722F2-AA8D-40AB-9623-DA013E56CF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31" stopIfTrue="1" id="{E90A5E38-7498-4C44-9517-E954002026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30" stopIfTrue="1" id="{F1D91BA4-EC16-4317-B4D6-CD341F8266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29" stopIfTrue="1" id="{6BD6B55C-6443-4F0F-A402-CE898421A9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28" stopIfTrue="1" id="{D34A7375-1DC0-4611-832C-9BB1A5108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27" stopIfTrue="1" id="{470642F9-987A-4D73-B309-8205947C35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26" stopIfTrue="1" id="{445896BC-330F-43A2-AC8C-DCE7BA218F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25" stopIfTrue="1" id="{F9707230-1470-45A1-8D3B-A3A91FD8C1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24" stopIfTrue="1" id="{B9C3A78E-FF44-424A-8ED6-42F2F819FD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23" stopIfTrue="1" id="{9628319B-3570-41A8-BD61-6AC5B07823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22" stopIfTrue="1" id="{634FAA0A-2F51-4B5D-8548-A67E7DB33D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21" stopIfTrue="1" id="{8B5D03D2-93D2-4428-8AC0-87372DD0C5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20" stopIfTrue="1" id="{77A0D649-B395-4E35-9EDB-3FD3ABBFE0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19" stopIfTrue="1" id="{F3A04374-708B-4B2E-9F8C-0530393043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18" stopIfTrue="1" id="{543812D2-A9C2-4EBA-BBD7-8D4747CB04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17" stopIfTrue="1" id="{827A6B76-D141-4D2B-A4D9-FBAFFD3741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16" stopIfTrue="1" id="{A67F87C1-622C-4F62-B271-87D44BA18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15" stopIfTrue="1" id="{64BCFCE2-AD2D-4509-A701-1B05234FF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14" stopIfTrue="1" id="{4C59D396-2098-4FA0-AD22-C982E65030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13" stopIfTrue="1" id="{7F95D8EA-5CBA-4BF6-95D2-A6205BF0A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12" stopIfTrue="1" id="{78E17E1D-5EC6-43C8-9F4E-FBB8E7FAA9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11" stopIfTrue="1" id="{BC17AA6B-060B-4EE3-8B0D-E35CBCD6E5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10" stopIfTrue="1" id="{8B69AB7D-54C9-4737-A0A6-A28566CE13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09" stopIfTrue="1" id="{A03C3ABD-03A8-456C-8C03-03CE2CC72B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08" stopIfTrue="1" id="{DAD43114-F91B-44C6-9331-714675F929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07" stopIfTrue="1" id="{ABDEE80A-F94D-40E3-A49E-60586C5ED1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06" stopIfTrue="1" id="{1E6D4639-A438-4521-B85E-BF9884E2FD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05" stopIfTrue="1" id="{A23296C7-764D-416F-9D15-5FD0B98AF1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04" stopIfTrue="1" id="{BEC08803-B681-4827-872C-3D1B343B3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03" stopIfTrue="1" id="{27A987AD-FE7D-43D6-9B0A-613DC01AE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02" stopIfTrue="1" id="{ADEEC122-71E1-4372-A448-BC9E96B0B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01" stopIfTrue="1" id="{B2324549-FCB2-4B6E-8EE5-C2FE3DC3C3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200" stopIfTrue="1" id="{A61FECB5-3EA4-438D-9034-755AA9458F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99" stopIfTrue="1" id="{FCC986F8-2C18-4B8A-BE1B-568C79720A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98" stopIfTrue="1" id="{69BCFBB9-0054-475C-AD69-D0C0DDABD4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97" stopIfTrue="1" id="{69DA147C-0926-4761-9B60-E7F5A5C03A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96" stopIfTrue="1" id="{2EBDC648-7606-4FC5-8B13-032C13F24A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95" stopIfTrue="1" id="{72798985-73D1-4913-8161-52E3E57780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94" stopIfTrue="1" id="{BAF8810B-FC77-42B8-8736-BAB92534A4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93" stopIfTrue="1" id="{9A216E44-5388-4878-98F0-4913F0F7D8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92" stopIfTrue="1" id="{606F2B39-D82A-4C0A-BC7D-2AB690DCB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91" stopIfTrue="1" id="{BB28A894-7A2A-448D-97F0-C345FF28F8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90" stopIfTrue="1" id="{B2AFBFF7-6877-45D0-A997-C472DA9373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89" stopIfTrue="1" id="{06560482-43F0-4A0B-A2E1-085C011DD1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88" stopIfTrue="1" id="{D9AD72AC-5B1C-476D-9B5B-D5236EFC07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87" stopIfTrue="1" id="{06901482-9048-45A7-B9A7-6B25DB2786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86" stopIfTrue="1" id="{A9555C49-A1F1-4A1C-85DB-F3ABA3363E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85" stopIfTrue="1" id="{B06B2F22-CDB9-4B20-BBB3-B5EC77C9CA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84" stopIfTrue="1" id="{828EEF40-143F-40A2-8CE3-EF18AB988E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83" stopIfTrue="1" id="{EA5061DE-CDB7-4B2D-AD3C-CBB5C45E63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82" stopIfTrue="1" id="{C433567C-0A93-4DA8-89AF-DC380FABC3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81" stopIfTrue="1" id="{4D5832D2-7AF0-4A79-8B9C-5DB26A81B0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80" stopIfTrue="1" id="{8BF6F65C-6738-4BD7-AE84-42BE1314A2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79" stopIfTrue="1" id="{D90AA688-CF28-4EC0-A529-3202E09F0F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78" stopIfTrue="1" id="{CFEA390A-BEB5-441E-AED1-B09352B897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77" stopIfTrue="1" id="{6F3452A9-940C-40DD-A260-4A7BE4DA98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76" stopIfTrue="1" id="{1781707F-F7CE-46DE-B277-2145F36453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75" stopIfTrue="1" id="{AF96FAD8-1539-4CFC-A6A5-075BF24C07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74" stopIfTrue="1" id="{0EED225C-01C3-4086-923C-76212011C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73" stopIfTrue="1" id="{4855B039-AAF6-4F41-A501-333CA9FBA8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72" stopIfTrue="1" id="{D5E44580-29D3-44CD-A8D9-C7DFBECA17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71" stopIfTrue="1" id="{D3094C13-564B-4629-838E-4E6B27ACF0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70" stopIfTrue="1" id="{A1C73A06-E262-4053-ACB7-58CA001F3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69" stopIfTrue="1" id="{9E3EFE49-1A25-4BBB-8BB6-104240008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68" stopIfTrue="1" id="{C70FCFE5-0660-45D3-B1BE-4D70293054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67" stopIfTrue="1" id="{09B1144C-9952-4016-A759-4EBB5351AF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66" stopIfTrue="1" id="{751C265B-3A25-40A7-B91D-E13AF3A33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65" stopIfTrue="1" id="{968044F2-449B-45A3-A40E-8947C5F9CB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64" stopIfTrue="1" id="{7F3BFF45-059C-49AB-8158-A0DECF3FE4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63" stopIfTrue="1" id="{23184D6F-6083-4B13-925E-481EDBCA90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62" stopIfTrue="1" id="{90C1FF5A-45FC-4A9C-882D-91EA04292B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61" stopIfTrue="1" id="{622F045E-32C8-43B4-A341-EE265E17A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60" stopIfTrue="1" id="{F8E77054-4AFD-4E86-B1B1-62B2F328E1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59" stopIfTrue="1" id="{21827351-C594-4324-8326-A59562A7B8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58" stopIfTrue="1" id="{92151871-0C14-48B8-AA58-8248B7E1CA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57" stopIfTrue="1" id="{55A42C49-8526-4444-9BBA-F60F169D4E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56" stopIfTrue="1" id="{C9291CE8-46A5-4218-AB8E-77E7A6E738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55" stopIfTrue="1" id="{560D91E9-D395-42BE-A24C-14BE8401B5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54" stopIfTrue="1" id="{903E6B28-85BD-4CC4-8196-C5A38FD2C4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53" stopIfTrue="1" id="{FAC7B11E-E93A-4A6D-91A0-0DDB10204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52" stopIfTrue="1" id="{0A0A72B9-52F8-4598-86CA-E4E871D246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51" stopIfTrue="1" id="{2564D2DE-377A-474B-8061-1F2D8594CB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50" stopIfTrue="1" id="{4C0E3896-35FD-46F4-9026-A7FDE7F2B0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49" stopIfTrue="1" id="{48415EA1-2002-4E4C-962F-46A1B8FAD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48" stopIfTrue="1" id="{CD9E399F-C9D1-4CAD-ACA2-F050DAE8AF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47" stopIfTrue="1" id="{5C110E28-B12C-4ACC-96F8-139968ED9A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46" stopIfTrue="1" id="{0B2DA97A-BB6C-4B10-A613-D8BD0A23D3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45" stopIfTrue="1" id="{AC5D6239-BC60-4678-AD51-030F7A525D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44" stopIfTrue="1" id="{34BBD26B-24F5-4A9B-AB35-CFF5052F3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43" stopIfTrue="1" id="{B3E2B60F-7478-43B2-95D1-84D9AF782D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42" stopIfTrue="1" id="{4C1B7548-943F-49DD-9262-D656324F7A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41" stopIfTrue="1" id="{C4DAE706-294B-42FA-A9CD-C39D332D6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40" stopIfTrue="1" id="{D690FEDB-D502-4428-921E-7AC2B2E4D8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39" stopIfTrue="1" id="{06F88309-6AB9-4DE0-90DB-2DF09E07E3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38" stopIfTrue="1" id="{C91FD443-E5CB-4042-870B-5B1911A40F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37" stopIfTrue="1" id="{E9F3D513-5A59-459E-BBEA-77675C1131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36" stopIfTrue="1" id="{C6746CF1-1973-406B-9331-2ACA0023D9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35" stopIfTrue="1" id="{80142080-32F7-40E1-A90A-BADEDB51D7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34" stopIfTrue="1" id="{94572F30-1BF6-4FEF-9D7F-74530C2E5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33" stopIfTrue="1" id="{1DBF611C-9B57-45EF-91F3-819D3ED48E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32" stopIfTrue="1" id="{98DD63D5-F72A-4798-8300-8CA499D725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31" stopIfTrue="1" id="{06418EDA-536C-4DAE-AD23-141E337346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30" stopIfTrue="1" id="{C2EE3482-4C6B-4142-A8D0-2E416C2B98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29" stopIfTrue="1" id="{A97E89BB-FBB2-47F8-9748-E825497E4F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28" stopIfTrue="1" id="{E5D9A8FC-F890-4175-902B-5EF92BA143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27" stopIfTrue="1" id="{B6F223AE-A021-41B1-BF65-7DA288688E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26" stopIfTrue="1" id="{1C8625A1-5A0A-494F-8DD9-2539E5CCDA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25" stopIfTrue="1" id="{46362312-1ABB-4FC9-A703-A163CB12A4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24" stopIfTrue="1" id="{8426672A-75A9-4F98-810A-A871F42287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23" stopIfTrue="1" id="{62837DA9-B166-4FE1-B78A-22CE470A0B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22" stopIfTrue="1" id="{74FBE7DB-27A0-45FE-9B1D-D44F0C661D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21" stopIfTrue="1" id="{E1180D84-BC4D-4E45-ABC6-730257A35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20" stopIfTrue="1" id="{8F45291E-F5B9-4185-9C87-8718222021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19" stopIfTrue="1" id="{F9A3CB09-F383-4EBC-ACEA-96267B761F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18" stopIfTrue="1" id="{45118AFA-1BA3-414E-A8D0-9381E0D92A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17" stopIfTrue="1" id="{EC06760B-2401-453B-A952-7CD360BB4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16" stopIfTrue="1" id="{EF47ECA7-76CE-49B7-9F20-72874E87D7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15" stopIfTrue="1" id="{64FD98C4-C4C5-4ED0-9242-9621A7FDF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14" stopIfTrue="1" id="{A4D21088-D368-41A1-9944-79E6B9DA4E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13" stopIfTrue="1" id="{4CA350F0-81B1-4D19-A10A-1379F6E9EE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12" stopIfTrue="1" id="{8B9FEDDD-0BA5-4FD4-8EE1-7FA53B249B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11" stopIfTrue="1" id="{FCA51A2D-F30C-4D05-AED8-A296178214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10" stopIfTrue="1" id="{7B84CD1C-9BB2-4438-8F4B-919B87ECBB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09" stopIfTrue="1" id="{E4480025-A445-40A6-8EA0-2CDF8C2BB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08" stopIfTrue="1" id="{6924C174-3E35-4B6F-ADDF-0D0894833A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07" stopIfTrue="1" id="{1FE0FB27-1233-47FA-A6A6-67593C7183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06" stopIfTrue="1" id="{76D813C3-DC00-4914-BD8C-A5E63E922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05" stopIfTrue="1" id="{2B528D69-F511-4E78-92F8-9C94C77A02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04" stopIfTrue="1" id="{4C19BFC5-EF22-4D01-BAD0-B6FEC2654E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03" stopIfTrue="1" id="{4C429121-2407-4312-863E-48E44BE674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02" stopIfTrue="1" id="{37B7C642-F249-4AB5-87F0-D5BB06A7BC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01" stopIfTrue="1" id="{FA5026A7-98C1-4FAB-81CF-711C0816F9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100" stopIfTrue="1" id="{BFEC9A0F-610F-46E6-A710-611444EEC3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99" stopIfTrue="1" id="{1539DD77-D684-498D-9945-2EB37EF666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98" stopIfTrue="1" id="{F1DD27C9-2B1B-47DB-8346-BE384B68D2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97" stopIfTrue="1" id="{2BF72938-5C07-409F-ABB9-5060ECF717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96" stopIfTrue="1" id="{EA37B42F-A767-455B-8F37-8D33FD3678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95" stopIfTrue="1" id="{DF98A914-7597-44D0-973F-2F0DE97B52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94" stopIfTrue="1" id="{ABA8E3D8-E576-464F-828E-2A082B409E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93" stopIfTrue="1" id="{8FDA722C-DAEA-45E5-AF6F-1832CF59AB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92" stopIfTrue="1" id="{92C25A72-37F4-4C5F-ACC3-518EAA67A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91" stopIfTrue="1" id="{67D2BD58-9007-47F0-9D0A-8ABED22435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90" stopIfTrue="1" id="{8F50AE84-F37B-4291-B7E4-89F3684D40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89" stopIfTrue="1" id="{A95D3BFC-346B-41D7-A3AB-66E02EAA6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88" stopIfTrue="1" id="{CB201CD0-3FC9-41CC-8CD5-46CF186609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87" stopIfTrue="1" id="{61F2D2AA-3B34-4F99-B2BB-77406B2D14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86" stopIfTrue="1" id="{586E7DAC-6370-4729-A86E-96144BEE4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085" stopIfTrue="1" id="{A764D32B-23AB-4C04-A67F-CFBF20AE70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84" stopIfTrue="1" id="{09D9A851-A506-45D5-B1DF-C8541C7505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83" stopIfTrue="1" id="{20C727C8-AD71-4AD2-A6EA-1C81EC26CB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82" stopIfTrue="1" id="{D57A2A09-81CF-45DA-BE0A-F58949AE6D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81" stopIfTrue="1" id="{EED98FEB-063C-483A-B56F-459A54A272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80" stopIfTrue="1" id="{61CC99CA-582F-419A-A939-D0F89CD9C5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79" stopIfTrue="1" id="{798AAB1D-6554-4BA1-8F7F-C4CEDF4BC4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78" stopIfTrue="1" id="{E695E7B7-5940-4E9D-BCF7-F26AB3836A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77" stopIfTrue="1" id="{3AB4B030-8D0A-4173-AEE4-B90F4DE4B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76" stopIfTrue="1" id="{1334E4B0-1D12-41C6-B26D-1AA8E7E6ED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75" stopIfTrue="1" id="{CCFABE2F-9951-402B-BB70-EA0C2C8A11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74" stopIfTrue="1" id="{82AF0C45-E69A-4E42-9073-0737A47E1B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73" stopIfTrue="1" id="{81F0A0C7-018B-4908-AB11-E10C6EFD52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72" stopIfTrue="1" id="{55A4C3CE-1021-4225-B527-1608D2B73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71" stopIfTrue="1" id="{300CD6AF-C961-435F-971D-6BFBCD71B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70" stopIfTrue="1" id="{5A5399B5-1548-44B4-95F0-BD1F13FD42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69" stopIfTrue="1" id="{D6612AA4-81D6-4B83-87E5-10B617A386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68" stopIfTrue="1" id="{C6F5D77D-74E6-484F-91B5-AFF00CC284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67" stopIfTrue="1" id="{FDBB5A36-3054-4396-9157-59A3CCC0B4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66" stopIfTrue="1" id="{94593438-D004-44BE-B26C-1681EA1702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65" stopIfTrue="1" id="{9841108A-3981-4E5B-A32C-3849C840A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64" stopIfTrue="1" id="{284AF2D2-A81A-47C2-B06D-DDB27291B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63" stopIfTrue="1" id="{0776013A-941A-4483-B389-7E0BF827B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62" stopIfTrue="1" id="{59637B21-E4CF-4B3E-9B38-6A8A013951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61" stopIfTrue="1" id="{3EDA6871-6C6E-416F-8134-DBED6EABB3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60" stopIfTrue="1" id="{99EAC837-3FF3-4BE2-B435-7F35C285B5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59" stopIfTrue="1" id="{12E247AF-E018-4598-AF84-6E0E85E6B5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58" stopIfTrue="1" id="{0B5AD578-44CB-4B05-BE13-18DB2593C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57" stopIfTrue="1" id="{321A0762-3A51-40DE-A474-4533661752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56" stopIfTrue="1" id="{0D7986F5-8C41-4538-92FC-E2695562D4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55" stopIfTrue="1" id="{1F24A719-B1CB-4C9B-B948-D515A2767A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54" stopIfTrue="1" id="{0EC7D380-FF1F-4CC2-ABB8-DCD123D3B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53" stopIfTrue="1" id="{A96C76FC-A2AF-4177-A59B-1A2C04DFF3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52" stopIfTrue="1" id="{8726C721-0F78-4313-9C23-BC5F39AFC5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51" stopIfTrue="1" id="{64DD80B5-971B-4B58-9E50-2CAEE45E69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50" stopIfTrue="1" id="{B6C22F0D-A238-4328-BCAF-3E83D74F78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49" stopIfTrue="1" id="{3EFC9369-B819-4647-9C97-E06781320A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48" stopIfTrue="1" id="{4BB5CB00-8AE8-4F85-B5B8-54E0A41826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47" stopIfTrue="1" id="{74F50EE4-91B2-4CA3-A5FC-59C775457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46" stopIfTrue="1" id="{A83C763E-70EB-4A28-BF66-D5EAC4A881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45" stopIfTrue="1" id="{8B7E16EC-501A-470B-9B7B-B14A3D95DB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44" stopIfTrue="1" id="{86CD3F3E-14B0-4792-B9EE-7D2A28A223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43" stopIfTrue="1" id="{F6E4FBDE-F6FB-4F32-8DEA-38D095256E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42" stopIfTrue="1" id="{D861F46B-E7CB-42BB-BBCD-79ABAB40D4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41" stopIfTrue="1" id="{AAC4AD90-E0D3-49BF-88F2-CA04441369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40" stopIfTrue="1" id="{5F5D6415-FB15-4DCD-AAE7-395EA760F7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39" stopIfTrue="1" id="{5AF4812B-D6FB-4588-B1F7-3E1900CB78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38" stopIfTrue="1" id="{1091D31F-4920-424B-AE1E-2CA2496696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37" stopIfTrue="1" id="{8B33AB2E-D91A-44B9-89D5-CFD4176DE5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36" stopIfTrue="1" id="{941B1590-F191-4455-B988-615E19062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35" stopIfTrue="1" id="{C0A098CB-86AB-4918-B07C-11CE5A6208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34" stopIfTrue="1" id="{BADCB6D4-F45A-4D2F-AA95-2131544581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33" stopIfTrue="1" id="{DD4013FA-2B84-4AA1-8A5C-EA32ED779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32" stopIfTrue="1" id="{31E46E3B-5CC9-4C0D-965E-0C4F142EDB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31" stopIfTrue="1" id="{4FF4DF5E-6038-4325-A692-1C15B5599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30" stopIfTrue="1" id="{A3454C6F-7DD2-4FFA-923A-C4570FCAFE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29" stopIfTrue="1" id="{6DBA9611-D025-44AA-8961-2B0638B041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28" stopIfTrue="1" id="{51CD2416-6578-4739-8808-06CCC09880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27" stopIfTrue="1" id="{B5E36A6B-7F23-406D-A1F2-81665F22ED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26" stopIfTrue="1" id="{68267D4F-EB0F-4FFC-BC8D-9627F25B8A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25" stopIfTrue="1" id="{C7E6E206-BB5F-466A-B06D-1FAE1B3581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24" stopIfTrue="1" id="{29314394-003B-4B34-B44C-8833F46EE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23" stopIfTrue="1" id="{92D2ABBD-2122-4DB8-B6DC-1A9FBFC682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22" stopIfTrue="1" id="{083569FB-9747-4D84-B419-E80914169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21" stopIfTrue="1" id="{528EA108-D7D1-4577-8FC0-3B48E03CB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20" stopIfTrue="1" id="{19DA65FC-784E-412A-8156-C0379CA37D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19" stopIfTrue="1" id="{4FBC31F4-51BE-466D-BB45-9923A43127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18" stopIfTrue="1" id="{6089071B-B2B7-4106-B0F0-ABBBBCEC5D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17" stopIfTrue="1" id="{CEB09515-30DC-4B54-AD47-926E60A704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16" stopIfTrue="1" id="{F848C756-361A-4A67-AA69-7D41A40BF1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15" stopIfTrue="1" id="{D1556701-25C9-4124-B85D-775EC5FFB9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14" stopIfTrue="1" id="{0B882043-C558-4084-84C1-E818F06C99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13" stopIfTrue="1" id="{5759F258-71D2-4859-8F0E-71E4385796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12" stopIfTrue="1" id="{3BDC720D-D578-4C54-8EBE-1826C224E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11" stopIfTrue="1" id="{C57FB67C-721E-446E-AE8E-621F74C406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10" stopIfTrue="1" id="{03B796FC-8996-4747-9F8A-1E662EB74D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09" stopIfTrue="1" id="{F7E1B2AE-D671-4125-A5A6-9B6321F16D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08" stopIfTrue="1" id="{7BA645B7-FD6B-43A6-AE8F-B0D62060D9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07" stopIfTrue="1" id="{CDCDAE56-0559-4C48-95D6-01A20A47E8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06" stopIfTrue="1" id="{FC9D36DF-521D-4A02-8219-C1B9D037D3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05" stopIfTrue="1" id="{D99F59BF-C71C-405A-AC8F-D8775CB618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04" stopIfTrue="1" id="{4A9D4336-74F8-41E0-94AB-062A78AD4C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03" stopIfTrue="1" id="{24E85981-08D5-48E2-9A42-67D7239DBC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02" stopIfTrue="1" id="{5B112997-5A0D-4E02-8D5E-FC0F7ED7C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01" stopIfTrue="1" id="{C1D21B39-B845-48A1-B8E9-2C7291B7C9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000" stopIfTrue="1" id="{CBE8DF19-A684-4C07-BD2B-A770994C37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99" stopIfTrue="1" id="{BA56B8D9-2076-4407-982B-7A9E23C812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98" stopIfTrue="1" id="{B34E8FE3-B3C7-4EE6-9427-7B76CCCF7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97" stopIfTrue="1" id="{4DDCBCCF-82A2-4F84-9BB7-7DFDEC46A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96" stopIfTrue="1" id="{D19FC374-D874-4605-801F-FBFECA7AC2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95" stopIfTrue="1" id="{4775B5D6-39AF-4FED-BA5E-3394A5BB8E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94" stopIfTrue="1" id="{B264DFAB-AB5B-4362-951E-572CAE4114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93" stopIfTrue="1" id="{1380CBE8-F48B-4F45-865E-329A7CBA92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92" stopIfTrue="1" id="{3646B93B-15C9-4CA6-A61A-0E3D4F6B2D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91" stopIfTrue="1" id="{44D8F452-63DD-4BAD-AF8B-6AD59AB1F4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90" stopIfTrue="1" id="{7BF99CC6-9FB3-47E9-AE3B-C128291616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89" stopIfTrue="1" id="{CCB8EF0B-C28E-4F49-B338-758CC508D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88" stopIfTrue="1" id="{DC40283B-6011-47B8-973C-998E32341B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87" stopIfTrue="1" id="{1DFEB41D-4623-4959-A9D2-1B07E312D0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86" stopIfTrue="1" id="{AB7B890F-BD58-42AF-977A-CEF17584CE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85" stopIfTrue="1" id="{CA66F53D-3DC7-4478-B65C-B622315A3E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84" stopIfTrue="1" id="{BAA291AA-5CD4-42F4-A16E-7DE7C220AE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83" stopIfTrue="1" id="{97C7794D-E187-43A7-BD84-84ED594975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82" stopIfTrue="1" id="{E4CD6625-740A-4329-BC67-7F25E314E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81" stopIfTrue="1" id="{E64316FF-4108-464F-B584-A4CC806146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80" stopIfTrue="1" id="{7D1BA9AE-A9EC-4D8A-B94D-BF773BDB3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79" stopIfTrue="1" id="{4828282A-0317-4970-AA41-5549FEF93E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78" stopIfTrue="1" id="{5AA38D61-ED64-482E-8ACF-12BDEE7863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77" stopIfTrue="1" id="{2529B18C-B647-4E83-8BEE-F4E2A740A7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76" stopIfTrue="1" id="{D61150E6-48ED-4084-99CD-9CBB78D5AD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75" stopIfTrue="1" id="{9859EEA4-9B38-4A58-A6CC-08425B6AD6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74" stopIfTrue="1" id="{E998DDEB-992B-4728-8157-23D3F0A48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73" stopIfTrue="1" id="{98A8EA5E-F2A4-4EEF-9FB9-F4291443BF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72" stopIfTrue="1" id="{1E1C9332-7C2F-4E79-99A5-4380E389B3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71" stopIfTrue="1" id="{47AD2724-DE89-41DE-A4D0-5EF050D63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70" stopIfTrue="1" id="{D7A5530C-DA70-4BF3-9CF0-2E39119642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69" stopIfTrue="1" id="{3EB5B579-839E-4E56-91EE-48C003AA69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68" stopIfTrue="1" id="{B8EDB2E3-FF60-47A2-AA48-FE9EE31D78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67" stopIfTrue="1" id="{56A1C4DD-2CCA-4ACB-9D4F-D94731C42C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66" stopIfTrue="1" id="{AD2D408A-FC78-483C-BC1E-10F708233B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65" stopIfTrue="1" id="{5770C018-D690-4E8B-8963-F4E3A39FC7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64" stopIfTrue="1" id="{DE0AC84D-7F98-4451-881F-467B0E53A3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63" stopIfTrue="1" id="{124D7ECF-8142-48CF-8C87-3416506A28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62" stopIfTrue="1" id="{C5ECD8DE-6380-4C35-93FC-28D9CCB891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61" stopIfTrue="1" id="{32400B7F-91E1-42F6-A3BC-8BFD836513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60" stopIfTrue="1" id="{AA903A75-6368-4CB5-ABCA-4ED37F4F1A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59" stopIfTrue="1" id="{BA061853-51A6-412C-B6B2-8086B46F11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58" stopIfTrue="1" id="{880BAF9F-DA3D-4665-92CB-D3B46B317E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57" stopIfTrue="1" id="{8620E67B-1F56-44BC-A037-57929522E7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56" stopIfTrue="1" id="{5F694FD6-104A-48F8-8DD6-E81AC90F71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55" stopIfTrue="1" id="{E22FC7FE-127E-4717-B594-F1DEA6A11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54" stopIfTrue="1" id="{3507F626-B7E3-41E6-BD87-ABA72ABCB0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53" stopIfTrue="1" id="{42D881D4-430D-4F15-A049-049CCD262E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52" stopIfTrue="1" id="{4FC711B1-F5DE-48CC-A157-BF9D9E71FA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51" stopIfTrue="1" id="{B9E2A7AF-E8B2-40BD-947E-94757B9968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50" stopIfTrue="1" id="{892320E9-965B-4DDE-9A27-48EBD6A99B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49" stopIfTrue="1" id="{BF1265F6-9D38-4321-AD85-B4C0FEB55A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48" stopIfTrue="1" id="{A67D4125-091F-43AA-BF20-40560149EC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47" stopIfTrue="1" id="{6D597F93-C8A9-4061-BC00-A1116AE59F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46" stopIfTrue="1" id="{1B208899-50F0-41A0-AF8B-0D961A546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45" stopIfTrue="1" id="{900C7D6E-5FB7-4FC1-A990-4CAE08AE76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44" stopIfTrue="1" id="{3230E499-1CB3-4E15-9B17-A4BA1CE48E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43" stopIfTrue="1" id="{8D2F66A4-90A3-4AF3-B4CB-484349C707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42" stopIfTrue="1" id="{2DE832DB-DE4E-4866-B6A1-1CD8F83F10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41" stopIfTrue="1" id="{DFEED9D4-E7D2-431B-A714-C695215CD6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40" stopIfTrue="1" id="{B0ABFE67-3C5E-433E-A435-EDF0569E49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39" stopIfTrue="1" id="{0A801FC9-4933-4E8B-93EF-A8F37C5E5D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38" stopIfTrue="1" id="{A1331F59-EB66-4643-9496-CEC2638BD9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37" stopIfTrue="1" id="{904B7936-45DF-451F-9937-D2CEDFE52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36" stopIfTrue="1" id="{DCDDE2C9-6F16-4CA8-B187-582C91F0A0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35" stopIfTrue="1" id="{E92F7F70-7E68-44EF-980D-55F1A94514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34" stopIfTrue="1" id="{3195CAD1-B12D-468F-901C-A15D0AE804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33" stopIfTrue="1" id="{D7667ACB-AE76-48AC-922E-2718F10F3B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32" stopIfTrue="1" id="{EA59ED57-CECC-4C32-BAF4-D61A623B54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31" stopIfTrue="1" id="{0A9AF9FC-102A-41E7-A381-47DAC4B2F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30" stopIfTrue="1" id="{D07D8720-F8B2-4789-875A-E7255A72F6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29" stopIfTrue="1" id="{8DBDB098-32AE-4539-837D-3FFAD82AB6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28" stopIfTrue="1" id="{C02EE79D-EF4B-4129-BCCE-7DE1E594CA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27" stopIfTrue="1" id="{DDA18284-B608-4678-A54F-4FA1F74448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26" stopIfTrue="1" id="{BA44F1C5-1687-40CF-9AF7-CA0B4AFDBA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25" stopIfTrue="1" id="{F14E942C-A669-49E8-A21E-D32721C84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24" stopIfTrue="1" id="{3476E0A1-30A3-4653-90DC-A919D84CCB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23" stopIfTrue="1" id="{0152F7BD-AD8F-4633-9141-E02D47AE63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22" stopIfTrue="1" id="{5E9847F0-C3BA-491A-BDA6-0116B8B606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21" stopIfTrue="1" id="{90F8F45E-C302-4137-9091-9F8C155F9E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20" stopIfTrue="1" id="{A45706F6-8B04-4A27-8D54-9D34C49403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19" stopIfTrue="1" id="{E41D2915-9EE0-41AD-AEDF-397B1DBDB4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18" stopIfTrue="1" id="{6F23372F-42D7-4D26-A68B-7F8916B8C6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17" stopIfTrue="1" id="{6C1CD9B4-A403-4A25-BA03-22D008E15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16" stopIfTrue="1" id="{88958577-3A1C-417F-8B10-C50E081697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15" stopIfTrue="1" id="{E42DB5A9-F690-4515-9644-0711D6DD74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14" stopIfTrue="1" id="{FA2512E1-FA61-4B20-A8EE-54FFDB91B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13" stopIfTrue="1" id="{45D05122-99ED-47C8-9A94-DE44B50C86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12" stopIfTrue="1" id="{C714FA22-4B38-4B18-9979-EAADD24451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11" stopIfTrue="1" id="{9145B4FD-F714-49B1-8054-22E5D37CB5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10" stopIfTrue="1" id="{8A9DC2D4-1447-4BF6-8669-2049D2A00F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2909" stopIfTrue="1" id="{B89844FB-AE5B-4E28-BF09-4C2795E38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908" stopIfTrue="1" id="{DD828702-A9F9-44FC-B1E7-BD6B847623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907" stopIfTrue="1" id="{E0B157CD-25BB-4F6B-AA8F-B95BBDADF0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906" stopIfTrue="1" id="{26193019-8D1E-4B8D-A37E-BFDCB8035E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905" stopIfTrue="1" id="{DF71BA86-84AA-47D8-924E-B477117964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904" stopIfTrue="1" id="{AFA8C066-6032-4E20-9E22-8611D11E9E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903" stopIfTrue="1" id="{67A5D791-62D8-45BA-B6D4-EACCA8C457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902" stopIfTrue="1" id="{40F71DAB-6775-4E31-9F42-8AD614B75E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901" stopIfTrue="1" id="{4A4D6422-D1C8-4D3B-AB44-54D01E00AB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900" stopIfTrue="1" id="{291D8A3A-FBAB-4E79-BDDA-DF3EB6BCE1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99" stopIfTrue="1" id="{8668D005-41C5-4215-8112-A4CF203C0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98" stopIfTrue="1" id="{6D0116DB-94B6-431D-998A-A45C997710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97" stopIfTrue="1" id="{B22EEF40-27E9-44F5-AE1C-0BA2B1DF08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96" stopIfTrue="1" id="{C4CAFDD3-F002-429E-96A4-D5D897D64F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95" stopIfTrue="1" id="{B73DF706-B2BF-4F23-8D5D-80E2B647CD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94" stopIfTrue="1" id="{D12CB320-A9C5-4A9E-83D8-01101BCE7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93" stopIfTrue="1" id="{25BEFD5E-0539-49F2-A07C-553FCD655C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92" stopIfTrue="1" id="{16489B45-D0E4-4EBF-A65E-32B50D8B1B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91" stopIfTrue="1" id="{80B77493-57AE-4C18-829E-71B36D7006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90" stopIfTrue="1" id="{4C977750-864B-4A93-BDEF-815AADCDC2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89" stopIfTrue="1" id="{FA72C7E6-7DA6-43E4-9E0D-79CD6044C3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88" stopIfTrue="1" id="{619AFC3D-DA1C-4ECC-ADAB-D5A62A9026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87" stopIfTrue="1" id="{F62C73EA-4728-4F11-B24F-5395D152F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86" stopIfTrue="1" id="{49537220-69EA-4F4E-99B6-95BFB2070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85" stopIfTrue="1" id="{20E2E87E-D7FC-43D9-8CF8-DB15C158F0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84" stopIfTrue="1" id="{A02DCAF7-E660-43CB-9BC3-1943666820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83" stopIfTrue="1" id="{A78E0909-8376-4D0E-8DAE-5C6E258EF9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82" stopIfTrue="1" id="{EF89C549-A531-48DC-B1F4-91E12A4B83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81" stopIfTrue="1" id="{227E3B3F-BE85-47C3-A133-C0FF2759E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80" stopIfTrue="1" id="{E687C216-337E-41E3-86BF-DB3231E37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79" stopIfTrue="1" id="{9469158B-0FCB-4F06-ACDC-CC675218F9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78" stopIfTrue="1" id="{16A698D0-1B2D-409C-BD9F-04408B29F3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77" stopIfTrue="1" id="{54017464-7ECB-4BE9-834F-D735A86511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76" stopIfTrue="1" id="{BE9867DB-7861-4555-AE14-C2829C7DA5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75" stopIfTrue="1" id="{48EC9684-868C-4245-8A82-0387953499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74" stopIfTrue="1" id="{C2E7C933-B5D4-4917-8D2A-2F7C72F788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73" stopIfTrue="1" id="{CF31C2AC-6C68-476C-B9ED-84425EE96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72" stopIfTrue="1" id="{FDCC37E3-4D80-43D0-95E4-093791E5DB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71" stopIfTrue="1" id="{0E6F2C81-B702-4CB2-8409-A52445DC64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70" stopIfTrue="1" id="{2396AFF9-0F68-4289-8236-5326B16111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69" stopIfTrue="1" id="{C0B6266D-8EFB-4BEF-BBF4-E67CC7117F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68" stopIfTrue="1" id="{A80CBD90-05F6-4CF1-8B59-A5A97AD465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67" stopIfTrue="1" id="{699AD335-F577-4B8F-894F-5DD3CA5007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66" stopIfTrue="1" id="{E039D95D-1C03-4356-A8EB-8BA3D5D2E2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65" stopIfTrue="1" id="{897F365B-34DA-42F5-9285-ADF5E63AC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64" stopIfTrue="1" id="{B6C9AD55-E13B-459D-9FFE-03BE5FCAAD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63" stopIfTrue="1" id="{F632AA6B-C43D-4326-B8EA-E7B36536AF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62" stopIfTrue="1" id="{E62BF24B-D1A8-497A-80C8-C45D07FADE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61" stopIfTrue="1" id="{61FDD01A-7F7C-494A-98FF-1765833BF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60" stopIfTrue="1" id="{9EC90AE7-CDEB-48FE-B355-4AEE9D81B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59" stopIfTrue="1" id="{B341781A-8650-43EC-9AF9-A00486FD4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58" stopIfTrue="1" id="{0E5307D4-2AC1-4407-A43E-D88E649E13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57" stopIfTrue="1" id="{1AAEBAD1-CFFB-4448-A28F-A495962712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56" stopIfTrue="1" id="{423A6BF5-A1FB-44B6-97CF-D70E5A4C29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55" stopIfTrue="1" id="{06076520-8C35-4000-A61D-A7AE664772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54" stopIfTrue="1" id="{8D434C8B-ECEE-4A24-81D1-A346FAE617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53" stopIfTrue="1" id="{1327DE73-08DC-41FA-A6E1-B2758140EE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52" stopIfTrue="1" id="{FEE7D8FE-BA5B-4235-B783-C1A6640240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51" stopIfTrue="1" id="{5113197F-2D11-4F3C-9911-8B15CE99D2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50" stopIfTrue="1" id="{9F592E9C-6F07-4FCA-8F89-DF15F4ECD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49" stopIfTrue="1" id="{C2F21F36-5EA5-49D8-A091-E4BCDCF607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48" stopIfTrue="1" id="{D044C13D-210A-4279-BEF1-5A1942173F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47" stopIfTrue="1" id="{673AC847-D856-40B6-8AE2-FCFB2CB570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46" stopIfTrue="1" id="{822DB90B-0DDE-473A-AE0A-F4810C961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45" stopIfTrue="1" id="{0CD60F3A-E274-4744-BC26-A72EBC8408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44" stopIfTrue="1" id="{78DE0DCC-9F34-467E-A42D-CA6C96712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43" stopIfTrue="1" id="{58016818-214B-4CBD-B347-45363A4618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42" stopIfTrue="1" id="{F33D3CC9-6E35-4C26-9E45-ADB461EABD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41" stopIfTrue="1" id="{8C2DEDA7-E51D-4B3E-940F-8B17DFF1F2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40" stopIfTrue="1" id="{50B8574D-2549-409C-9F3F-40DCB0D840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39" stopIfTrue="1" id="{6AD4B7FA-6133-4086-A2B6-2170355C28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38" stopIfTrue="1" id="{68FF3199-7177-477E-A974-21F2831129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37" stopIfTrue="1" id="{F4BA11CC-D664-4D1D-B4CC-00E979E8C6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36" stopIfTrue="1" id="{71BE91BF-0174-4B55-8881-C4BBFC4B40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35" stopIfTrue="1" id="{E27825E1-64FE-423A-892B-C0F26AF6DF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34" stopIfTrue="1" id="{00348DFB-8E3A-4220-98E7-031AA771F0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33" stopIfTrue="1" id="{6576D60E-03AA-449B-8B7F-EB9C6AA45D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32" stopIfTrue="1" id="{083BA795-E212-49AE-8D9A-E95DFCDDDD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31" stopIfTrue="1" id="{8F509751-12C0-43B1-88E7-93F4DD38BC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30" stopIfTrue="1" id="{8D62559D-C1C8-4639-80B2-FB6D028854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29" stopIfTrue="1" id="{C807CCF2-D45A-422B-946D-5DABD28E4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28" stopIfTrue="1" id="{41D8A295-63BF-4043-9F6C-3501B96B2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27" stopIfTrue="1" id="{D478A3DC-91D8-4F97-9D3A-C7D45337AB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26" stopIfTrue="1" id="{10465464-A4C8-4C60-923B-697C22A4A6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25" stopIfTrue="1" id="{B6101187-5D02-4A3D-B284-F79D79EC34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24" stopIfTrue="1" id="{7C595A89-F2FC-4585-916E-562C64E310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23" stopIfTrue="1" id="{EC06549E-4D6B-45DC-A451-71D01DEA2E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22" stopIfTrue="1" id="{F7FEF01F-980A-4FBD-A43D-D6B40980BB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21" stopIfTrue="1" id="{394FE489-504B-49E9-B93B-1C1E65B3E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20" stopIfTrue="1" id="{B866CDD0-43FE-4A56-8E2F-3EA6BFB7E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19" stopIfTrue="1" id="{4DA4025C-68E0-4552-8C53-EEE04599E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18" stopIfTrue="1" id="{67C374C4-5214-47F9-BA14-8AE66C0255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17" stopIfTrue="1" id="{596E1213-EDC8-4480-BA4A-D545667938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16" stopIfTrue="1" id="{0584475A-7245-41A6-93D9-C6345209D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15" stopIfTrue="1" id="{5A3C8A6F-41BE-4731-9565-0ADBE38845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14" stopIfTrue="1" id="{1C4B8CE0-F60B-4AF6-82C8-7603A707DC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13" stopIfTrue="1" id="{9B8BE36C-CF32-47EC-8996-7269F5AA78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12" stopIfTrue="1" id="{B4DAF9FB-A14C-4D16-8CF6-6E3C0DD5BF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11" stopIfTrue="1" id="{080D0B70-F0BA-4D0D-A44A-C02A98C9AB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10" stopIfTrue="1" id="{F7AC5DF5-980C-4D20-A6F1-59439B95C5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09" stopIfTrue="1" id="{A7F3DA41-F549-433F-AD99-E556E5EC2A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08" stopIfTrue="1" id="{D94CAFA1-13D8-4910-B7E0-BFB319C24E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07" stopIfTrue="1" id="{87D7580D-833F-4AE5-A8E5-91DC2014B2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06" stopIfTrue="1" id="{E357865E-CC25-48BF-A828-F5923956F3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05" stopIfTrue="1" id="{043C73C7-65B8-4AF3-8D6A-901E332D2E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04" stopIfTrue="1" id="{2921C778-FDBB-4869-90B1-305F990094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03" stopIfTrue="1" id="{A153593B-FCBE-45BA-BEE0-6A8124BD32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02" stopIfTrue="1" id="{7BA12289-D9F3-4518-8E71-05246BEADB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01" stopIfTrue="1" id="{F8F8C034-1076-486E-8D72-2724D69FBF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800" stopIfTrue="1" id="{80AB1A6D-F83D-493C-93CF-B4B717E418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99" stopIfTrue="1" id="{486E4E2D-8A73-4510-8C02-07A8656E5E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98" stopIfTrue="1" id="{0289058C-6E27-4EFC-A78C-B7495F8127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97" stopIfTrue="1" id="{04D478A8-59DE-4C9F-B6C3-DE0BF20D13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96" stopIfTrue="1" id="{76CCCB74-9472-4B45-9CD8-1FBDFAE151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95" stopIfTrue="1" id="{B37CF85A-2E45-4AA9-9B18-4C9AB1C42F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94" stopIfTrue="1" id="{4817374A-C211-4EFF-88ED-8DDA1A8357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93" stopIfTrue="1" id="{A9DA4FF7-873C-41A0-B11C-F73ADEB29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92" stopIfTrue="1" id="{DB84519F-7C1B-4C10-976E-B3AE0063A2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91" stopIfTrue="1" id="{92D4A6D0-B33D-4283-B38D-BAF24C1BDA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90" stopIfTrue="1" id="{3E4BBA5C-682F-4D0F-9116-96D7C1022C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89" stopIfTrue="1" id="{398512BE-6431-4960-90C5-EB56E83386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88" stopIfTrue="1" id="{A07A3EA3-12A1-40C3-8145-7BDE0ED083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87" stopIfTrue="1" id="{95989550-8303-4B42-A936-00D4EFC15B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86" stopIfTrue="1" id="{EB49B47D-4612-452E-A51B-BED02C23B9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85" stopIfTrue="1" id="{3178B855-FF4B-42CE-A86B-BE814D834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84" stopIfTrue="1" id="{04DD7264-76E1-41EB-8300-956844932D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83" stopIfTrue="1" id="{F4447E48-CD18-40A0-A70E-2BD1B04317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82" stopIfTrue="1" id="{518302F0-E2A9-4222-92CF-772CE5DA82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81" stopIfTrue="1" id="{8B9059CC-6B8E-4A1C-8D5E-DE24BE2FF9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80" stopIfTrue="1" id="{23C39655-02C5-44AF-8B2D-00B27CFCCC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79" stopIfTrue="1" id="{E151020C-4C94-4EDD-894D-BCB831BE9B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78" stopIfTrue="1" id="{A3D115BE-5AA8-41F9-B57F-0D45D572F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77" stopIfTrue="1" id="{54EEC469-EB91-4521-A555-77271A740F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76" stopIfTrue="1" id="{BB731C40-B6D6-4D1A-8802-660F7669E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75" stopIfTrue="1" id="{55E65173-1C66-4FBD-978E-B88D8E2029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74" stopIfTrue="1" id="{571DC722-4AE0-4C8D-8553-8B27720461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73" stopIfTrue="1" id="{1B105991-5884-497C-87AD-64E81372F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72" stopIfTrue="1" id="{E0F35185-7A8A-4D91-AB89-756E00C56B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71" stopIfTrue="1" id="{4264134F-4DD9-4426-890E-FE7236B411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70" stopIfTrue="1" id="{576BCD55-24B2-4395-B0B2-03BEB609D3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69" stopIfTrue="1" id="{BF257A47-EC69-4E1D-9B68-03703AEE39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68" stopIfTrue="1" id="{B32805EB-31D7-48D3-BE31-FCFDA429F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67" stopIfTrue="1" id="{4EEB1D98-8055-48FE-80C0-94DB89F32F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66" stopIfTrue="1" id="{85A6C6EC-D637-4FD0-B5C9-2267EFC1F2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65" stopIfTrue="1" id="{1D1E3551-F24F-4C42-BC49-7E71626304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64" stopIfTrue="1" id="{5E57D4D7-BFFE-4804-85DD-048CA5D90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63" stopIfTrue="1" id="{A3347274-CCA7-40B9-A6FF-F96107C395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62" stopIfTrue="1" id="{FD05F027-4881-4912-AAFB-B4031A14D0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61" stopIfTrue="1" id="{70ECA308-035A-491F-93DA-D49E7E9335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60" stopIfTrue="1" id="{330A7178-15F7-4C22-9350-03E8818B4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59" stopIfTrue="1" id="{804EE6E5-5A46-41B4-92FB-416FAC5CD7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58" stopIfTrue="1" id="{3501FA9A-D88A-46C9-9C35-00C6A4699D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57" stopIfTrue="1" id="{6887FF41-F5B4-4D04-BF46-29BA1F3C07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56" stopIfTrue="1" id="{71095F40-C558-411A-A187-4B1CF34E19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55" stopIfTrue="1" id="{EFDBD2CF-117C-4470-9FCF-87A43B9D4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54" stopIfTrue="1" id="{9A70D1E6-615E-46EA-BB74-19EEBE41CA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53" stopIfTrue="1" id="{730CD63E-EA7C-4995-AAE6-A29225648F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52" stopIfTrue="1" id="{F3011ECE-72A5-4CA7-9AFF-CEA555CD01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51" stopIfTrue="1" id="{1B4801BE-6564-4FD7-B6F7-92723CB6A5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50" stopIfTrue="1" id="{40898255-FE6A-421C-8427-137FF91201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49" stopIfTrue="1" id="{77DF053B-4EDD-4A84-B598-3B8CAB1E33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48" stopIfTrue="1" id="{26855CE8-8130-4951-89CF-BC14F8B0B0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47" stopIfTrue="1" id="{A2149B40-1AA0-4314-B628-2016628678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46" stopIfTrue="1" id="{8E376DD7-EA26-4CD4-AD9C-522DA26559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45" stopIfTrue="1" id="{A7CA841A-8C1D-4024-A3B1-9DA0D499EC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44" stopIfTrue="1" id="{15CF7EFE-04FA-4A5B-92CB-F9A7816FE7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43" stopIfTrue="1" id="{50A3F4A4-0409-45B5-838E-74F852BC69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42" stopIfTrue="1" id="{9C27F2ED-ADE2-4890-A7FC-D05CA689E0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41" stopIfTrue="1" id="{199CF294-3A90-4635-8545-E3CB5D8740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40" stopIfTrue="1" id="{E7690902-CB7D-4D20-8E3C-070DE12049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39" stopIfTrue="1" id="{CC7818DB-5E51-45BD-9D02-723783C20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38" stopIfTrue="1" id="{B58D8816-FE7B-4757-BEEF-162B8455E4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37" stopIfTrue="1" id="{AF15B31D-9BBA-4A88-B40E-909FEB7BD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36" stopIfTrue="1" id="{22818A62-93E3-40FB-A5C0-7F5FA024C1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35" stopIfTrue="1" id="{A3F6CC7B-190D-44E5-98BB-5195BD8B69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34" stopIfTrue="1" id="{2FBBAA7D-77A8-4CFA-98A6-123DB8144A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2733" stopIfTrue="1" id="{306F0A5F-D665-4050-A02D-0F102AC725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32" stopIfTrue="1" id="{705C5EBF-ACFF-4FCD-A6D5-EED80EF9E8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31" stopIfTrue="1" id="{91A93173-05C1-43C1-8783-5676BA15BC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30" stopIfTrue="1" id="{BD01A9CD-3554-4AB2-AE9F-EB6D1DC044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29" stopIfTrue="1" id="{5DBD7E69-F35F-4156-92F8-6D07BA3FA8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28" stopIfTrue="1" id="{B995FF1D-8EE0-46E2-913C-593F02D01E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27" stopIfTrue="1" id="{178E5E79-6CC1-4169-8F17-3C49563C44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26" stopIfTrue="1" id="{180D83DE-876D-4A1A-BCA5-3BD992D525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25" stopIfTrue="1" id="{D83E86A2-5365-4269-A5D0-681D157367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24" stopIfTrue="1" id="{EB706745-4BF6-48A3-95EB-D4BC2AD123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23" stopIfTrue="1" id="{ED5C7FE2-8D72-4BFD-8B1F-001E9EC7A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22" stopIfTrue="1" id="{25A6AF01-C561-474F-A70D-5E7B569CE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21" stopIfTrue="1" id="{2908A429-0735-4F74-925B-E4BE086AAA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20" stopIfTrue="1" id="{33E441F0-8D2C-4F5D-8FF7-9A047892AF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19" stopIfTrue="1" id="{777E03E1-E578-4FD1-A445-B366310E2B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18" stopIfTrue="1" id="{8AEDDCDC-F4A9-4A33-ACD5-33AB03E292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17" stopIfTrue="1" id="{1596F8DC-7BFF-448E-A06C-784CD1352E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16" stopIfTrue="1" id="{D8D6EA7D-ECB2-46E0-B7E0-77E78CD69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15" stopIfTrue="1" id="{FE00A484-4548-46B2-89C9-6595222862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14" stopIfTrue="1" id="{2E3302E9-D562-4A1C-83DD-75B87E23E5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13" stopIfTrue="1" id="{6F34F89D-F643-4FBD-AF44-A6B20CE233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12" stopIfTrue="1" id="{E46614D3-E245-4263-B146-A576437DE2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11" stopIfTrue="1" id="{5CEA3812-6C35-4B07-B604-786EB134DC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10" stopIfTrue="1" id="{1167F610-8B78-4E25-AF35-CC577DD16E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09" stopIfTrue="1" id="{0869EBF9-B502-4228-940A-160EB6D866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08" stopIfTrue="1" id="{CC9B5F62-F5E5-4BE8-A5DE-C2959D2FEE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07" stopIfTrue="1" id="{B26A63D6-8781-4D69-AA26-9D8640ABA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06" stopIfTrue="1" id="{200F9F65-96A5-4EEA-A4BB-7413F5A19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05" stopIfTrue="1" id="{C423C11A-C377-4B79-BBE5-B46C7F4813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04" stopIfTrue="1" id="{44105DF5-D65C-493B-AB5B-034AF69DE7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03" stopIfTrue="1" id="{8BCBA789-00BC-4889-A534-ACC222BE05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02" stopIfTrue="1" id="{77B0F7B5-4FA2-4142-B7EF-6E41B43994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01" stopIfTrue="1" id="{348E5EB6-21A8-4CC5-8111-0F49E367F5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700" stopIfTrue="1" id="{89C0D2DE-2232-4CD6-B8B5-1CE1D5D41D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99" stopIfTrue="1" id="{658DA795-05AB-4ED2-BA23-C358211240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98" stopIfTrue="1" id="{5F6FE5B5-CAC6-4A69-9CBB-D72AE4EAB6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97" stopIfTrue="1" id="{3DE309D7-3759-49D5-B8FD-85D7D557EC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96" stopIfTrue="1" id="{3071DC12-5812-46C3-9F25-200A60D7DA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95" stopIfTrue="1" id="{DBE84992-F34F-4DA6-9EA2-5D82762741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94" stopIfTrue="1" id="{A9D50962-3546-4975-8406-41EFF15B05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93" stopIfTrue="1" id="{F19AF3BC-648C-41D7-BD38-51D98FC0E4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92" stopIfTrue="1" id="{2265EB78-5E48-46D7-A6FE-2C70F2EF1E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91" stopIfTrue="1" id="{E469BDF0-AB17-4324-815D-2FC84B049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90" stopIfTrue="1" id="{ED4973D0-960E-490F-856A-F59BC15561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89" stopIfTrue="1" id="{352CF338-E111-4107-AC0D-7091D173BF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88" stopIfTrue="1" id="{763F572A-BE26-4C15-9E74-ED604DC696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87" stopIfTrue="1" id="{119A3362-653D-4C0A-A665-5275AAB6B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86" stopIfTrue="1" id="{36189930-C144-4902-8966-FE076CA95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85" stopIfTrue="1" id="{0849EADB-6CB4-4A20-804E-080EBC39BA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84" stopIfTrue="1" id="{E2BF89B1-8A90-458C-8757-469690C230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83" stopIfTrue="1" id="{3589569B-7BE0-478A-A08A-B0C88D4A0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82" stopIfTrue="1" id="{D5D1E7FB-F41C-4BB6-8837-2ED7FA9123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81" stopIfTrue="1" id="{69870035-EC0E-4B83-BC96-A7E04C82DF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80" stopIfTrue="1" id="{77F393CC-56AD-4499-AB04-BFC61F9FC7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79" stopIfTrue="1" id="{797A0C1F-6EC5-45A7-8AAD-5ED13BEFBB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78" stopIfTrue="1" id="{16DB5A74-4597-433A-86EA-4EE91357EC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77" stopIfTrue="1" id="{65D7F401-5A4C-4DBC-B60A-97A41DBD36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76" stopIfTrue="1" id="{29366889-B963-4D48-B655-9A09C6642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75" stopIfTrue="1" id="{ED57B3EB-A18F-4FC0-8402-2E7E3C9349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74" stopIfTrue="1" id="{C7BF1377-EC5B-4CA1-A8D6-49FAEACEA4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73" stopIfTrue="1" id="{AD7C88C3-DA1E-4B31-9DA1-8DE1AF7FCA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72" stopIfTrue="1" id="{F74223D7-E2BD-42C0-9D0F-582AD90A99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71" stopIfTrue="1" id="{AD2534CE-35B0-4C35-9C9C-351497F091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70" stopIfTrue="1" id="{B4A8C4CC-CACE-4A12-8CD7-46A0EEA8D0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69" stopIfTrue="1" id="{C968EBA6-939E-43A6-A1CD-197B8F11DE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68" stopIfTrue="1" id="{79C794C2-1200-4FDE-A6C8-33D2605F15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67" stopIfTrue="1" id="{3CA7F465-FE0F-45AF-A9A5-B808D9A97C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66" stopIfTrue="1" id="{8BF6CBA1-636F-4324-B564-9E0691DEF9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65" stopIfTrue="1" id="{602D82FF-DEF8-411D-8F56-01D0C9D88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64" stopIfTrue="1" id="{5C27627C-27FB-45E1-8501-8E7804D1E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63" stopIfTrue="1" id="{ED7EA80C-5D0B-449A-AEF4-F0034D0ABD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62" stopIfTrue="1" id="{D15F29F8-34CF-4667-BA57-067E4B79B8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61" stopIfTrue="1" id="{81001B0E-FF68-4E88-A698-9EBA207A9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60" stopIfTrue="1" id="{C9D6E569-0437-41CF-8BA5-CBA71AB1DB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59" stopIfTrue="1" id="{2DBF49BE-C5E6-4381-9CAE-FDAA4FD2C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58" stopIfTrue="1" id="{C9F5478B-BDDD-4D98-9524-B65979FF13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57" stopIfTrue="1" id="{FB1A6866-CCDD-4B2A-8AA9-411FDBEF2E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56" stopIfTrue="1" id="{7BC18D1F-DF27-425B-BB92-11AC585F9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55" stopIfTrue="1" id="{36E76B75-802C-40B1-A677-63256EA341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54" stopIfTrue="1" id="{6E09FF18-3EE2-4065-8D5B-404506956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53" stopIfTrue="1" id="{1DD19AE1-B10D-4557-9978-57BBD041C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52" stopIfTrue="1" id="{30642FDE-E353-4A8F-B6AB-EC9A76AF98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51" stopIfTrue="1" id="{C74FFFDD-E4B2-469C-894A-2835D4A50D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50" stopIfTrue="1" id="{37B47A9B-F065-4D89-A8FD-BF5EC0548A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49" stopIfTrue="1" id="{D9483D7C-EEE4-4015-9856-A1445682AE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48" stopIfTrue="1" id="{E833B2B7-81D3-4C8B-9867-47550993C9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47" stopIfTrue="1" id="{4DC2102C-7420-4BA0-82B3-BE194C6166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46" stopIfTrue="1" id="{DB40532F-B0A7-4022-9A0D-26464FE17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45" stopIfTrue="1" id="{1405B4B1-5F4A-4542-A693-E1CDE40C17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44" stopIfTrue="1" id="{42058D9B-90A8-41F1-8B45-C54E72779F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43" stopIfTrue="1" id="{C838A3FA-A53C-4580-8B2B-8DEAA5B186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42" stopIfTrue="1" id="{31BD2288-583F-48D4-922A-3B77CEF9B5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41" stopIfTrue="1" id="{C96C2ECD-94EB-4A2A-80D5-A46D5C21A0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40" stopIfTrue="1" id="{0078CDC4-B461-42C4-BC91-EC7B4F34F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39" stopIfTrue="1" id="{A7DECA8B-B19A-44D3-B69E-08E04016AE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38" stopIfTrue="1" id="{54B98F5E-F754-4319-AE0F-A5669D166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37" stopIfTrue="1" id="{DA6C7429-9D10-433F-BA1E-8802FF1ABD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36" stopIfTrue="1" id="{F8F6BA67-32BC-4306-AA5A-B834F0D9A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35" stopIfTrue="1" id="{D8421EE8-35FE-4636-9E37-975F874F24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34" stopIfTrue="1" id="{C856BC93-51A2-49C0-9FEB-C15E135B52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33" stopIfTrue="1" id="{8126E09F-0BF5-4251-BACE-D5B257D28F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32" stopIfTrue="1" id="{115A392A-5BD8-4EA6-BC7F-80AAF8740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31" stopIfTrue="1" id="{018BBCA2-D558-4DC3-A2B8-1A16DDD052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30" stopIfTrue="1" id="{627EB404-0F77-432D-9115-D4FE7742A1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29" stopIfTrue="1" id="{3252EA3A-EBF5-4A0C-AD77-2D1EEA4649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28" stopIfTrue="1" id="{9209EF1C-A37B-4F76-96A2-BFEE414397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27" stopIfTrue="1" id="{6E9AD4E6-9D1E-4837-8537-7EF4D31C29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26" stopIfTrue="1" id="{6AA9FC2D-E46F-4817-B9E8-C31489BD3B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25" stopIfTrue="1" id="{3B93C181-A0AC-433C-AF33-E268C13D03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24" stopIfTrue="1" id="{329CFF21-ACE8-46AC-BDEB-03C8968D1D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23" stopIfTrue="1" id="{721DEF87-4EC3-479B-9DA3-C028D6A8F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22" stopIfTrue="1" id="{8B81E12E-1966-45B2-A29C-9B6AEC8806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21" stopIfTrue="1" id="{10B32936-84B6-439E-977F-24D1D74DB8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20" stopIfTrue="1" id="{2E7A3CF3-C4F1-4BDB-9364-BA4BE4A68C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19" stopIfTrue="1" id="{D7B5D3F8-62E8-4A3D-BDA8-ABB4E8C800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18" stopIfTrue="1" id="{DE500389-0E27-464B-B896-AB473C7B3C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17" stopIfTrue="1" id="{1C9B421B-FE41-4190-9E95-89B6D005C8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16" stopIfTrue="1" id="{3034D8B0-65DB-4926-A0FA-172712240F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15" stopIfTrue="1" id="{CDF36DE4-5359-4B70-B8E3-6E68FED94D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14" stopIfTrue="1" id="{24140972-06F3-47D7-93FF-7E0F4EEBBA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13" stopIfTrue="1" id="{7F46CC19-5EC7-4C0A-8B73-4F8CB3C1EB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12" stopIfTrue="1" id="{BC7945C1-6CB2-4958-8BE8-328B00A03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11" stopIfTrue="1" id="{1A52F0D6-40A2-4D94-8589-86EE1B88AD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10" stopIfTrue="1" id="{D0E57E00-491D-47B6-92C8-3A9A58DD89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09" stopIfTrue="1" id="{32975948-A9D3-44B6-968C-56D5D9AEEC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08" stopIfTrue="1" id="{DBA25714-1345-4CD9-9B14-86EB7D2C9F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07" stopIfTrue="1" id="{DBB14366-8051-4F58-BADD-FA396507B0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06" stopIfTrue="1" id="{B5191937-F078-47CF-94E5-C21F7E45DA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05" stopIfTrue="1" id="{FDE69A9B-E275-4398-A9C9-7E26DA0BC4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04" stopIfTrue="1" id="{57AA0FAA-CFD5-435E-AA4B-FFB7AF3E3C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03" stopIfTrue="1" id="{439C184E-D874-406B-BB90-D7C50F746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02" stopIfTrue="1" id="{B5211606-399E-4642-8136-5713276E3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01" stopIfTrue="1" id="{5E2152EE-4D86-4765-8C83-C56CF2AFD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600" stopIfTrue="1" id="{15A38EFD-5D11-45CF-A9C1-3EC12063BB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99" stopIfTrue="1" id="{020C9E7C-0E16-44F5-AA0E-F02547B54D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98" stopIfTrue="1" id="{7FDCAE1B-0CA9-4E0E-B5EE-E1B5891D2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97" stopIfTrue="1" id="{86585172-903A-4D04-93FD-2879C91AF0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96" stopIfTrue="1" id="{E8755B13-D39A-4266-BF71-51D2ED8B22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95" stopIfTrue="1" id="{E9FA41E2-66C5-4335-84AD-3BA2B3EF0F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94" stopIfTrue="1" id="{3763F49A-FE08-4E7F-B312-DB31856298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93" stopIfTrue="1" id="{46AB64F5-B522-4E8C-B5A1-D9DDB0186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92" stopIfTrue="1" id="{7B924DD1-A5E4-4FD9-BB29-339BB1727E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91" stopIfTrue="1" id="{4894E648-E665-4D34-ADCA-4509FF0080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90" stopIfTrue="1" id="{925A2EC8-D3A1-4D62-A83A-BB7B1ACDC7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89" stopIfTrue="1" id="{7B559A44-433E-4E05-BF03-D5C105A01C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88" stopIfTrue="1" id="{63387D7E-693C-43BF-810F-2695CD0DA3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87" stopIfTrue="1" id="{7F9E89E3-C40A-4FAD-ADA3-992F0B59A6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86" stopIfTrue="1" id="{77EFACD2-B6D0-46BE-9270-DE0FA74FE7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85" stopIfTrue="1" id="{ED43DF1E-DF48-4F66-A317-0AC4933050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84" stopIfTrue="1" id="{D02E5D63-FAAF-40D3-9ED6-3483E5791D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83" stopIfTrue="1" id="{B8292222-FD48-4614-988F-67BE306A3F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82" stopIfTrue="1" id="{C99B3F3C-9F29-444D-97CA-B8391CB4DF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81" stopIfTrue="1" id="{BAE83643-9A12-41D2-B8D8-C2E51C1D64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80" stopIfTrue="1" id="{E9FF7BA3-889C-4E8A-B836-1C6F21FAC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79" stopIfTrue="1" id="{8B6E46D7-CD0D-42B2-AF4A-AAB3BC6F4F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78" stopIfTrue="1" id="{4BF4D034-ED4C-4759-8068-50313E6864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77" stopIfTrue="1" id="{9E676A05-C1D5-422F-8D53-882C5610A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76" stopIfTrue="1" id="{15AB21CD-D8E8-4F42-AC02-5125D72E05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75" stopIfTrue="1" id="{E174B9D9-5C62-4D5B-96FD-3895BBB6B5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74" stopIfTrue="1" id="{FFA3F42F-1B92-435D-BF8F-FEF056DC53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73" stopIfTrue="1" id="{04DB65DD-BB4D-4FF0-97B9-5ADD705347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72" stopIfTrue="1" id="{63E6DCB7-0662-4ED3-92BC-2D907320A2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71" stopIfTrue="1" id="{27F35506-83C6-43F7-A297-D1716B1A00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70" stopIfTrue="1" id="{106DCAC2-6D97-4C56-8ED5-6A131F5A13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69" stopIfTrue="1" id="{A1F12D69-5825-43A2-8151-F785E40EC7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68" stopIfTrue="1" id="{2AFEE4B7-A1AC-490F-B11F-9FFA6103B3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67" stopIfTrue="1" id="{F5F69E8F-A2B1-43F2-91A1-E78E3A07D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66" stopIfTrue="1" id="{CE088FC6-0EBC-4ECE-A239-403C4E4A8E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65" stopIfTrue="1" id="{D1A5EFD2-9094-472C-A1A1-93857B0483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64" stopIfTrue="1" id="{85E9C80C-F516-40B9-867C-096D02BB42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63" stopIfTrue="1" id="{58E6358E-DBAA-4E54-9764-0B0F6F2DFD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62" stopIfTrue="1" id="{1CE151D0-FE80-4F22-A8C3-3E71E699D0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61" stopIfTrue="1" id="{B7B8108F-9C94-42C5-84D6-FBD0B05534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60" stopIfTrue="1" id="{9F5916B1-8C9B-4A9C-BC93-60101D2DA0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59" stopIfTrue="1" id="{4E2DBF93-10EE-4DDD-A93B-AE67473BBE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58" stopIfTrue="1" id="{1B8A6EB9-43CF-4AE0-B3F2-A6E072DC8E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2557" stopIfTrue="1" id="{F086058A-ECDD-45EF-8F25-C3FD7DB06A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56" stopIfTrue="1" id="{2E9ABF6F-5BA7-4401-8F42-43A3A5D72B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55" stopIfTrue="1" id="{447D5BF4-CDDE-44C9-A900-E55AAD418D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54" stopIfTrue="1" id="{6C6924B5-E6B3-4B32-8E76-A11F9549A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53" stopIfTrue="1" id="{7BB87BAE-33CE-44F5-A6AC-783DF1BCF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52" stopIfTrue="1" id="{D2E057C0-55FF-4CE5-819C-BEF040BD63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51" stopIfTrue="1" id="{5A51D24C-0AD1-4932-95CF-81F3AE14A5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50" stopIfTrue="1" id="{4FAA5650-8CF9-4192-B095-A0224CA194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49" stopIfTrue="1" id="{19C4DEBC-2D70-4D73-83EA-FCB354395A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48" stopIfTrue="1" id="{0D66E114-5458-42C7-A82E-9930A43973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47" stopIfTrue="1" id="{9AB5C0A2-8F8A-4E1E-866D-8DDE0188C3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46" stopIfTrue="1" id="{8D964010-CB16-45FC-89C9-FA85A70BEE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45" stopIfTrue="1" id="{5FDC174C-DDAF-456F-8F0F-CDF5F37FDD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44" stopIfTrue="1" id="{7A104177-D163-4AD9-B7AC-F084217DE2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43" stopIfTrue="1" id="{F4E1B632-9325-4545-B59E-28654C4CDE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42" stopIfTrue="1" id="{C6E1C2FB-84EE-4196-AEE4-828BF45AC0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41" stopIfTrue="1" id="{E14AD1FC-EEED-4441-ADFF-D4D592B463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40" stopIfTrue="1" id="{9EBF68D3-0C72-431D-8461-E1721383F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539" stopIfTrue="1" id="{FB960108-5534-4856-8822-5464736238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38" stopIfTrue="1" id="{C61A32BE-C306-4A34-A27E-3D5F2484E3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37" stopIfTrue="1" id="{1E7C62C1-CC5B-4841-88F5-F712899110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36" stopIfTrue="1" id="{92F15643-D8B9-4513-9D22-0B78BE94AE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35" stopIfTrue="1" id="{1FAF1F0B-E4EF-40FA-9AAE-C013A9534E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34" stopIfTrue="1" id="{99FB94A4-6171-428A-B804-30488D9578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33" stopIfTrue="1" id="{9761DC5E-9A1A-4769-9132-C4AC8A1AA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32" stopIfTrue="1" id="{56C6BF90-214C-46DE-BADE-7D141F4A5E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31" stopIfTrue="1" id="{754EC38D-4935-4156-B11C-03943F9C35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30" stopIfTrue="1" id="{8C087BA2-0BC8-4C8D-A3BA-9D07E2A3E9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29" stopIfTrue="1" id="{2CC6C828-EBC4-42BE-AA66-3E7AB2CD25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28" stopIfTrue="1" id="{AF1D6865-42FF-4684-A1C7-48FE8899C2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27" stopIfTrue="1" id="{F4545EDB-FFC4-4C99-A9A7-06EBDDC2BD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26" stopIfTrue="1" id="{537FA2EF-24DF-430A-805E-E21D0BFF8A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25" stopIfTrue="1" id="{0DE20AE8-DEB1-4691-8106-CB9BAE3F02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24" stopIfTrue="1" id="{E408194E-F48B-42C8-B580-96D2B1FE5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23" stopIfTrue="1" id="{92472ABB-1185-4942-9EA3-1970A72CA9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22" stopIfTrue="1" id="{A6A89D35-B87C-4498-BE21-69028B5550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21" stopIfTrue="1" id="{286701B2-BB23-49B7-A2C8-0F5A0D5D09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20" stopIfTrue="1" id="{9C2A8A7A-DC1C-4FF4-B96E-B8D1C6C7D4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19" stopIfTrue="1" id="{025CAA19-2643-41BE-BD69-08EB3E11D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18" stopIfTrue="1" id="{3E8E6E01-2819-4B38-836E-91940A0EE6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17" stopIfTrue="1" id="{5E848EBE-507B-4297-8ACB-8E86BEF524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16" stopIfTrue="1" id="{992D511C-CA85-41C1-8C07-1DAD744295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15" stopIfTrue="1" id="{8687009E-BB8E-48FD-BDEE-E3D3E05821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14" stopIfTrue="1" id="{C5826C54-12BB-4259-A434-3E04FF89B6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13" stopIfTrue="1" id="{E26C41C6-CA0F-4599-86A7-0B5DD1303F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12" stopIfTrue="1" id="{9653185F-0707-4841-A47A-78B87396A2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11" stopIfTrue="1" id="{9ADB5FE3-B872-4395-8DD5-539B4A5F1C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10" stopIfTrue="1" id="{282A3091-3C3C-43F2-9372-F115A3C10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09" stopIfTrue="1" id="{DB7D17F8-63ED-43F5-86C2-22A7FEE771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08" stopIfTrue="1" id="{571D0F48-4B23-4B71-B2FF-6BF46024EB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07" stopIfTrue="1" id="{DB74BA54-A23F-458E-BA2C-E653C43AAB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06" stopIfTrue="1" id="{5FD6DD81-BECC-4557-BAAF-054161B5A9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05" stopIfTrue="1" id="{9C85F5E3-4FA0-4CEE-88F1-D3E827EFA4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04" stopIfTrue="1" id="{4740FCD2-857C-4AC0-8B8B-83E450C1A1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03" stopIfTrue="1" id="{9A43B431-5F3F-4340-AFA4-7E0CE8A312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02" stopIfTrue="1" id="{840BDC14-EB3D-445D-BE07-6986C0CB3E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01" stopIfTrue="1" id="{70C1DF6C-B947-4982-9C5E-AD82D145A1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500" stopIfTrue="1" id="{4479F5C1-9849-4E9B-8D99-16872816D9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99" stopIfTrue="1" id="{70FA8EBD-6058-42C7-B050-D77572C98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98" stopIfTrue="1" id="{2EB76214-3C00-4B53-951F-C65F1D4664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97" stopIfTrue="1" id="{3E7F0F2D-2BCF-4E41-8560-F704E2727B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96" stopIfTrue="1" id="{E52D8745-2A47-4189-A4A3-006D5CAD69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95" stopIfTrue="1" id="{DCA0E370-F47E-4FF9-9AFA-718BDCC75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94" stopIfTrue="1" id="{61BD91DF-6563-487A-8F39-1D7844114E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93" stopIfTrue="1" id="{64DABA43-0ECF-4FDE-881F-5637E6EF15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92" stopIfTrue="1" id="{BF456A38-A3A1-4C80-9A09-122758B519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91" stopIfTrue="1" id="{2BB50BCB-E637-4453-B7AC-FE9F4E5E62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90" stopIfTrue="1" id="{10AE0E7B-B132-46CC-BA4C-C0FD59E824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89" stopIfTrue="1" id="{1A66BCEA-EEE8-473D-977D-EB2D8F6063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88" stopIfTrue="1" id="{BA3AA99A-F580-4F02-88B8-D7CFE229CB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87" stopIfTrue="1" id="{FBEC46B6-FB83-49FF-AB0D-9E229634F2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86" stopIfTrue="1" id="{FBC2B66F-5940-4B60-AC9A-7320A3E368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85" stopIfTrue="1" id="{488107E2-F24B-4D89-A091-08DCA0B4FB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84" stopIfTrue="1" id="{31477394-C327-4D88-8D7A-A10DF995B4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83" stopIfTrue="1" id="{5F49F45E-B5F8-46F1-82F9-2104CDC482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82" stopIfTrue="1" id="{46F1D8F1-5D3A-465D-8F6E-94968B1DC0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81" stopIfTrue="1" id="{7A906D28-16AA-47BC-AE7A-CA4436134E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80" stopIfTrue="1" id="{ED848298-892D-4353-B1A6-7E5BE4D4A5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79" stopIfTrue="1" id="{228584D6-8131-4489-B4AC-DE14C31320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78" stopIfTrue="1" id="{B21A24A6-15AE-4C5E-A311-C0B5109DFB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77" stopIfTrue="1" id="{8F990046-872B-4830-A5D3-CFD62C0194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76" stopIfTrue="1" id="{704814DB-D61A-46EF-B329-1B0E612125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75" stopIfTrue="1" id="{8CD7DD9A-CC38-45BE-95DD-727B46CA28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74" stopIfTrue="1" id="{D02642DF-62A9-4AA2-B45F-0606C3DBAE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73" stopIfTrue="1" id="{A70F4DE1-B760-4E6C-8A30-6A7D0BD6A3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72" stopIfTrue="1" id="{11E9596B-6614-47E7-895E-DE2E0E021A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71" stopIfTrue="1" id="{D3BCA0C5-0FAF-48D1-842B-A943E2FA1A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70" stopIfTrue="1" id="{48E9607C-7A43-44D3-8FD0-B865BC0C65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69" stopIfTrue="1" id="{9B519AD5-A8FB-4A14-8622-061DDA08A8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68" stopIfTrue="1" id="{FF82F253-3BBC-4C0B-8EB3-E675FFBB26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67" stopIfTrue="1" id="{8661BF56-80BA-404B-8828-23311ACDCA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66" stopIfTrue="1" id="{0DE2F2E9-0900-4128-8574-D7DB7181A6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65" stopIfTrue="1" id="{BE032273-5FF8-4EA6-A886-D59D5D2125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64" stopIfTrue="1" id="{C9CC05BE-0B7C-4D9D-A0A1-DA566494C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63" stopIfTrue="1" id="{1E58B1BE-F04B-419D-A5FF-20B944E31C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62" stopIfTrue="1" id="{0AB0CB37-2C03-442E-84DF-1F811C0956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61" stopIfTrue="1" id="{80FCBE51-A50A-4E54-9BF4-2BEC193FAA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60" stopIfTrue="1" id="{E86D17EC-6AB3-4C99-A889-898844E974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59" stopIfTrue="1" id="{6DE51DB0-554E-46EC-9B34-C58108AC33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58" stopIfTrue="1" id="{51391A2E-44FE-4A4F-911B-AD686C523F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57" stopIfTrue="1" id="{09CB2C3E-1470-4E51-A5A3-2C2D6F55A3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56" stopIfTrue="1" id="{DB262DAA-AA9F-4D6A-9723-1D8D00000C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55" stopIfTrue="1" id="{0E156A2A-F9B2-4AAF-8817-2A22B8FF9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54" stopIfTrue="1" id="{107A5825-2B3F-4D58-A8B9-0DA5C39F4D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53" stopIfTrue="1" id="{D9237D44-DD22-4EAF-8D1D-05A4CFADE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52" stopIfTrue="1" id="{162A97D5-F2BB-4796-B476-D6178C13B4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51" stopIfTrue="1" id="{237E04A6-692B-482C-9CE4-03B7B54523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50" stopIfTrue="1" id="{F451458A-EEC1-4E77-822D-62C30C47AC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49" stopIfTrue="1" id="{0A7C6FA3-0BC3-46F9-B569-FBAC48A26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48" stopIfTrue="1" id="{A7F2A561-C9F1-453C-80ED-E3593F6DC4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47" stopIfTrue="1" id="{99AA6CB3-9462-4E42-834E-E9F64322CF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46" stopIfTrue="1" id="{46166C1E-0FB8-46EE-A874-150AB1A9A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45" stopIfTrue="1" id="{0D3D3E39-D500-4E68-949F-C0ED4B730B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44" stopIfTrue="1" id="{BADF19EF-241F-42D4-ABC3-07FC41E0E5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43" stopIfTrue="1" id="{3B7CA05A-BC8A-4F90-B810-D468ACAEA1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42" stopIfTrue="1" id="{38FCAD3A-B966-4F87-9165-F6245DFCA1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41" stopIfTrue="1" id="{76BA270E-7DDA-489B-BE6A-1F63D3A77D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40" stopIfTrue="1" id="{CC7CA4F0-1C67-479C-A863-4074071E0A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39" stopIfTrue="1" id="{1EF704FE-1D46-4879-9174-0EA98891C3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38" stopIfTrue="1" id="{2E46C48F-6CDD-43E7-B06B-AF3E904631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37" stopIfTrue="1" id="{1101ABCF-C54D-42C7-A7A8-90CD2003E6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36" stopIfTrue="1" id="{224176DC-4349-4B0B-A861-B4B93035AE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35" stopIfTrue="1" id="{5FB1EB09-8AAC-497F-A41F-76D8A9E23A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34" stopIfTrue="1" id="{DB2065ED-44A8-4064-837C-50C4121CC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33" stopIfTrue="1" id="{6783CC0C-AABA-4B55-A1DB-CF33487612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32" stopIfTrue="1" id="{8F2C9873-68C1-4030-BD1B-6E4CD0EBB5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31" stopIfTrue="1" id="{C65BD0C6-2D35-48EB-8096-F8191AF70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30" stopIfTrue="1" id="{803A9473-D42D-4531-AE79-8EF6EF13E4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29" stopIfTrue="1" id="{9A6EB5C1-7BF8-4FAD-9986-85B5F1CA8E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28" stopIfTrue="1" id="{229F624E-6553-491B-B90A-8E0D3571C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27" stopIfTrue="1" id="{53D33DA4-FF95-4242-A4ED-4ADD64166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26" stopIfTrue="1" id="{52FB8447-80EA-4E56-A822-802D31EEC3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25" stopIfTrue="1" id="{74E0BF78-FE86-4868-9285-AA0BD992A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24" stopIfTrue="1" id="{CF87BE15-9EF3-4472-AE5B-949F59E3D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23" stopIfTrue="1" id="{4E1927AC-83BE-4B9C-A80A-67D58B5BBC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22" stopIfTrue="1" id="{9F038FFC-53FD-4627-BE1D-946A098AEB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21" stopIfTrue="1" id="{43C3CB26-65C6-457E-BD1A-7DF1C930AD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20" stopIfTrue="1" id="{2543EED8-004D-4867-B82F-A6CC5D712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19" stopIfTrue="1" id="{72DF208F-F96F-49BF-8974-388AD713E0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18" stopIfTrue="1" id="{EB33F0E6-8440-4D5F-8C24-570FC7C587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17" stopIfTrue="1" id="{31AD9721-BB0C-4291-BFF0-FA6BC56338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16" stopIfTrue="1" id="{EDA86518-3EF2-4F5C-9F36-BF95530F12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15" stopIfTrue="1" id="{B757753C-21C5-4261-BDB4-267639DF97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14" stopIfTrue="1" id="{4278742E-C135-4FAA-AEFF-D83630F13C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13" stopIfTrue="1" id="{CBBF2F2E-3E94-44FA-9621-47C9BB7DA6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12" stopIfTrue="1" id="{A9A366DE-33EE-44A6-A53E-9AE486E384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11" stopIfTrue="1" id="{ADADB043-2BF8-4B2D-AE61-79522512F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10" stopIfTrue="1" id="{24EA16D7-AC8C-4254-A03F-FA6973DB7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09" stopIfTrue="1" id="{4D7BBE2C-7BAA-4C89-A8B7-23461037BB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08" stopIfTrue="1" id="{3B2DC07B-61A7-4598-AC43-D6FB4B9D2F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07" stopIfTrue="1" id="{09704B11-F659-4487-86D6-7E913CC86F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06" stopIfTrue="1" id="{CA1B11CC-6AE5-4311-89D3-7C5ACEA325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05" stopIfTrue="1" id="{0801AE15-CC0B-49D8-BED7-D9D3D9C6F8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04" stopIfTrue="1" id="{C328B55C-75B0-419E-B27B-8014F1DAA7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03" stopIfTrue="1" id="{81D02D2A-3AE8-4632-8889-420BC6B164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02" stopIfTrue="1" id="{51FEC58D-570A-4B2B-A170-337A49BCA0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01" stopIfTrue="1" id="{192209FE-BEBD-48F0-AFF4-D76A6756A4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400" stopIfTrue="1" id="{0824AA75-F157-4ABA-BCE6-66A6235679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99" stopIfTrue="1" id="{C12B764E-74F0-400C-8504-0C8FBD9833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98" stopIfTrue="1" id="{5A316110-403E-4A84-B7DA-40B19AEBE7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97" stopIfTrue="1" id="{01C5B166-1CC5-4B56-A4CB-2F621A7D0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96" stopIfTrue="1" id="{A2045A30-7D16-422C-AE20-B3EBD27587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95" stopIfTrue="1" id="{DDC57338-5519-4157-8801-7EF7D01750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94" stopIfTrue="1" id="{E28B7E80-C817-4CA3-ACEB-CC5809A492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93" stopIfTrue="1" id="{74201545-64C9-4D68-A07B-986ADD61FF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92" stopIfTrue="1" id="{53285409-C80C-46A5-ADAD-3D3573A980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91" stopIfTrue="1" id="{06B1B11F-4EA1-4A2D-AF8C-DD25D790B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90" stopIfTrue="1" id="{26312203-3559-48FA-AE10-5652C838A7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89" stopIfTrue="1" id="{95E48F4A-E61D-455E-BA0F-7B5B92E0F7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88" stopIfTrue="1" id="{CEB43C0E-CABD-4635-A5BE-8047663749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87" stopIfTrue="1" id="{9E442AA3-C4DC-4229-AF96-AF949111B7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86" stopIfTrue="1" id="{225C8DDC-77FD-4496-9C7B-C611981615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85" stopIfTrue="1" id="{A4D70EAA-90B3-48B9-97F0-8C322C587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84" stopIfTrue="1" id="{992CA038-2B4F-4879-BBC0-E627481A5E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83" stopIfTrue="1" id="{68C52B7D-C3D9-4946-BFD2-0B99C22C26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82" stopIfTrue="1" id="{6697BC33-0C26-4150-A0B6-BA70F088C6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81" stopIfTrue="1" id="{E613D447-D519-4567-B77F-447EEA066F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80" stopIfTrue="1" id="{824696D6-BF01-46E1-911D-CB0B36BC3F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79" stopIfTrue="1" id="{865D653A-54FC-4910-A67E-F861514E2A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78" stopIfTrue="1" id="{17EBA3D4-40B2-409F-A043-B754C6D182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77" stopIfTrue="1" id="{7D9DAD67-B48E-4D3C-861D-1131D3CA28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76" stopIfTrue="1" id="{B26E05AD-9882-4389-B0E4-7815BD9582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75" stopIfTrue="1" id="{1AC3CB0C-F199-4578-BB55-F126842B9E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74" stopIfTrue="1" id="{A8F9E4B5-DADE-4B34-9F78-00B627FB13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73" stopIfTrue="1" id="{E8C9E496-C71B-476D-9ECE-6708022646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72" stopIfTrue="1" id="{391FE2BD-F6AD-4548-A5C6-FA4DCCEFD3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71" stopIfTrue="1" id="{3C4DB26B-4CD8-41C1-8B79-8E1FC1A57A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70" stopIfTrue="1" id="{2B5AA915-3385-45D9-B426-7E89E93B2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69" stopIfTrue="1" id="{D004F9C7-9A36-41EE-B4CD-E815886946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68" stopIfTrue="1" id="{F2722FEF-51C8-46E3-AD68-4AB2E2ADB6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67" stopIfTrue="1" id="{351B4F93-7783-4875-8B11-B44486405D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66" stopIfTrue="1" id="{CFDCA71D-FDEF-4A44-8004-36A6AC41AC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65" stopIfTrue="1" id="{FD67E736-A937-4152-AE69-2D0B4671E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64" stopIfTrue="1" id="{DD476111-6FB4-484E-BC7D-547775CE03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63" stopIfTrue="1" id="{519CEE2F-F360-41D7-AEDD-A022FDB639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62" stopIfTrue="1" id="{671F1BEB-5670-4929-8F9E-A60C016E0D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61" stopIfTrue="1" id="{51965001-1422-45D6-9EAE-8B3B01A221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60" stopIfTrue="1" id="{31B4A247-A37D-4171-A500-E9C34CF75A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59" stopIfTrue="1" id="{73572E36-9553-400C-85AB-25F135ABFE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58" stopIfTrue="1" id="{E1FF2A73-8347-4F35-B94C-BDDD93FB8A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57" stopIfTrue="1" id="{4D7CAEFF-7073-4E9D-ADB4-EA9CAEB62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56" stopIfTrue="1" id="{2114684B-423A-43CD-89D4-F3ECCA4AD4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55" stopIfTrue="1" id="{C81ED4D2-B74D-43AE-99C8-00423C526B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54" stopIfTrue="1" id="{7C472D2F-A196-4278-9305-AE1FDFED39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53" stopIfTrue="1" id="{D0D848E5-C9A6-4831-B0A7-00D38A4ED2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52" stopIfTrue="1" id="{8E85B0E3-AC32-4B7E-843F-276230CC78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51" stopIfTrue="1" id="{89C3FBEF-0BDA-4092-BDC5-4CFB418E44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50" stopIfTrue="1" id="{C6E44574-575A-497C-9A0C-599D0E286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49" stopIfTrue="1" id="{FADA3EBE-1E6B-493D-9BE6-485BCFF262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48" stopIfTrue="1" id="{43E68FDE-B8D1-4A25-9609-DD6121848A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47" stopIfTrue="1" id="{4D7D754C-02D2-4E3F-B3E4-5565066426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46" stopIfTrue="1" id="{2E7CE507-7002-4086-A6CD-BB1B74ACCC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45" stopIfTrue="1" id="{98A7E541-B454-4A00-BB85-A505701E25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44" stopIfTrue="1" id="{A2670E3D-3285-46D6-A04A-27F571BA0A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43" stopIfTrue="1" id="{AEA56206-3750-4726-963C-139DC34894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42" stopIfTrue="1" id="{D5716A18-56C2-4AA7-B1EA-D0D24B7C96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41" stopIfTrue="1" id="{3CA650B3-4691-4318-9AA8-D1E1662049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40" stopIfTrue="1" id="{81BF57E8-ACD8-4673-AFF6-EBCA405B31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39" stopIfTrue="1" id="{F3C6C5FF-1920-408F-BCFF-3862A9DC6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38" stopIfTrue="1" id="{E5C55642-9F9D-4F87-B4E8-5743A8661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37" stopIfTrue="1" id="{843E67E4-950B-4D88-8386-B66912A41B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36" stopIfTrue="1" id="{E4B0328B-6DD6-484A-B14E-63D85DA8F0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35" stopIfTrue="1" id="{F4A764F0-0A3D-4897-8E50-FBCCD5EA72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34" stopIfTrue="1" id="{591516EB-6CCA-42A3-9C90-D4A8FA94BD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33" stopIfTrue="1" id="{2AE1FBA5-69F4-41E0-98A2-DC3043598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32" stopIfTrue="1" id="{4BAA3829-FA62-4FD1-8221-815500B364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31" stopIfTrue="1" id="{AED0D3EA-B7EF-435A-BA11-92D8D0DB36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30" stopIfTrue="1" id="{1CC1BD91-86E5-4491-9F2A-41803F3C3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29" stopIfTrue="1" id="{86D7F90A-F7FE-4F08-8A8A-6CED642182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28" stopIfTrue="1" id="{2E6E66F8-F0E6-480E-939D-C06DBFEE0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27" stopIfTrue="1" id="{C23EDA7A-B088-44D0-8B2E-A231225B3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26" stopIfTrue="1" id="{AE5A58EC-4AE2-4940-BE07-730AF1E23C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25" stopIfTrue="1" id="{DEE12510-1BD2-4478-BBDA-9060F607FA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24" stopIfTrue="1" id="{547A11AF-4851-4AFC-99B1-BD8F72DDCB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23" stopIfTrue="1" id="{F59BDFC6-5F0C-4442-872D-8548032922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22" stopIfTrue="1" id="{A585F541-0ABE-4F9D-B0D4-B1C9B5CA1C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21" stopIfTrue="1" id="{B01E722F-91CA-42CC-A064-55BB7B48CE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20" stopIfTrue="1" id="{97489321-E45C-4909-832F-9820E043B2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19" stopIfTrue="1" id="{3D63E8C4-80F1-4A19-BED0-2F72205B86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18" stopIfTrue="1" id="{DA54B7CB-C548-43DD-827B-5B227A2CD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17" stopIfTrue="1" id="{C57FD68F-C5D0-423D-A6C6-01EA92E015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16" stopIfTrue="1" id="{DB99AFF2-FD62-4349-96EE-1FCE389005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15" stopIfTrue="1" id="{7649D17A-5B4A-4D4E-B203-DB96530B17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14" stopIfTrue="1" id="{A3C3BC8A-C92B-4BC1-9981-836855F574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13" stopIfTrue="1" id="{18B49901-33C8-452C-B302-638C4A361E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12" stopIfTrue="1" id="{7C3134E3-662C-48B5-9192-1A060F5F3C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11" stopIfTrue="1" id="{C81664A1-AEFC-4CC1-BA34-7C05A9CDF0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10" stopIfTrue="1" id="{B305556C-3341-4A28-BA0E-7B151250CF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09" stopIfTrue="1" id="{0943BB75-729B-4C2A-B17E-BC80F1CC9E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08" stopIfTrue="1" id="{DB67789E-0754-4853-A41F-1124B2E6CE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07" stopIfTrue="1" id="{9DF1DC54-1544-4B15-95CE-3340301B47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06" stopIfTrue="1" id="{F707C636-27AA-4A3B-B861-7366363346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305" stopIfTrue="1" id="{26A2B10C-915A-42B5-B863-069D1E329D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304" stopIfTrue="1" id="{77F037E4-ED9E-4D7F-8A4E-C8FDBBEDE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303" stopIfTrue="1" id="{26B86035-A8D7-4B74-BEDE-F6A8450DA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302" stopIfTrue="1" id="{8F6CF38E-F1C4-422B-96FA-1AD52B8BC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301" stopIfTrue="1" id="{E17FED42-EA76-43BB-8D28-EB80491FDD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300" stopIfTrue="1" id="{1FA904CD-B616-4A21-BCFE-77820E7CD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99" stopIfTrue="1" id="{F3C90AD8-3C55-4B88-AD64-724EC7B74E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98" stopIfTrue="1" id="{3813EE1F-03CF-4887-8FC2-596615E544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97" stopIfTrue="1" id="{D79D8FA9-1F0F-4BE3-87DE-993FC1D1C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96" stopIfTrue="1" id="{3168BD12-54FA-4B48-B4C4-B62B6960B5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95" stopIfTrue="1" id="{E3F76FCC-BA9E-4677-B1C1-49B918297C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94" stopIfTrue="1" id="{39D6B16C-120A-43BE-8B20-E8F28BF8BE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93" stopIfTrue="1" id="{88C97932-2D46-4415-A475-0C0AD1B4D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92" stopIfTrue="1" id="{66DB2F82-D473-4E4A-80B1-B1F563EF1B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91" stopIfTrue="1" id="{3E139FC4-BF98-4FFB-B72E-4EB7A82425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90" stopIfTrue="1" id="{7E2271A2-6B6F-410B-83E7-226C44BE48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89" stopIfTrue="1" id="{0555A515-CAD2-46BE-9FB2-E7A5493582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88" stopIfTrue="1" id="{8C7ADD04-A927-4EAC-9EE3-84F669F2A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87" stopIfTrue="1" id="{EA781E51-32BD-4339-AF67-4E9813085C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86" stopIfTrue="1" id="{8D9AB4D2-CFBB-4D93-BC17-CD95962723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85" stopIfTrue="1" id="{823B72D9-F9F9-4CE2-8EDF-E33402C920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84" stopIfTrue="1" id="{B4CE3EE8-66DC-44AF-810D-02B7FBB45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83" stopIfTrue="1" id="{4EA90DDF-448C-473C-87AE-1C39C44EA5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82" stopIfTrue="1" id="{C92AED35-C50E-457B-894D-DCB8FD1E7E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81" stopIfTrue="1" id="{6D74AED5-5B4A-4086-8454-4FD3203068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80" stopIfTrue="1" id="{BF13B149-F551-4C1F-9D8C-E7581BBB7C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79" stopIfTrue="1" id="{FB16A5E0-A6A2-41B0-9643-FB211CF251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78" stopIfTrue="1" id="{C795BC6D-7B6D-421D-A70F-682D5FE05E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77" stopIfTrue="1" id="{AB86B503-44D2-438E-9C6C-B326099D01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76" stopIfTrue="1" id="{E6A2BC11-4B57-46BD-BA87-7599A41F18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75" stopIfTrue="1" id="{C4410807-668B-4EE7-AC81-EFA902A18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74" stopIfTrue="1" id="{559F0A48-4E32-4FE9-AC5E-C3BAFDF1EF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73" stopIfTrue="1" id="{8BFC4B1A-FB89-47D4-ADDE-A4FA71974F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72" stopIfTrue="1" id="{21F738F7-DE8B-4556-875C-94C288F0FA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71" stopIfTrue="1" id="{663BF5C9-E8BC-479C-B331-C92A7181E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70" stopIfTrue="1" id="{D3DFE1BB-8E16-475A-A55A-E127C5D1E5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69" stopIfTrue="1" id="{201CBC00-BD45-44F8-A458-2B6BA69895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68" stopIfTrue="1" id="{AAA7F066-A917-4C9C-BB76-D1AA942E2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67" stopIfTrue="1" id="{6E6DFE76-65C1-4A2F-865B-2D314623FD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66" stopIfTrue="1" id="{A5D19FA4-A02F-49D1-BD99-918EE09296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65" stopIfTrue="1" id="{B0B824FE-E68F-41AB-9654-EB20ED81A8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64" stopIfTrue="1" id="{EA9E8C38-64CB-42A2-8B87-2BBC37B6E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63" stopIfTrue="1" id="{F8B263B6-B3EE-4F45-B311-864C476B3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62" stopIfTrue="1" id="{77649B9B-4FE7-4EEA-890F-BAE2DC9CED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61" stopIfTrue="1" id="{58E703D2-409F-4052-96FD-108F3471AA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60" stopIfTrue="1" id="{0DCA6117-C0A2-4323-AD81-86D55F8E7F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59" stopIfTrue="1" id="{D857DFC9-791B-4BBB-A15C-83DF7BDF89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58" stopIfTrue="1" id="{A1371879-B235-4DB4-A16D-C92B89BDE8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57" stopIfTrue="1" id="{327CC937-8C17-46B2-BDF7-9A02FF2AA3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56" stopIfTrue="1" id="{6BC6E05E-5F80-4026-A5C5-4E1178BA00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55" stopIfTrue="1" id="{9F387946-7E16-48B4-ADE5-A21544C097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54" stopIfTrue="1" id="{0F632807-8EE9-419E-A125-72CF67ABB6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53" stopIfTrue="1" id="{558D9D8D-3D69-46DB-9DFA-3200E839ED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52" stopIfTrue="1" id="{D51DF233-9716-4F33-8717-931ED1BAD9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51" stopIfTrue="1" id="{AA4C676F-E3A2-4AE6-BBBE-15F15DF43B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50" stopIfTrue="1" id="{371EFBBA-8579-4ACA-B92F-3251B3BE26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49" stopIfTrue="1" id="{130E7C24-4A22-4489-9C97-6ED85D2F7E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48" stopIfTrue="1" id="{026AE7F9-208C-4401-A92F-7DBF1E0E6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47" stopIfTrue="1" id="{8EC7BB8E-19D3-44EA-820D-74C6D41F3C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46" stopIfTrue="1" id="{C3577A1D-045E-4516-9FD5-7BF5495EC4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45" stopIfTrue="1" id="{C0D9006F-85FD-4BB6-99C0-681365C3A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44" stopIfTrue="1" id="{EABF1E4C-A6CD-4A24-B83B-7CB9096CA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43" stopIfTrue="1" id="{DA8F5E96-5B8B-4F54-B03E-27FE76231D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42" stopIfTrue="1" id="{32970812-2B69-437D-A132-E3346AA330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41" stopIfTrue="1" id="{EE32A9D9-8388-4C38-9F7C-E78ECE91B8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40" stopIfTrue="1" id="{FDCFAE3A-3B10-4321-96BB-7B559C7813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39" stopIfTrue="1" id="{A228CC5C-745C-46BE-ADDE-65F57CD8D5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38" stopIfTrue="1" id="{9708057D-FC1A-472A-80AE-AB49552536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37" stopIfTrue="1" id="{6F1E68AA-3D82-4FA0-AA5A-50A0D3D333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36" stopIfTrue="1" id="{205DBC01-B84F-449E-9262-3C9F9B39B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35" stopIfTrue="1" id="{CF6F1493-621E-4E57-866A-5476B5E3A6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34" stopIfTrue="1" id="{6107166C-E446-4011-92C9-D7E6D3FF25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33" stopIfTrue="1" id="{98604D64-6051-402B-ACFE-56DCEC2FE3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32" stopIfTrue="1" id="{8AF64BD5-1B1C-4096-885D-41B5D29538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31" stopIfTrue="1" id="{8341030F-A62D-44A4-97A6-80C1AF935E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30" stopIfTrue="1" id="{DDA8595B-F51E-40CC-9C32-C6315BE051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29" stopIfTrue="1" id="{97F47146-B66E-4651-983C-D1DEDA5D79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28" stopIfTrue="1" id="{5FAFF33A-05E2-44FC-87D2-F26E27040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27" stopIfTrue="1" id="{F15336E3-5898-4B43-992F-D65544992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26" stopIfTrue="1" id="{0B0AC198-847E-463D-A3C5-61A3F456B6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25" stopIfTrue="1" id="{A1A99B1B-8F75-41D1-A8C3-358A2934C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24" stopIfTrue="1" id="{2CADB6A6-138F-4091-A7B3-1E4F62AE8B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23" stopIfTrue="1" id="{87DE78ED-2AAD-4AF4-9C2C-015B211CE4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22" stopIfTrue="1" id="{C52210DB-5E9A-4725-AF4E-D0B44E32A8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21" stopIfTrue="1" id="{1613C6EC-82B6-4BFD-88AB-46DCE353E0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20" stopIfTrue="1" id="{05D412F0-EA53-423A-9752-8B293AAB27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19" stopIfTrue="1" id="{AE522B83-D9F1-442C-A1E4-9610E7F2B8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18" stopIfTrue="1" id="{C536A7AB-00FB-4694-81D1-2A30A5B0D6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17" stopIfTrue="1" id="{BDFBEE64-D86E-4326-96EF-35C465A73E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16" stopIfTrue="1" id="{48305F26-CFCE-4B27-A3D4-293D1856DF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15" stopIfTrue="1" id="{FAB24910-7E59-4829-A388-6AF1FFA262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14" stopIfTrue="1" id="{B8BBA6E6-8F3B-405B-86E4-E8F53705A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13" stopIfTrue="1" id="{31C0F478-218A-448B-87AD-640A306441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12" stopIfTrue="1" id="{5E9ADF28-E4F1-485C-9C04-64F8BDDC86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11" stopIfTrue="1" id="{76949D63-8574-4A55-8E8C-91FF953E7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10" stopIfTrue="1" id="{6AEBA05C-C6B9-41E6-95A0-1C7F6E4693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09" stopIfTrue="1" id="{40A8C071-7788-40DD-A19B-8D79A27E7C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08" stopIfTrue="1" id="{46099A44-666D-4A86-9C96-86E379B47B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07" stopIfTrue="1" id="{7FAE3AE2-CF51-41CF-8A5F-FF9553AAF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06" stopIfTrue="1" id="{4BD8872F-5D04-4032-AC95-4DD13F816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05" stopIfTrue="1" id="{F77FE1D3-E938-4BAD-889D-BE2178CEFF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04" stopIfTrue="1" id="{CF86203E-E41F-4938-94B8-D97B8C463F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03" stopIfTrue="1" id="{255AB074-A96F-48B5-A545-DDD3DDE4B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02" stopIfTrue="1" id="{ACD01021-E588-439C-BBC8-0F448AD68C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01" stopIfTrue="1" id="{AA258AB6-F045-46BC-9A42-5400617D5B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200" stopIfTrue="1" id="{E0C5D50C-34B8-4EE3-8D04-AAAA6C458D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99" stopIfTrue="1" id="{E6C02EE8-8E94-452D-B70C-9E4BE6670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98" stopIfTrue="1" id="{B948937C-BBCC-4B0E-8969-CB14A1EA9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97" stopIfTrue="1" id="{F4E5A264-CB60-4DB0-9E2C-BEB9587A51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96" stopIfTrue="1" id="{CF3D7064-F3A7-44FF-B4AF-1F27CADFEB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95" stopIfTrue="1" id="{F06790E2-7179-4EB1-93A2-B0554B61F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94" stopIfTrue="1" id="{958F698D-2A08-4F88-B62B-478A821A20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93" stopIfTrue="1" id="{65A372EA-96E2-4006-AAD0-77656C45A9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92" stopIfTrue="1" id="{637EC2B9-9012-4274-BA3C-CD3D2055B4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91" stopIfTrue="1" id="{A8C903EA-73D4-4D97-B6E2-967AD774E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90" stopIfTrue="1" id="{1EE47B2C-2C4A-4F48-9A9A-C610257EF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89" stopIfTrue="1" id="{378B0CC4-4DEE-45A2-9B96-56576A9797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88" stopIfTrue="1" id="{75B19B9C-C35D-49F2-BCBC-853A90568D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87" stopIfTrue="1" id="{2060BF66-AEC4-4E46-8979-9735237AA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86" stopIfTrue="1" id="{5833D2F6-A434-4E0C-9890-743AEFD187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85" stopIfTrue="1" id="{2D935C45-C2E6-4386-B9E9-B44A508518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84" stopIfTrue="1" id="{E4AB3167-0DA1-4133-94AF-152E8DCB0D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83" stopIfTrue="1" id="{5B5E8044-B5DD-41FF-9FE0-438942798D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82" stopIfTrue="1" id="{33394E1D-8823-4A04-98C1-CF934C5219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81" stopIfTrue="1" id="{ED1719FD-B26A-4D01-9A40-FE3971102F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80" stopIfTrue="1" id="{92B4ACC1-3152-4BAE-9970-0151954639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79" stopIfTrue="1" id="{C7024CE8-A600-4E76-AA19-34833B2E7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78" stopIfTrue="1" id="{BECD6190-8633-415A-B1EF-12DD49EF33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77" stopIfTrue="1" id="{A343806E-32A4-41DC-A3F8-89A56697C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76" stopIfTrue="1" id="{7F71F948-0EEC-4847-820B-E448D254A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75" stopIfTrue="1" id="{F5F6C739-622E-4DE7-BDF8-C73FC403D9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74" stopIfTrue="1" id="{7DF84A22-8AA0-418D-83E1-A7881C0F0C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73" stopIfTrue="1" id="{ED19B047-7220-4DC3-A890-20256D0B57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72" stopIfTrue="1" id="{78CDF312-279E-452B-9ECA-D8046F40BF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71" stopIfTrue="1" id="{50E8F279-B70A-444B-AEF0-CCCC3713B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70" stopIfTrue="1" id="{4BE0B9C8-29C4-4F27-8124-5AA035FA48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69" stopIfTrue="1" id="{101921B7-65B0-452B-9BD0-C1C278C50F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68" stopIfTrue="1" id="{BF89826A-2E76-4263-9F0B-1F1189473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67" stopIfTrue="1" id="{05B2A936-FCB8-4889-9FEB-BD353D127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66" stopIfTrue="1" id="{4E7BD13B-1F57-4AAB-BEE4-32C33F0371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65" stopIfTrue="1" id="{5FA20B72-A4C1-415F-80B2-199B9D615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64" stopIfTrue="1" id="{FC8F0755-93BA-4883-8809-853E99E4CA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63" stopIfTrue="1" id="{334FDAE4-B5F2-4FC7-A6FE-4727EA5496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62" stopIfTrue="1" id="{BEC6CA86-4C14-4AFA-AC23-42E1925D0C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61" stopIfTrue="1" id="{56EF1AC5-8F88-43CE-8821-E5175E6DA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60" stopIfTrue="1" id="{F1647CCD-6AEB-4D98-ACA5-D2B798F17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59" stopIfTrue="1" id="{E8115A09-93EE-403D-8ECC-49097F062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58" stopIfTrue="1" id="{6A36A385-67C1-4F45-A706-3C801A8737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57" stopIfTrue="1" id="{BAEEB5D8-AD31-4F29-90D7-F011EF47B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56" stopIfTrue="1" id="{6C4F6E84-3A0C-4E20-8137-A793855A7B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55" stopIfTrue="1" id="{92A08CB4-8B0A-4C71-85F1-3D18888877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54" stopIfTrue="1" id="{5F9C8234-DFDC-44F5-8290-9E529E900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53" stopIfTrue="1" id="{4F8C38A9-D803-4AEF-A1BE-2A27BC7A5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52" stopIfTrue="1" id="{23382DF8-F2AD-4DB7-B52A-1314095B8D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51" stopIfTrue="1" id="{B71DB6CA-83F3-401D-9E6D-D5A8367850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50" stopIfTrue="1" id="{A32B497B-7C1E-4A60-A2E6-A9FFEC3AFA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49" stopIfTrue="1" id="{DA3A4F44-2F01-4C1D-B42D-51C36B1EB0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48" stopIfTrue="1" id="{499EF013-8489-44AC-A58E-506F7B0D15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47" stopIfTrue="1" id="{5151D0D0-4714-4EC9-97EB-3BD6B18DA9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46" stopIfTrue="1" id="{5CA06B19-C552-453B-84AD-726DAF0C8C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45" stopIfTrue="1" id="{73C9562A-4350-4474-BF20-577D79164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44" stopIfTrue="1" id="{47EED6DB-5410-43E2-ADFA-86EA7B4C1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43" stopIfTrue="1" id="{100C187F-D18A-462B-811B-85F49EAC03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42" stopIfTrue="1" id="{2625B850-E29A-4F9D-9655-A4BB4400E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41" stopIfTrue="1" id="{35606619-0573-45F2-8C5D-247AA296F5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40" stopIfTrue="1" id="{89FCF66A-C378-4AFA-B20C-96889AD8FE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39" stopIfTrue="1" id="{A76845AD-9722-4CCA-952F-928B367CE2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38" stopIfTrue="1" id="{A06B5B45-C5B3-4B99-B934-C44D35E1F9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37" stopIfTrue="1" id="{3AD34C26-4048-4484-BC45-72F9DD3B96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36" stopIfTrue="1" id="{E7D370EC-C16D-424A-9415-7ADEFF4FDA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35" stopIfTrue="1" id="{09F6F7EA-7135-4593-B505-144CBD50CD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34" stopIfTrue="1" id="{95D32DF1-A43E-4A3B-BFAB-FAA77DBBF7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33" stopIfTrue="1" id="{CC2E38F7-FC5D-4EE6-B3C0-6EC25232B6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32" stopIfTrue="1" id="{B9DACE6E-9959-4463-BF9C-21979E560C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31" stopIfTrue="1" id="{733814F4-13EE-4472-9CCA-C5E6260854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30" stopIfTrue="1" id="{D4CF432B-04F0-4F0C-AD12-E24519E50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129" stopIfTrue="1" id="{F8F45CF6-2643-4796-862E-B0D45F71E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28" stopIfTrue="1" id="{A2ECB296-A959-4B86-9C5D-6FE0323904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27" stopIfTrue="1" id="{DBB453D5-4D08-47D6-B5F6-761A35A2F5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26" stopIfTrue="1" id="{F68CB5FB-33A5-4D9A-9AE8-3CA6445221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25" stopIfTrue="1" id="{A381B0E9-70C6-4507-BA67-D9EB01A66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24" stopIfTrue="1" id="{35B2B9B6-E4E7-4DBB-9325-0B51BC04A4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23" stopIfTrue="1" id="{9C738FAD-3451-42C0-8DFC-54F38FC4B5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22" stopIfTrue="1" id="{9E4FC5C4-5597-4201-9AB0-DFF256D09D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21" stopIfTrue="1" id="{C6788B4C-076F-4664-B11C-D4B64FE7AD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20" stopIfTrue="1" id="{CB01A54B-C259-406A-9D14-497A1B93B2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19" stopIfTrue="1" id="{B59C324E-E97E-4FAC-A36E-6933FEA73F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18" stopIfTrue="1" id="{E03D7D22-31FA-41C2-8988-BA551815D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17" stopIfTrue="1" id="{7C13B323-18F2-47FD-AFD9-3CB5FC0C4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16" stopIfTrue="1" id="{FA37C080-8243-4789-BAD0-7CC72ED168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15" stopIfTrue="1" id="{9834485E-0069-4A23-A270-FBAA2314BE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14" stopIfTrue="1" id="{BD241AA2-D6F5-4F15-9D57-36EBD9E6DB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13" stopIfTrue="1" id="{7630C45C-D8A5-4C82-A6C7-D8EFFF340F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12" stopIfTrue="1" id="{98268DDB-35FD-4B35-B632-BADE584D8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11" stopIfTrue="1" id="{32527780-2747-4C86-AA13-11FA7E4C6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10" stopIfTrue="1" id="{A81EA022-0615-4724-8BBD-2A05178282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09" stopIfTrue="1" id="{E51044A0-9DD1-42C1-81A8-EC461E052D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08" stopIfTrue="1" id="{0130FBE0-7036-4F03-BB31-7B99A6D7A2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07" stopIfTrue="1" id="{AD2E617F-E445-44B0-89CF-BD8AB818B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06" stopIfTrue="1" id="{BB949F9D-AAB3-4B1F-AF6A-4829BD32C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05" stopIfTrue="1" id="{E4268582-B137-430C-8F9F-E8A2BB1372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04" stopIfTrue="1" id="{0C9DC0F8-40B9-4EFE-B61C-D35DAD35B9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03" stopIfTrue="1" id="{FBC26606-7459-4172-A9E2-3149FE26F0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02" stopIfTrue="1" id="{BF6DADCB-D44D-4916-B7C1-A207ACF1D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01" stopIfTrue="1" id="{4F630A22-8D30-4532-AD6C-0C50FEFD36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100" stopIfTrue="1" id="{D49CA739-D8B5-4B9D-AB6B-5B2330409B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99" stopIfTrue="1" id="{37D87189-76A5-4CDF-AFAF-365704011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98" stopIfTrue="1" id="{67C66A4E-4B8C-4011-ADAE-6B46C3D0EF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97" stopIfTrue="1" id="{8FFCDD38-4C88-40FE-9403-CD877650E3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96" stopIfTrue="1" id="{2AFA7F7B-E263-4993-8156-EF97114A20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95" stopIfTrue="1" id="{EA373B80-DBEE-4959-9498-A27059C083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94" stopIfTrue="1" id="{040BA5C8-599D-4839-A28F-B32F0AB523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93" stopIfTrue="1" id="{36B9F0FC-A228-4B67-9624-00EEBF428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92" stopIfTrue="1" id="{25186AA8-46F1-4D42-99D4-5C2CA81374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91" stopIfTrue="1" id="{EEB9C99B-9198-4093-A1DD-AFFCEDDF90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90" stopIfTrue="1" id="{FBA70FC1-6954-4CD5-8F94-5B257C659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89" stopIfTrue="1" id="{1F2FC8B7-53AC-461A-857C-6B9968AE14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88" stopIfTrue="1" id="{734E7836-29E9-43DD-B5F0-A0BE64FCB4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87" stopIfTrue="1" id="{10216547-EECD-4708-8AC4-5B1CA24ACF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86" stopIfTrue="1" id="{767C6E9A-0FDB-4269-A9E0-D1ACE2EC1B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85" stopIfTrue="1" id="{7D786986-EDF1-4D18-BABF-9DCCFED03C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84" stopIfTrue="1" id="{8603E994-4951-483C-8E9E-0ADCEB9619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83" stopIfTrue="1" id="{6141A949-2E8E-4A73-8E45-FB9FE2D2B0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82" stopIfTrue="1" id="{0536ECEF-C9E8-4559-9CCD-AE94A2A418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81" stopIfTrue="1" id="{36E39AC2-BA5C-44C5-B88B-24DB6C99FC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80" stopIfTrue="1" id="{B25E3921-7ACE-406B-95D8-49E6FF5FB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79" stopIfTrue="1" id="{B046BF37-E02C-4F48-8E97-B0481A9C36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78" stopIfTrue="1" id="{95093CB5-1D2B-460F-B99E-B95D87AE06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77" stopIfTrue="1" id="{404D6754-04B9-467A-89E1-9271AF38C3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76" stopIfTrue="1" id="{1DC7990A-7FCF-402D-A6C1-B575C7FC3C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75" stopIfTrue="1" id="{B97649BD-00EE-48F8-B397-F3E65CFCA7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74" stopIfTrue="1" id="{C17695B9-B606-4A1D-8391-B70EEE8FAA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73" stopIfTrue="1" id="{A48F5E83-69EB-4E20-8BE4-E90BCAF89C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72" stopIfTrue="1" id="{E04635C0-D146-4066-9C93-E360BF9B08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71" stopIfTrue="1" id="{1D64895C-31E4-48B7-9225-F405EDD7D3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70" stopIfTrue="1" id="{807E083D-5040-4DBF-B22D-C69DCB82A6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69" stopIfTrue="1" id="{1A68EFF5-B3DC-434B-825F-5D7CB17F2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68" stopIfTrue="1" id="{EC6001BC-28BF-485A-A003-C3DB588A47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67" stopIfTrue="1" id="{74BC7068-32A2-4349-9262-809A63C32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66" stopIfTrue="1" id="{99EAA31F-3AB1-43CE-9C38-AB229F16A0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65" stopIfTrue="1" id="{3FF3E015-6027-45D0-AAEF-B76699631B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64" stopIfTrue="1" id="{D3DB7450-8FA4-460B-AEBC-1183820771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63" stopIfTrue="1" id="{FC7698EE-5708-4EF9-816D-87DA4E5B9F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62" stopIfTrue="1" id="{CE82DC3B-1B76-4C8D-88D5-2753B0BD89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61" stopIfTrue="1" id="{B670BEC6-631B-4515-940B-96C668C473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60" stopIfTrue="1" id="{F1CE2F39-8C05-4CB4-A9FD-32B6075E31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59" stopIfTrue="1" id="{69128795-ED6A-4B6F-90CC-8A2B7525D1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58" stopIfTrue="1" id="{D416AAEC-6385-477E-B47B-83A1E5018E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57" stopIfTrue="1" id="{8C8A8EB5-A1B9-4606-8CD1-436A885EFA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56" stopIfTrue="1" id="{7D6F7819-E150-480D-85DC-574B83BA1F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55" stopIfTrue="1" id="{830B3687-767A-4391-B9E3-6E2494EE6D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54" stopIfTrue="1" id="{5B99A813-EFE2-459C-AAF3-C63288D2AB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53" stopIfTrue="1" id="{D3399946-A86A-407B-9566-395FA46CC8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52" stopIfTrue="1" id="{C79AC4F1-933F-49CC-94AC-1EAFDDE8C3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51" stopIfTrue="1" id="{D3A8004B-EBA8-4A44-B2CC-EB53744B8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50" stopIfTrue="1" id="{7EA7A8EE-9801-4F0B-B95E-6C2D1ADB77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49" stopIfTrue="1" id="{D4993224-2FAB-4662-A133-C5AE94F65A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48" stopIfTrue="1" id="{97D2964E-3294-43EF-8824-DCB14F7F81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47" stopIfTrue="1" id="{C6E2D201-D87C-477F-B8BA-DE9DB86F85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46" stopIfTrue="1" id="{B1E34F29-85D7-41F6-A6EE-855C3059A8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45" stopIfTrue="1" id="{B754DEDC-42D3-4E33-B999-1554DE0E98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44" stopIfTrue="1" id="{56F7760D-EF41-42CB-90F9-6F47D35DF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43" stopIfTrue="1" id="{7A04E93D-E93C-4669-9657-AC06B4F55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42" stopIfTrue="1" id="{C0B5D85E-539B-40DA-BBE3-7E45532AF7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41" stopIfTrue="1" id="{57BD0657-EA6F-45DF-9217-53CD97747D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40" stopIfTrue="1" id="{020D3806-8A11-4DA1-99C8-BF61267C9D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39" stopIfTrue="1" id="{2FED893A-818D-4D5A-9491-94E9096870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38" stopIfTrue="1" id="{6505CE59-FC84-4359-8ABC-3348320884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37" stopIfTrue="1" id="{F3D752ED-5D4F-4CEC-8A4D-96872BDBBD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36" stopIfTrue="1" id="{188A0D3E-528E-480C-BB36-A23E03AC43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35" stopIfTrue="1" id="{E6AC8FC1-1C57-4A4E-93FB-1282A6EF17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34" stopIfTrue="1" id="{48139C4C-24A7-4B77-820C-ACDFA4A7FE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33" stopIfTrue="1" id="{CF6DCCA2-F4B3-4CFE-81CA-3B0305E7AB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32" stopIfTrue="1" id="{5F3CD4AA-C40D-489B-BE01-5A265C742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31" stopIfTrue="1" id="{E057A913-E3E9-4FCC-B2DD-330757F3CA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30" stopIfTrue="1" id="{E2C85722-37A3-4F38-A868-B7BF19F143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29" stopIfTrue="1" id="{3B3831D5-1DA8-4014-823B-C682A9169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28" stopIfTrue="1" id="{4191E953-21E9-4526-B1E7-3E43A2601D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27" stopIfTrue="1" id="{6D6D1747-3E50-42B2-91CD-1C2818B770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26" stopIfTrue="1" id="{20CA4F26-3D88-4BCF-BCB6-021A7CB87D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25" stopIfTrue="1" id="{418D7E55-4ED5-40C6-AFA9-5EF83EB8E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24" stopIfTrue="1" id="{6048EBEB-12E4-4B81-8EE3-D2A492A7BC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23" stopIfTrue="1" id="{D43DB9A2-4BFF-4966-A080-88E2994ADF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22" stopIfTrue="1" id="{7E67E815-7945-425C-8214-C21B5899B1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21" stopIfTrue="1" id="{1AF4295B-8F4B-480E-9339-F92E914D7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20" stopIfTrue="1" id="{CE192A95-016A-4484-8699-DC85B8CA19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19" stopIfTrue="1" id="{47B5CF68-37F9-4A43-AD80-226BD4B077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18" stopIfTrue="1" id="{6976898D-DEA0-4625-864B-25340EE75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17" stopIfTrue="1" id="{074F4610-EB2F-4903-A04D-5900C1747C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16" stopIfTrue="1" id="{87C987A0-F223-49E8-9871-D815A5C699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15" stopIfTrue="1" id="{80342C2F-2D78-4A0F-8D1E-8AB93FD22D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14" stopIfTrue="1" id="{1FD45A6F-28A3-4A41-A331-E15EE76969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13" stopIfTrue="1" id="{0CEC4141-1875-4EB0-8929-966C74FB92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12" stopIfTrue="1" id="{E9F32BA9-9AE4-4A3E-B4DD-CEB0B8819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11" stopIfTrue="1" id="{3DC22D5A-6C5F-441A-9D8E-0C7E3A22D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10" stopIfTrue="1" id="{0590CE6C-95DA-4138-B8B5-4173FB7936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09" stopIfTrue="1" id="{390DBFE7-DB98-4BC3-A2A6-8117A544BA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08" stopIfTrue="1" id="{06C445C2-2D2E-4032-ADA9-5879E2AD54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07" stopIfTrue="1" id="{C4B6096E-C637-49D8-A8E6-5B2290BDAC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06" stopIfTrue="1" id="{739BF454-2CC9-49F1-8E81-911D2438E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05" stopIfTrue="1" id="{949553C3-E861-4CD7-AAE8-D262F4CEC2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04" stopIfTrue="1" id="{C9EA3807-D97E-4909-9A25-8EF4C3E58E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03" stopIfTrue="1" id="{29266788-D45B-4B18-9AB2-E6A930CDC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02" stopIfTrue="1" id="{8D0CAF42-FA6C-48C3-B8BD-BEE9BCF08C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01" stopIfTrue="1" id="{1D742A91-F09D-4EF1-8CD1-41D6B98262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000" stopIfTrue="1" id="{9F921952-0CEB-4315-B829-07DECF6445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99" stopIfTrue="1" id="{392A62E9-31CC-42F4-9077-E66182DA51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98" stopIfTrue="1" id="{4E18E823-F35C-4434-AD4F-BFCD28556E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97" stopIfTrue="1" id="{CD94E668-E753-49BC-A219-94ECF4528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96" stopIfTrue="1" id="{758D4D50-8EA5-4A45-BCD3-7EDF8B5D47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95" stopIfTrue="1" id="{97EC2BEF-DD51-4653-9FCB-112937F548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94" stopIfTrue="1" id="{91AF9548-0612-4EF5-B4D8-C90CF297CF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93" stopIfTrue="1" id="{64259C64-1F9D-4BA1-9B0D-8D2C1FE6EE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92" stopIfTrue="1" id="{A04C12EB-82CB-43A7-824A-3B8D651A8E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91" stopIfTrue="1" id="{EB6D982C-4153-494E-B147-04139EEBF6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90" stopIfTrue="1" id="{5891E9D4-B10E-4277-8675-001019926A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89" stopIfTrue="1" id="{535DF835-E4A1-462A-A95E-30873D313A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88" stopIfTrue="1" id="{8FBCE5C8-7E58-4B38-AAF9-8E1AF9BDD5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87" stopIfTrue="1" id="{FD7AFB7A-8611-4866-A5FB-F1C0302D5F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86" stopIfTrue="1" id="{0D813361-6EBF-40D2-99AF-0796E6AAA5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85" stopIfTrue="1" id="{5756FB09-8075-4D93-91EB-161E60590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84" stopIfTrue="1" id="{5560F22B-F331-4633-A6A6-24D08E4933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83" stopIfTrue="1" id="{1DAF8AE7-9F3B-480C-B470-8A9D07EC03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82" stopIfTrue="1" id="{85272C05-8300-4029-9C9A-EEA6E0AC6B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81" stopIfTrue="1" id="{7D5FD348-3E98-4F8D-B990-9F70E4A557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80" stopIfTrue="1" id="{EDEC0EC0-4598-471F-98D6-C43859AE51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79" stopIfTrue="1" id="{D338E8A1-9331-4973-9CE9-A6BB8A01DF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78" stopIfTrue="1" id="{B69A0A7F-E670-423F-B5D1-3D315E2809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77" stopIfTrue="1" id="{93CF5174-7955-4891-9BDB-9B1247B6BA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76" stopIfTrue="1" id="{4F8E6F24-12EB-4E89-9F38-7CFD300F61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75" stopIfTrue="1" id="{4645095D-4BAD-4091-B3DC-E56C3B8117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74" stopIfTrue="1" id="{BAF8F39B-7888-4CFF-9B8B-07C73D3100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73" stopIfTrue="1" id="{737F34DF-457A-417C-A147-E2641E7383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72" stopIfTrue="1" id="{6980696F-A9EB-4263-8693-81017E7520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71" stopIfTrue="1" id="{0BB1E368-0B8D-45D6-9F28-DB68B5D951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70" stopIfTrue="1" id="{22DD32D9-2145-4445-A145-667219782F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69" stopIfTrue="1" id="{667BD1F9-DF34-4B0B-8CAB-444B09A47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68" stopIfTrue="1" id="{86115AA1-CCD3-4543-8A7F-55D4336F99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67" stopIfTrue="1" id="{28CC356B-A76A-449E-A509-8C167C90A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66" stopIfTrue="1" id="{4580F784-1CAC-4CC7-98BD-2F36265AE8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65" stopIfTrue="1" id="{734928C2-6445-48E1-91A3-E91F548A7F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64" stopIfTrue="1" id="{8A7EB648-B9DD-4D93-A29B-CD6EC5A0A0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63" stopIfTrue="1" id="{976CF01B-3B86-490E-B077-3677EF36A7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62" stopIfTrue="1" id="{EB85A716-4906-4051-8F6D-FB74B5F2E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61" stopIfTrue="1" id="{829A2D4F-2755-4162-941D-B64DDF7B3E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60" stopIfTrue="1" id="{1C9C5CE1-F285-43FB-A1CB-0F8C7C0D70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59" stopIfTrue="1" id="{8D4280F4-0E23-46CF-9CC5-F87FD9A87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58" stopIfTrue="1" id="{455DFA75-DD99-4A18-90A0-98C50E564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57" stopIfTrue="1" id="{17FA9E25-7EC4-4803-8087-92E7630D96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56" stopIfTrue="1" id="{C306DC1E-4981-49EC-ADC5-D5EB53CDDE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55" stopIfTrue="1" id="{7A56188E-3381-4430-BEFA-93C34B72B0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54" stopIfTrue="1" id="{BBBFB0A1-D808-4A05-8F6B-7441C13768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1953" stopIfTrue="1" id="{A02CCBD0-5139-4FAB-B6B9-F2D15C20D7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52" stopIfTrue="1" id="{2E1C939D-5701-49A6-84A0-2EBDB37896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51" stopIfTrue="1" id="{8C2715A0-3D57-44C9-86EF-D00563F65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50" stopIfTrue="1" id="{03E71CE4-93EF-4C50-A741-8F4457E3E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49" stopIfTrue="1" id="{FFE4C15B-5F3D-4D7B-B3A1-888E5FDE0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48" stopIfTrue="1" id="{178DA103-CB86-47D7-97B6-2ECFF81F99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47" stopIfTrue="1" id="{B3092E47-4E14-4C45-B529-4378702363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46" stopIfTrue="1" id="{BBE7D93D-113F-49B3-9DE8-A131A67CFB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45" stopIfTrue="1" id="{949A73ED-3FB5-42F7-BAA2-5774C59964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44" stopIfTrue="1" id="{36E9C751-C2D6-4A46-8C66-BA82113C63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43" stopIfTrue="1" id="{567EEA09-6BAA-48FC-BC85-D900E53B86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42" stopIfTrue="1" id="{6817A2A9-9C52-4B7C-95D1-A61B8589CC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41" stopIfTrue="1" id="{037736D4-2DDA-4E05-8FDE-3239BC5502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40" stopIfTrue="1" id="{520B1E31-F92D-40D4-8FDC-60A82FD0D8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39" stopIfTrue="1" id="{F3A126A9-9118-4FF8-9731-9803A12788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38" stopIfTrue="1" id="{DAB51051-88A3-4F93-B43A-7443F572C4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37" stopIfTrue="1" id="{1417F288-0B2A-4C34-97E0-5086EFF7A2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36" stopIfTrue="1" id="{53892F58-CC3D-4DBC-BA67-020FE5FA5A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35" stopIfTrue="1" id="{CBF0AF42-8FF7-492F-9D23-6EF16DAF43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34" stopIfTrue="1" id="{B577A485-2014-40B1-B81E-3D769A2ECB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33" stopIfTrue="1" id="{14CA5AF0-421D-4AA8-B7BD-0134DB11C7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32" stopIfTrue="1" id="{C4CCC293-9AB8-4847-A50E-9B3F9AF79B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31" stopIfTrue="1" id="{987E129F-10B3-4F15-921E-6B775940BB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30" stopIfTrue="1" id="{3B12398E-5532-46B5-918D-8C5F7BC429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29" stopIfTrue="1" id="{7A8B18A1-A035-4617-9852-3743E994E7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28" stopIfTrue="1" id="{55E30E6A-235A-4A44-AB61-2EDCE48141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27" stopIfTrue="1" id="{615F7378-1C56-41D4-A19D-2D1F00354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26" stopIfTrue="1" id="{082781FC-772E-431C-9AA7-2A30A65956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25" stopIfTrue="1" id="{5ACB8234-3CE9-40A3-9DFD-51BC5A93CF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24" stopIfTrue="1" id="{8B635A15-46C2-42C7-8247-6DA6D28408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23" stopIfTrue="1" id="{E78B0F9C-3924-4A74-A39F-413CFE842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22" stopIfTrue="1" id="{EB21C947-C9C0-48D7-8B8F-13184FD41F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21" stopIfTrue="1" id="{2349B0A7-BA66-4FAB-B938-40E191239A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20" stopIfTrue="1" id="{C1E9202C-28BE-4BB1-AFE7-FBC58EC18F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19" stopIfTrue="1" id="{005C7303-6B54-4CAD-AB92-1FCE6DE00A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18" stopIfTrue="1" id="{819555CA-52F0-47D9-8616-5477D4B133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17" stopIfTrue="1" id="{E0E3804B-4194-423E-AF30-E14A5B96C2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16" stopIfTrue="1" id="{DDF0DA1E-025F-4F90-8A1A-16E7EFF4B4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15" stopIfTrue="1" id="{97942A6E-6401-4099-8F90-9AF708C6D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14" stopIfTrue="1" id="{52F18B62-0449-4695-B88F-DA3D6861C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13" stopIfTrue="1" id="{B606CEB7-950E-43CF-AA66-947CD5D78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12" stopIfTrue="1" id="{0BE5224A-AF5C-41AC-87DD-B04583A432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11" stopIfTrue="1" id="{42F9064B-6251-4242-9C87-7D31C8A076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10" stopIfTrue="1" id="{BFBED109-7B83-430D-AAB7-E6F151F338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09" stopIfTrue="1" id="{7C65EC4C-E5CD-4ABF-9660-8EAFDC36B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08" stopIfTrue="1" id="{E8375B81-DCD7-40E2-BD04-F562B2F0F5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07" stopIfTrue="1" id="{B5357A84-EE15-4353-A940-65468C813A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06" stopIfTrue="1" id="{746F63C1-ED21-4F6D-85C5-4809167BFA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05" stopIfTrue="1" id="{174AB5D7-0CDC-4527-B3B0-663CFBDE42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04" stopIfTrue="1" id="{CC21A1EA-8EE2-4284-BB23-6F62F43FFC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03" stopIfTrue="1" id="{C536D561-9C5D-4BF3-89D7-BBD0D3B8E1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02" stopIfTrue="1" id="{073A1F0E-07D2-48F8-B0DA-2CB359EF25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01" stopIfTrue="1" id="{6AFD9529-B122-44E5-A4F5-63D70A9E25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900" stopIfTrue="1" id="{2922E3C4-6BEF-4F0E-BC1F-CCE73C6547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99" stopIfTrue="1" id="{C5AFB756-4F90-4A0D-A96D-BA73A8931B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98" stopIfTrue="1" id="{BDFA6449-EE48-480B-BAE9-0B93A1B232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97" stopIfTrue="1" id="{1A41DDEA-61CD-4C70-9357-C354FB5B3E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96" stopIfTrue="1" id="{A84924F3-D077-48CE-BFA3-065609C7D7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95" stopIfTrue="1" id="{341EB0FF-38AA-4E9C-B1C1-4B32AE4D3A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94" stopIfTrue="1" id="{1C238001-901B-40C1-B257-88FCAA285A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93" stopIfTrue="1" id="{3E9FC949-F8C8-4CFE-AA8B-BCD2EE8C93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92" stopIfTrue="1" id="{0BBD3EDE-B469-4139-8526-0504AA2F38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91" stopIfTrue="1" id="{560722B4-F40B-41CB-99B3-1C41F3C159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90" stopIfTrue="1" id="{DF490266-E913-49B7-BB87-BF11D221EC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89" stopIfTrue="1" id="{218284F5-A456-461F-A3B0-88E46D913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88" stopIfTrue="1" id="{6E56C276-F649-44AE-8DAC-0260674A3A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87" stopIfTrue="1" id="{3163BE65-6C19-4584-85FB-2D56F8D4B3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86" stopIfTrue="1" id="{7E816060-1E65-410B-B031-1BC7258FEC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85" stopIfTrue="1" id="{71A7E98C-719C-41C3-BB2D-E0D8A32573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84" stopIfTrue="1" id="{30CBF8C5-DEE0-4193-8BD2-6578FD376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83" stopIfTrue="1" id="{1CBC76D6-C5D0-42AB-9CF0-6A6826B027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82" stopIfTrue="1" id="{81F81C59-20D6-4261-AA6A-A9EA8FAB6A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81" stopIfTrue="1" id="{A5831711-5FA0-4A76-A475-10F508783D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80" stopIfTrue="1" id="{C13C150C-6516-41BD-9C3E-EB062517BA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79" stopIfTrue="1" id="{C8B3121C-E0DE-4305-8E5B-BC30422BFB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78" stopIfTrue="1" id="{E3F36105-0CEF-4733-9EF5-AC7B80BA62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77" stopIfTrue="1" id="{D816FEA2-98CC-4BAB-8773-738655AA57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76" stopIfTrue="1" id="{CE06D5AB-6577-456C-AB74-E4409C32FB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75" stopIfTrue="1" id="{34896FC7-0F02-463D-82D9-C617ED0A56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74" stopIfTrue="1" id="{1DE4B2AA-BE9A-4C38-83FB-885652A7E9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73" stopIfTrue="1" id="{CE16A1C5-78C3-4537-8BBD-A6732DEF33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72" stopIfTrue="1" id="{E7C8FD46-282D-4492-ADF4-A90EC66BA9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71" stopIfTrue="1" id="{8BCC99D7-1B06-4EB3-9E85-F65AE5B406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70" stopIfTrue="1" id="{2F9EA4EF-7E96-4E13-AF9E-6A96A36F2B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69" stopIfTrue="1" id="{93A9AC1F-A2E2-4DE2-AD94-F8D5AF9CA2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68" stopIfTrue="1" id="{4F8CAD6E-B8AC-4021-85E3-40A2E39902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67" stopIfTrue="1" id="{9BB7388F-6A0A-4893-A945-7FB132B509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66" stopIfTrue="1" id="{9CBA04D3-CF91-4E98-84DF-DB72C6C3F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65" stopIfTrue="1" id="{9F38C7B8-5486-45A5-A0D8-04C249F18D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64" stopIfTrue="1" id="{3FF8BB5C-80E3-4966-9A8B-14EF967E8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63" stopIfTrue="1" id="{6AC2B503-BB63-425E-B05A-5B37B354CF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62" stopIfTrue="1" id="{951FF283-52DA-4BF7-8A62-085F978F0D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61" stopIfTrue="1" id="{EE251233-6873-4ECA-B782-B24D57306B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60" stopIfTrue="1" id="{CFC83529-5866-4415-A411-6BF73EF4CF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59" stopIfTrue="1" id="{C8AA8951-C67A-4D98-A9AF-7BD391565F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58" stopIfTrue="1" id="{164022D6-CFE2-40CC-B931-DE1DFE238F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57" stopIfTrue="1" id="{AC4984F7-6B9F-4C32-83D9-25EDF3DBAB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56" stopIfTrue="1" id="{1450E568-4BD5-41F5-BA1F-8A4586F33C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55" stopIfTrue="1" id="{40AA8F73-4C16-4EC6-99DA-8F55A4D232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54" stopIfTrue="1" id="{27D854DB-01CB-4DFD-8171-5A60D7F4B3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53" stopIfTrue="1" id="{4345E233-3716-47A1-B0FF-2DEC5A398F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52" stopIfTrue="1" id="{CD2E6292-A596-42D2-9408-089E2EBBDE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51" stopIfTrue="1" id="{AAABB7D1-DD1E-4239-A6B5-0D048FBAF9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50" stopIfTrue="1" id="{CCE82949-A470-45D4-9CF7-155C513791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49" stopIfTrue="1" id="{58EF1EF2-AAD0-4229-93ED-F3DD56B8D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48" stopIfTrue="1" id="{AEB37F04-A7D8-4FD5-8E8E-20829EB0A5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47" stopIfTrue="1" id="{BC14AB80-998E-4805-A6F1-4E153C2C5B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46" stopIfTrue="1" id="{A1F8DA13-6D2C-477E-91D1-D6B8686A1E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45" stopIfTrue="1" id="{94F929F1-DF51-4FF1-A0E8-AB6351633E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44" stopIfTrue="1" id="{C9409274-0623-4465-A910-4E70ECC8FA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43" stopIfTrue="1" id="{7D182DFD-5EA4-4245-A91D-00BD0464E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42" stopIfTrue="1" id="{E76747CA-E9A8-44D6-BE7B-9FA23A15FC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41" stopIfTrue="1" id="{5D77DD84-FFC4-4AE2-84F1-54B486810C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40" stopIfTrue="1" id="{2C964F9C-D65F-44E5-A0E9-B7A1234FD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39" stopIfTrue="1" id="{10D88507-F66C-4176-AE7C-F8164EEA4B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38" stopIfTrue="1" id="{254D3143-55EC-44C0-B051-B14092E7BE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37" stopIfTrue="1" id="{5C731CCA-A6F4-433D-B6C7-474852F32E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36" stopIfTrue="1" id="{F0EC21B4-3F6E-4E7F-95E6-73398732B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35" stopIfTrue="1" id="{AE22980D-46EB-4F99-B119-719B21A0D6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34" stopIfTrue="1" id="{6B6B166B-55F6-4B3A-9B48-8B1FCCD666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33" stopIfTrue="1" id="{EBB34E5D-E887-44D7-86B3-DBC1CF4137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32" stopIfTrue="1" id="{D3D7AC69-BE71-4EAB-A7AF-777837DDC1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31" stopIfTrue="1" id="{BC9F7E90-3FB0-4828-8C5A-940087FDD4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30" stopIfTrue="1" id="{00471453-3C9B-4A76-B7BD-1EB956D9F1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29" stopIfTrue="1" id="{66D23493-8AB2-453E-A4BA-7886FFEE34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28" stopIfTrue="1" id="{4C71CF31-A845-42F6-8FC4-4CD14B34BC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27" stopIfTrue="1" id="{11C7395B-E1CA-407D-B229-279950742E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26" stopIfTrue="1" id="{D66A6C8D-3CEE-4F11-A26B-019A7760CD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25" stopIfTrue="1" id="{882930D5-8EF5-4924-B76A-BA384830FF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24" stopIfTrue="1" id="{7BC550FA-8A53-430C-9964-D021DA5BCE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23" stopIfTrue="1" id="{938442A5-7952-4A5D-A41E-1800325624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22" stopIfTrue="1" id="{F87BBC76-E550-45CD-9E5D-DAC9878CBE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21" stopIfTrue="1" id="{8876F747-B233-4D4D-A597-F774531D7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20" stopIfTrue="1" id="{6E8B28C7-8B34-4FE7-BE3F-19B43FD136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19" stopIfTrue="1" id="{CA41C44B-9E61-4ED3-B1F3-CA3F9F8FAC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18" stopIfTrue="1" id="{A8ED5F4F-81BD-4FD4-A1E7-8446240D5D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17" stopIfTrue="1" id="{3C104D17-2CEA-4B3D-82DE-32829A10E4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16" stopIfTrue="1" id="{73E7DB46-336C-4C8E-9070-884E5B5BD3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15" stopIfTrue="1" id="{482060EB-2900-4633-90B4-EC576ACB7C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14" stopIfTrue="1" id="{7A5EC35C-4400-4901-84D5-55740E2D8C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13" stopIfTrue="1" id="{FA7FC7E6-6B68-4421-B5F7-73F8ADC6F3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12" stopIfTrue="1" id="{BBB33F7B-3466-44A3-AAE8-9C9B7DE8CD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11" stopIfTrue="1" id="{476B8EEA-8FBA-4A2F-A844-85B62F8346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10" stopIfTrue="1" id="{12741C98-392F-465F-ABD9-FB5E1306D3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09" stopIfTrue="1" id="{BAB3F460-5799-44E1-BF84-0406AE4D3C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08" stopIfTrue="1" id="{21581B47-4FAB-44AA-A234-2295A347EF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07" stopIfTrue="1" id="{3FAABF02-9102-4202-B7D2-118D6E931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06" stopIfTrue="1" id="{EF5150EE-9CB0-463E-BEA0-FB4C758784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05" stopIfTrue="1" id="{6127600A-E1A6-44AC-950B-2EDCA6EC2C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04" stopIfTrue="1" id="{79B9085D-31CA-40E8-9CED-95115AE347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03" stopIfTrue="1" id="{EAA1B37B-2DA3-47DC-9286-86D3C5F52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02" stopIfTrue="1" id="{2871095B-822A-4226-BBFF-AE43DBAF42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01" stopIfTrue="1" id="{7CB20D62-B2CF-49DD-98A9-616F82712D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800" stopIfTrue="1" id="{E76A769F-CC78-4FDC-8E90-55B846C7B3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99" stopIfTrue="1" id="{EDA32CB7-DD33-4574-924E-3D8DCFA751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98" stopIfTrue="1" id="{C549145C-E5CB-4A96-B6AD-5EB44901F3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97" stopIfTrue="1" id="{B8B5F458-0CB7-44FB-BAE2-60BA122463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96" stopIfTrue="1" id="{745C887E-F5AE-45C5-8AAC-12653DD082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95" stopIfTrue="1" id="{8476E827-CE77-4EFE-AAB2-5FAB199DC7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94" stopIfTrue="1" id="{84F6ABCC-3519-4DB4-B134-8B5054ABFD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93" stopIfTrue="1" id="{575AD816-EFDC-49D4-B3F4-640E793C9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92" stopIfTrue="1" id="{55759048-AFD3-4C52-AB31-ADC6CE4B31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91" stopIfTrue="1" id="{70A61A43-473D-4D42-B83A-F7B709B860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90" stopIfTrue="1" id="{BDE066BC-D690-4B28-B1BB-9ED12E9714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89" stopIfTrue="1" id="{7E51B4C2-AB9B-4420-A9C2-A31AE753DC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88" stopIfTrue="1" id="{E6DC9969-4B75-43AE-8C21-C99C89E497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87" stopIfTrue="1" id="{105291F2-47F4-4D0E-A627-B51958BE20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86" stopIfTrue="1" id="{D38093DA-AB73-4F34-887A-9F28CEBE67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85" stopIfTrue="1" id="{CF902C03-9E97-4E6B-850C-D01C53ED4E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84" stopIfTrue="1" id="{3196E0AD-76FF-4937-A07A-180B89A5CA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83" stopIfTrue="1" id="{7AA78349-CD39-4118-B5FB-13C99BC0E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82" stopIfTrue="1" id="{1B0F63A7-681F-4A42-BB66-E1D1C55BE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81" stopIfTrue="1" id="{F6E6ADA2-D305-4AC6-AA2C-F5CBBE56A4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80" stopIfTrue="1" id="{2B0DE611-C0C2-40BA-B908-755028B432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79" stopIfTrue="1" id="{CFABBD7C-D987-4EE1-BF32-C2D6B479E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78" stopIfTrue="1" id="{69360AEA-120C-4670-83FF-CCB8C1CA18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1777" stopIfTrue="1" id="{5B9EF925-AB07-439B-A64A-4E907D579A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76" stopIfTrue="1" id="{266A8B7E-1E9B-4CA5-94B4-37CB9E92A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75" stopIfTrue="1" id="{2974D695-8408-4154-9DCD-782A2F3FD2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74" stopIfTrue="1" id="{61A0C669-CF05-4BF3-8553-513C8EA68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73" stopIfTrue="1" id="{028BE92D-66CE-42B0-824C-11B971129A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72" stopIfTrue="1" id="{2F9F8704-7D2C-4387-8BD5-F5A2C177CC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71" stopIfTrue="1" id="{E5D2E9EC-9136-40D9-A860-23091E3754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70" stopIfTrue="1" id="{18D35C74-9718-46C2-92E2-A993090A57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9" stopIfTrue="1" id="{E363D057-26DD-4421-8AA2-391195478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8" stopIfTrue="1" id="{B5A97490-E397-464D-84D5-C86FC2EB3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7" stopIfTrue="1" id="{A398F540-6685-4D4C-A9AF-290BF4197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6" stopIfTrue="1" id="{1AD0B3A4-0CCB-4EBC-9451-CD113CCE3B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5" stopIfTrue="1" id="{B86BB6C1-49D8-4287-B431-700D86F6E2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4" stopIfTrue="1" id="{899A299F-A1C2-44CC-A38E-7A9A9A0782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3" stopIfTrue="1" id="{48F1DA25-94AD-4351-9A35-84981E41C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2" stopIfTrue="1" id="{0A71F40D-EE0F-4479-A3A2-6D3FB7EC3D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1" stopIfTrue="1" id="{8AD25183-88B1-4C5D-8439-5D632C6297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0" stopIfTrue="1" id="{E40C8C6B-32B2-4853-9C17-6572598CB7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9" stopIfTrue="1" id="{3F27EFCD-5A9B-47D1-AE19-55BBE29DD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8" stopIfTrue="1" id="{00048292-6ECD-4741-A068-C6711E5E3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7" stopIfTrue="1" id="{05A6347B-F8FE-43A9-8B6D-AE74481F36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6" stopIfTrue="1" id="{67EC0DDB-F3B1-4BC1-B4A2-97D537304E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5" stopIfTrue="1" id="{D2AFD25F-CF5E-459C-A43E-3DE04695BA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4" stopIfTrue="1" id="{762D3C91-6B56-439B-A5EA-C48C4227F3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3" stopIfTrue="1" id="{CED5AFCE-3DFB-4E32-9DA0-7140E7061B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2" stopIfTrue="1" id="{146459CE-D012-4398-8FD3-E8897EA77C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1" stopIfTrue="1" id="{029A5ED7-A20C-4935-9626-7371ABFED8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0" stopIfTrue="1" id="{CE4A007F-8109-410E-8225-F83817FA2C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9" stopIfTrue="1" id="{232B6A49-94AA-444E-952A-5A809B75E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8" stopIfTrue="1" id="{62A7798D-93BB-4CFF-8BDD-351E2EACF7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7" stopIfTrue="1" id="{C9176B35-4019-4D9F-ADCA-4F21BA62D5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6" stopIfTrue="1" id="{2B08654F-F5BB-41C3-97BC-DE096029E4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5" stopIfTrue="1" id="{E8BF5994-32C2-415D-AE9F-7BED3854A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4" stopIfTrue="1" id="{68BA4F52-AC21-43AA-A166-79FF7FE5B3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3" stopIfTrue="1" id="{AB50F415-0151-4B50-9B87-6FA0C92D63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2" stopIfTrue="1" id="{657C0380-47F3-408C-A359-3768A1A783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1" stopIfTrue="1" id="{E83CF1E1-1DC0-4B1B-8185-597800252D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0" stopIfTrue="1" id="{42AC7D38-7F4C-4CCD-94B6-6532D143E1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9" stopIfTrue="1" id="{5596A493-F45B-45D9-A9D3-CEC39987BB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8" stopIfTrue="1" id="{AB686158-D457-4DEC-A3EC-554F54C50C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7" stopIfTrue="1" id="{D174DA61-3A7F-4D19-AACB-90B0DAF0F9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6" stopIfTrue="1" id="{161E04B9-FE8C-4FC1-97FA-F40A3D605C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5" stopIfTrue="1" id="{DF5B41C6-4C47-4E17-9FCA-57076360AE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4" stopIfTrue="1" id="{7E8EB947-B60C-4C96-9147-17E1C23E4C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3" stopIfTrue="1" id="{C434DBDB-6B18-47C0-A32F-C373631DB1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2" stopIfTrue="1" id="{7B36A761-6E97-4608-88E4-3CDB8F32C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1" stopIfTrue="1" id="{E7A93D54-9B27-43C0-A609-85D742434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0" stopIfTrue="1" id="{0F415111-BA45-4E2E-AD35-349DB3F8DD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9" stopIfTrue="1" id="{4BC58AFF-58A0-43DC-9928-ABFD7A9B34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8" stopIfTrue="1" id="{73B65048-A36A-421B-8A8E-55FEC2E5E5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7" stopIfTrue="1" id="{5001BCB8-67BF-4E28-B5A8-A90A834EB9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6" stopIfTrue="1" id="{0518554D-8E3D-45B4-B22B-00D9CE2D84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5" stopIfTrue="1" id="{DC896688-91BC-4219-BB3A-BB55430EB1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4" stopIfTrue="1" id="{12F35933-7136-4DD9-AFBD-69EDA8E903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3" stopIfTrue="1" id="{09766177-A09C-47DC-B52E-560CCB1D88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2" stopIfTrue="1" id="{A0F63B8A-D98F-40C5-918D-F38693CA64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1" stopIfTrue="1" id="{198B4293-9044-459C-A6F2-66CA4A11D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0" stopIfTrue="1" id="{92EA12E4-E57B-4515-8D64-3E306A7DCF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9" stopIfTrue="1" id="{44CD63B1-76BF-4F46-83C8-12A55E5BE8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8" stopIfTrue="1" id="{61C17AF7-0139-4C2F-A690-532EC9DB5B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7" stopIfTrue="1" id="{CEF92A77-3446-4AAC-BECE-43914473B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6" stopIfTrue="1" id="{07C9DCF6-4B41-4BC3-96AD-052645C471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5" stopIfTrue="1" id="{E4E3F4A9-1763-4B57-B3E9-977F57634D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4" stopIfTrue="1" id="{C928D88C-6D52-4647-86E1-8614CAC3B8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3" stopIfTrue="1" id="{6A0BD6AB-D6CE-4FFB-AE47-66F8E084D9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2" stopIfTrue="1" id="{74045DF3-B2D0-4F7B-8CEB-45350267FB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1" stopIfTrue="1" id="{5E1BE637-30D0-434C-A7ED-0AD8E983BA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0" stopIfTrue="1" id="{256EAA6C-84F5-4958-A04F-0B073A0B47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9" stopIfTrue="1" id="{0E9E75FE-B2EA-4BF7-A145-1BFECB6F9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8" stopIfTrue="1" id="{7058F17C-4416-47DF-B555-644145D9A1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7" stopIfTrue="1" id="{ACFE801E-49EE-4BF6-ACB9-5BCE228FF2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6" stopIfTrue="1" id="{288779F4-37AE-4554-8F74-9EA400C7B6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5" stopIfTrue="1" id="{61F2B0A6-77D7-4303-9697-9CF8C778E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4" stopIfTrue="1" id="{AF07AACF-9516-49B4-87D6-0644D0F040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3" stopIfTrue="1" id="{8D9CFF3C-5337-4FCE-B1F2-D86B097695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2" stopIfTrue="1" id="{56085D9B-0BAB-4102-AFB9-9AA3F0831B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1" stopIfTrue="1" id="{E63FC42E-1EDA-4E70-92D0-F23FC4BCD9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0" stopIfTrue="1" id="{71AF7E6B-11BA-4547-8868-71D4759214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9" stopIfTrue="1" id="{0E4EA9BE-5E73-4151-B43F-D654B334FA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8" stopIfTrue="1" id="{E0927CE5-4612-4663-B58F-A17A646DE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7" stopIfTrue="1" id="{6372E9FB-9EA0-408C-ABBB-5347C0B746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6" stopIfTrue="1" id="{E30CBF11-96DE-4286-AFF5-96699B628D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5" stopIfTrue="1" id="{2A0A2470-556D-4FA1-963D-AC8EA97BF9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4" stopIfTrue="1" id="{CDE39112-EDC3-41FB-97E6-49B124A34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3" stopIfTrue="1" id="{8A9F9E8E-F7C9-4556-BFCD-BB06262EE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2" stopIfTrue="1" id="{FFA5D008-3FF3-4579-821E-FD72FA612A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1" stopIfTrue="1" id="{43FEED00-BF3E-4BAE-A301-23B1294818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0" stopIfTrue="1" id="{2079AD6A-70DD-44E5-BFCD-E8FBB596A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9" stopIfTrue="1" id="{EF594563-7A73-4539-9263-3DDFF1C813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8" stopIfTrue="1" id="{A0ABD4F8-101B-457F-9151-DF2263168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7" stopIfTrue="1" id="{3F2E209B-6250-437D-8FEF-FC837E79EB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6" stopIfTrue="1" id="{39B18155-628E-4737-9480-D2BAFED6C5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5" stopIfTrue="1" id="{DCD561AB-190A-4306-BAAC-8C5D1774B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4" stopIfTrue="1" id="{3FA7A71C-F36C-4709-A167-7C68110E75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3" stopIfTrue="1" id="{634FA135-410D-4F74-9A10-B9C847022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2" stopIfTrue="1" id="{E86528A4-1A8A-46B8-9A2B-8C794493B5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1" stopIfTrue="1" id="{B0ECD841-5BD9-4F45-AAEB-6B2F90F79A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0" stopIfTrue="1" id="{D5BD50A0-6DDC-4665-9425-5B840C60AD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9" stopIfTrue="1" id="{EE5FBA74-5083-48D6-BB48-737E1CFF43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8" stopIfTrue="1" id="{CC3C4694-DACF-4238-9204-D94594E137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7" stopIfTrue="1" id="{370F1BC1-D148-49A5-B95E-6D5E0BC2B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6" stopIfTrue="1" id="{8293AC54-1569-4B54-9B7E-005B99C212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5" stopIfTrue="1" id="{2E78594F-CEE3-42A8-A32F-409DC4D042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4" stopIfTrue="1" id="{84564FFF-CB6E-4443-8902-F2F9230400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3" stopIfTrue="1" id="{63267F3F-63FA-445F-8732-125FE9B452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2" stopIfTrue="1" id="{2002086C-6BCC-4600-87C5-D17DF7143F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1" stopIfTrue="1" id="{A548F1C6-67F9-48E5-A1EC-1C252E3FE3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0" stopIfTrue="1" id="{2273C440-C353-49FA-A3A3-CDE9C93DB1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9" stopIfTrue="1" id="{97B1FFD1-7A02-4DAF-8282-C760D5D024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8" stopIfTrue="1" id="{B56F4E90-3DE4-4C79-A45A-0C242D0D8E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7" stopIfTrue="1" id="{F9439671-D5E9-40D5-850B-53CD45EDF5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6" stopIfTrue="1" id="{53BC9AD9-B8A3-4790-BE0C-EFBC4F085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5" stopIfTrue="1" id="{75C94644-6BF5-4361-85DB-3BA45D6FE1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4" stopIfTrue="1" id="{602B04C6-F1F0-4254-A9B6-873BE5E60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3" stopIfTrue="1" id="{59D5DCED-141D-4D81-8263-7D7C863D0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2" stopIfTrue="1" id="{AF0CAB29-AF03-4094-ACE8-9D2A49C15E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1" stopIfTrue="1" id="{8C361141-82D8-4883-A968-27048B208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0" stopIfTrue="1" id="{21BF86B8-3033-4851-BC1C-FBE5D64431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9" stopIfTrue="1" id="{16522CEB-0DD6-470A-840B-CD3049FF72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8" stopIfTrue="1" id="{A2A6B1E5-9192-4C47-A4C6-2CB3523BD4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7" stopIfTrue="1" id="{41577D54-4AA6-425A-90DA-99A10FF568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6" stopIfTrue="1" id="{6A32FF06-74D7-4C1D-907B-CED758A82F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5" stopIfTrue="1" id="{D0008B37-A814-47B7-9952-2B78093CE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4" stopIfTrue="1" id="{4DEFA63D-7D37-409A-A04F-76E4A7EB64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3" stopIfTrue="1" id="{62C8A77C-3033-4060-AFE9-E1195A880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2" stopIfTrue="1" id="{04DA1250-4385-4AB1-83A8-F9B34A3A42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1" stopIfTrue="1" id="{3133941D-F780-42E3-B0E2-F1A1037933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0" stopIfTrue="1" id="{267C25C4-4879-458E-A9ED-13075B753E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9" stopIfTrue="1" id="{96D07FE7-BDEC-4A27-9D9E-6CB9F5010F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8" stopIfTrue="1" id="{00193386-F287-4406-A793-D1D9AF64D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7" stopIfTrue="1" id="{1A27C8FC-2B2D-4A69-A682-2A37E5EFB3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6" stopIfTrue="1" id="{8A890D19-CD77-4617-9846-5CCAE67543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5" stopIfTrue="1" id="{AFD349CE-8312-4B87-9DA2-0CA848549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4" stopIfTrue="1" id="{B2F1B6B1-6D86-4A97-9856-65AA05D00E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3" stopIfTrue="1" id="{82D694DF-2D46-46C9-AC62-EDF3DDB16B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2" stopIfTrue="1" id="{7999FBB7-0F7B-495D-8B6E-57B0F563C0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1" stopIfTrue="1" id="{0D43DE18-8532-4707-B8F7-54EC4578F5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0" stopIfTrue="1" id="{A0B3F96D-5A7D-40EE-9413-13DCFD3AE5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9" stopIfTrue="1" id="{1B2CAD57-5C74-4FC0-8B00-E6D96A6069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8" stopIfTrue="1" id="{6AF29CE0-5249-4FD3-BC07-14C12A836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7" stopIfTrue="1" id="{24240D75-5D2A-4522-856F-C52A368425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6" stopIfTrue="1" id="{7AB50BAC-73EB-43A2-ABA9-CFE98D9472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5" stopIfTrue="1" id="{E56F2023-C438-4B06-9516-48374F9C3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4" stopIfTrue="1" id="{4DB5554A-9CE4-4A8C-B62D-6C255E8ACA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3" stopIfTrue="1" id="{F05FFB3E-7563-4EA2-888B-D67D58A704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2" stopIfTrue="1" id="{472FF5A5-0C50-45FC-A15F-91D604BB03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1" stopIfTrue="1" id="{F4A19F79-D13C-42E7-AA48-F70D225660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0" stopIfTrue="1" id="{832927D4-F5F4-4524-A6CE-EFA5447E73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9" stopIfTrue="1" id="{57EDBC11-82B8-4D0A-80B1-610F0E0958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8" stopIfTrue="1" id="{86B53878-D7B9-44DC-8938-6392A5D876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7" stopIfTrue="1" id="{93BD8EBF-6F4F-4B8C-A1F3-06C8EDA508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6" stopIfTrue="1" id="{A5FF01FD-6301-4E54-8D77-CF808D88F9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5" stopIfTrue="1" id="{9E09B78E-615E-4376-8D43-FD28851064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4" stopIfTrue="1" id="{C0ADB5AF-0D2E-4379-817C-AA69C998AF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3" stopIfTrue="1" id="{C8F11CB0-C813-40F8-8EBE-4EF8B50F35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2" stopIfTrue="1" id="{5F5AC78B-E933-49EE-B285-A00E520C01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1" stopIfTrue="1" id="{61F01D75-0D88-4613-B374-485C322C1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0" stopIfTrue="1" id="{942F736F-5FB2-49BC-A337-99B49CD171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9" stopIfTrue="1" id="{7C5B537C-1D21-4323-9B32-7D587D672F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8" stopIfTrue="1" id="{8973BD08-1533-4984-BA9F-ECB9DB199A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7" stopIfTrue="1" id="{70CCF9F9-DA13-4499-8F54-729938D23C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6" stopIfTrue="1" id="{4955C7FC-2A80-4E25-8281-6865404324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5" stopIfTrue="1" id="{D0AEA086-CABB-489D-9630-1F7679BB9C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4" stopIfTrue="1" id="{9864C602-33BB-405B-8565-EB8E13FC47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3" stopIfTrue="1" id="{CD9B1D7C-9E44-4332-9F69-E7749B89C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2" stopIfTrue="1" id="{0663FBB6-08B2-44EF-87B3-9FB73897CF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1" stopIfTrue="1" id="{79F26C23-AA00-4EBC-9E2C-C6CEA07E94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0" stopIfTrue="1" id="{43E83F6F-4B8B-450F-AD00-7280720B7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9" stopIfTrue="1" id="{076324A5-5591-4DA0-8958-976F75FCD0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8" stopIfTrue="1" id="{71015E33-A028-4BDA-9804-B20F1CC2E3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7" stopIfTrue="1" id="{BDA0A09D-F3DB-4D0F-A542-FDB63160AD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6" stopIfTrue="1" id="{E6DE6F6B-B0E6-41E4-9F74-E0AD60FA50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5" stopIfTrue="1" id="{3EA831CC-35DD-47E7-87C9-2B045F4B9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4" stopIfTrue="1" id="{52DA7EC0-A795-40BD-B1BE-5B6A71A908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3" stopIfTrue="1" id="{E11BC952-DD8D-4CF6-8263-2C0898301E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2" stopIfTrue="1" id="{6F5C89AF-51CD-4122-8782-7FABCD639F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1" stopIfTrue="1" id="{EB23427C-A7B8-4104-9333-1D9FCEF034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00" stopIfTrue="1" id="{E68438BD-24B9-42CD-85BE-34F5B3B48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9" stopIfTrue="1" id="{2416C3BE-B4EC-4F6C-B17E-D5E20C6C38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8" stopIfTrue="1" id="{0B259850-A6F9-4066-AE0D-D1BCB90513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7" stopIfTrue="1" id="{7D593741-A1B0-437E-B527-C3F0A96011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6" stopIfTrue="1" id="{0C428267-B86B-4989-9DA1-93B5D9256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5" stopIfTrue="1" id="{169AC817-48C4-4813-B3F1-150956F878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4" stopIfTrue="1" id="{8F52BCA4-77E3-458E-9E35-0E51D25704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3" stopIfTrue="1" id="{65715B5C-5373-451F-BB9B-5C8BA5AE71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2" stopIfTrue="1" id="{3C985F34-28B3-4EC7-AC13-086F727CB1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1" stopIfTrue="1" id="{3C42A536-1A72-4F7B-B779-6D27BA3BAC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0" stopIfTrue="1" id="{B9E0B976-6619-45F9-90A8-A25217DD71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9" stopIfTrue="1" id="{27A10343-BC31-44F2-8EAB-05A80D9295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8" stopIfTrue="1" id="{E398D6EC-A1C0-44CE-B551-7C53CF5E91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7" stopIfTrue="1" id="{5035AAA9-9757-4A21-885A-A3140A4825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6" stopIfTrue="1" id="{D642F3BA-82BD-4F19-B2F3-BFD8A820B7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5" stopIfTrue="1" id="{7BF74E14-878F-47DA-88B5-217D4555CC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4" stopIfTrue="1" id="{A5D86194-08B4-4DF2-9CC3-A05C80A141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3" stopIfTrue="1" id="{575419CC-43EB-4838-9244-4D7966C659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2" stopIfTrue="1" id="{7B6B8E81-B74F-4DB4-8C55-AD106BDD8E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1" stopIfTrue="1" id="{8BAA0389-5F44-46BE-9249-C62BCBD7C0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0" stopIfTrue="1" id="{2508C4AB-AF3D-471D-B3D7-3F9CE4D8A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9" stopIfTrue="1" id="{851A2A68-C9E8-4979-BC1C-E57102AC96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8" stopIfTrue="1" id="{16D7F278-769D-4279-9372-839F78314E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7" stopIfTrue="1" id="{33142A39-AB79-411E-B2D3-671248B567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6" stopIfTrue="1" id="{E444CA1B-5204-4E17-BD84-227C0D4233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5" stopIfTrue="1" id="{1F483772-4A42-4D1E-9067-64E2D22EB2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4" stopIfTrue="1" id="{8A73ADAF-552A-41F5-91FE-8A7C8F84F7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3" stopIfTrue="1" id="{3AB8764D-3243-4B78-BB91-D3D0C1579F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2" stopIfTrue="1" id="{34377BC9-A5FF-4A6E-B76B-26B8CED9D8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1" stopIfTrue="1" id="{C24CAB1D-DBF4-4798-83DD-B3B1A1D00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0" stopIfTrue="1" id="{EBF2CBDE-8F01-4E48-812B-45F3C84E84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9" stopIfTrue="1" id="{7D826844-ABBC-49E4-A590-A719BF0233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8" stopIfTrue="1" id="{1E8B8219-2366-462B-A609-D120BDDFB3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7" stopIfTrue="1" id="{1EA31E84-B617-4E09-956E-41CA2E5F2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6" stopIfTrue="1" id="{D23329E1-D70D-4C30-8976-D6C2079BB2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5" stopIfTrue="1" id="{844DE0F4-A682-4FFF-8731-B43055DB7F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4" stopIfTrue="1" id="{D1701FD1-4264-404E-A767-E7E5E164C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3" stopIfTrue="1" id="{3938D3EF-8FA8-4EEA-9C38-7BD03E74C2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2" stopIfTrue="1" id="{373E62CA-65A1-454D-89F6-79D2925B1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1" stopIfTrue="1" id="{828478DE-C041-4B46-96B4-41D8C7EA42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0" stopIfTrue="1" id="{54C223E2-652F-4894-B2BF-D85DEF2253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9" stopIfTrue="1" id="{F2DBAE95-27E9-42F4-89EC-C4DCB69307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8" stopIfTrue="1" id="{DB26803B-7929-44D4-AD07-1EAB665A15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7" stopIfTrue="1" id="{2A2B867B-11BB-4F38-9235-0EB5F18EC7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6" stopIfTrue="1" id="{8014C5C4-C738-4913-92C3-0375DAE415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5" stopIfTrue="1" id="{E1BFA794-DCFC-40F7-91F4-CFE998E5BE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4" stopIfTrue="1" id="{8A25566D-E336-44B0-841D-D56A23D67B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3" stopIfTrue="1" id="{97D59EB4-C68C-4862-9CA8-27F4BDA3F3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2" stopIfTrue="1" id="{EC95C10A-294D-4A38-9545-7CFF709921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1" stopIfTrue="1" id="{E5E5230A-BF03-4D51-8FB6-66D52CD9C9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0" stopIfTrue="1" id="{30CB72FE-6BD4-4A08-BE1F-0CB47C9A26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9" stopIfTrue="1" id="{F9D23E59-45EF-4154-AF8B-00C9D3200F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8" stopIfTrue="1" id="{F74DF3EF-38BA-4D51-8857-48910CFB4A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7" stopIfTrue="1" id="{30B8A4F9-F6DF-43C0-9E15-137A49A2FD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6" stopIfTrue="1" id="{AF526D05-77D7-4237-95D6-C3B72F71BC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5" stopIfTrue="1" id="{EC741F2E-C984-4198-B31E-6A0CA84FA0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4" stopIfTrue="1" id="{666C3893-D581-4691-9BCD-4BE700048F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3" stopIfTrue="1" id="{9D977CED-94FA-4A0D-ABF2-0E2D0687B7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2" stopIfTrue="1" id="{F7A917ED-6934-4D70-8A28-1AE1F1D7A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1" stopIfTrue="1" id="{83120294-8C70-4FE3-8324-FC7AB8DCCE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0" stopIfTrue="1" id="{72E5F490-986E-49C2-BCB0-2C8CD7FEBC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9" stopIfTrue="1" id="{6E29BD27-F427-405E-9C36-2FEA6012F6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8" stopIfTrue="1" id="{38F82378-2743-4DB4-9C0D-3CFD2F8BF9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7" stopIfTrue="1" id="{E4EE823D-1D28-4F6B-93CB-04A165C717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6" stopIfTrue="1" id="{F70B4EDF-04E4-4CF3-8552-53DC993D89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5" stopIfTrue="1" id="{D7BE999C-1F85-41E2-91C6-DC5F80BC7C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4" stopIfTrue="1" id="{A3B73EFA-F8FC-4E44-A7EF-D1AF229887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3" stopIfTrue="1" id="{BCD8F823-199D-44C6-B3CD-7BC95ADAD0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2" stopIfTrue="1" id="{451431A3-D634-43F3-8D73-5D8FB3E169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1" stopIfTrue="1" id="{D3443A34-DDCE-43E6-BA50-FA69BFC85A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0" stopIfTrue="1" id="{C208636F-034A-436E-AF75-F253B67492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9" stopIfTrue="1" id="{07E2AFF0-C312-4EA0-8B10-72E2FD46B5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8" stopIfTrue="1" id="{9C4E7DF0-3F20-468A-AF10-F88A186D58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7" stopIfTrue="1" id="{FAE719AD-4D4D-4F1B-99C2-7D8ACC568E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6" stopIfTrue="1" id="{178BC901-5B3D-4F33-9305-CDF6C4678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5" stopIfTrue="1" id="{F9F04846-C319-48D0-B8D9-E38669935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4" stopIfTrue="1" id="{6A5BD3C1-EE9C-4806-A331-37611D059F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3" stopIfTrue="1" id="{3C78189F-DA75-4E5C-AF29-D3D5BA8F7D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2" stopIfTrue="1" id="{9A96681F-AC79-4B4A-B917-89D4DA4ECE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1" stopIfTrue="1" id="{73EBA067-4718-4B47-9F44-97F039E129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0" stopIfTrue="1" id="{EED4610D-FD4E-486E-8C8D-37C00D58E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9" stopIfTrue="1" id="{99C16D2C-0F4A-4CA3-BDB7-556CC48B9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8" stopIfTrue="1" id="{3C00E966-CB20-46D1-B9A5-EAE4CB9617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7" stopIfTrue="1" id="{C76928D6-AD6B-4E42-8C91-FDAC9B33F8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6" stopIfTrue="1" id="{F4A835FF-34A0-4DCF-BEEF-318C92029B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5" stopIfTrue="1" id="{6E8CF95C-5396-4FF3-8E29-F8890C5FBF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4" stopIfTrue="1" id="{F1DD9CC5-1F9F-4858-8B27-6F72C9147A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3" stopIfTrue="1" id="{EFE23CCD-F59F-43DE-8711-284AF4B67C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2" stopIfTrue="1" id="{0164B758-9C24-49BD-B530-9EC1DFB716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1" stopIfTrue="1" id="{F9DFC23F-DF32-4063-90E5-CCCFDAF74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0" stopIfTrue="1" id="{D833CA6B-3F0E-442D-8BC7-409C81972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9" stopIfTrue="1" id="{04E6E0A8-B7C6-4725-B2D1-7064850CF7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8" stopIfTrue="1" id="{279E3985-D237-4D3E-9909-2063BA68F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7" stopIfTrue="1" id="{AB76AFA8-AD43-413E-82C7-B06ECE4612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6" stopIfTrue="1" id="{018D31FB-3DCA-4B97-B889-185C43B73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5" stopIfTrue="1" id="{B8393551-E06A-484A-B302-BC5191D1C4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4" stopIfTrue="1" id="{EF2DE56A-F555-49A3-80FE-5B26B8EDA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3" stopIfTrue="1" id="{853327A3-E349-4F9B-A348-4C95538DD9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2" stopIfTrue="1" id="{82562027-FB2B-48C8-81F0-7B7C29A9CD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1" stopIfTrue="1" id="{724171A9-DAA3-427A-867E-709E47E193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0" stopIfTrue="1" id="{D206B07E-A006-423E-AC31-74DB6D5E67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9" stopIfTrue="1" id="{A29B1E99-52F1-4548-91CB-3CD2481E4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8" stopIfTrue="1" id="{96D72129-EC38-471A-8DBE-BC579C8488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7" stopIfTrue="1" id="{777DC2D1-465B-40C7-8BA0-12A3247DF7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6" stopIfTrue="1" id="{14956D3A-020A-4073-893C-5B88573AD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5" stopIfTrue="1" id="{28A4DFBD-173B-4DE1-BE48-73D619FE84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4" stopIfTrue="1" id="{F5A9E598-A768-43CC-A6A5-92D3BC9F97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3" stopIfTrue="1" id="{F92689E0-F699-4672-B5D4-92B0269ECD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2" stopIfTrue="1" id="{E68A71C4-80AC-4E77-BE40-F0395EFF02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1" stopIfTrue="1" id="{9099AC85-E95D-4EE3-9D11-27DFBF1B85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0" stopIfTrue="1" id="{271D24B8-947C-432A-B5F0-D090BBABE4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9" stopIfTrue="1" id="{8C3A680B-BBDD-4227-8487-C628B72E34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8" stopIfTrue="1" id="{272EF59F-D754-4039-93CB-16B4C08AAA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7" stopIfTrue="1" id="{240F483D-35C6-4425-A417-ED216468A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6" stopIfTrue="1" id="{96D842E9-B74D-4452-813F-C563AD6BE3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5" stopIfTrue="1" id="{411515FA-645E-4300-BFB3-7DF385A76C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4" stopIfTrue="1" id="{B8715A47-D2FB-4DBC-A8CC-BB414A12A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3" stopIfTrue="1" id="{B995EC9A-D228-41B3-A236-2F2FE7C950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2" stopIfTrue="1" id="{B368C4CE-B1A2-4A4E-BB2A-6848852914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1" stopIfTrue="1" id="{D530E2C4-5D04-429D-9D48-C93882A7B2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0" stopIfTrue="1" id="{07F7F912-D3E3-4D48-A3A2-1AD4EA7B4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9" stopIfTrue="1" id="{1902EFC2-EB34-41C9-8889-C5CD6150ED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8" stopIfTrue="1" id="{0D90A29C-0DE6-4125-A389-5C0E9431D9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7" stopIfTrue="1" id="{4F0DAFAC-E589-48C3-A93C-F2C7F9604E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6" stopIfTrue="1" id="{FEE23C83-C25D-462E-A134-7EF169F848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5" stopIfTrue="1" id="{AD9E158B-18B3-4A67-A354-A4CD5A6FF2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4" stopIfTrue="1" id="{1AD9FAA7-2E58-4BC1-BF4E-3BD11B6D10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3" stopIfTrue="1" id="{EFE277C0-F132-465B-8176-04CF48C880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2" stopIfTrue="1" id="{587A5829-7973-4F72-ADC2-640AACEAA3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1" stopIfTrue="1" id="{BF4C4992-69CC-4C8B-948A-9A266F909B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0" stopIfTrue="1" id="{935BC9A3-C047-4696-932B-47C11F45AF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9" stopIfTrue="1" id="{9D0C4BD0-5641-46DA-8B85-9951CF8052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8" stopIfTrue="1" id="{1FD4022D-4EB6-4DD0-9E9E-4B2FCF3180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7" stopIfTrue="1" id="{961B49F0-0166-4C07-9B7E-6D4C805F6F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6" stopIfTrue="1" id="{05338524-ED64-43E5-B818-0273C50FFA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5" stopIfTrue="1" id="{00CCD932-1D51-4F5D-BBC8-BD89672359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4" stopIfTrue="1" id="{D5F4478D-B245-492A-AB73-539FC55E4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3" stopIfTrue="1" id="{17FBDCB6-94B1-4A1F-96D1-CA438ABB09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2" stopIfTrue="1" id="{DBE5CEE6-486F-4C12-A5DD-7B68B3187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1" stopIfTrue="1" id="{28647455-DBB9-4D14-807B-CDBFD1EE1E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0" stopIfTrue="1" id="{4E77D7C7-E91F-472A-B377-47621A7EA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9" stopIfTrue="1" id="{F3EDED48-3AEA-41FC-8879-CE84D375B9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8" stopIfTrue="1" id="{8E88B2E7-27AD-41FD-AC22-9DBE497D8C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7" stopIfTrue="1" id="{68C2C1C2-86F4-4C7D-85C7-19A07EC91F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6" stopIfTrue="1" id="{30367ACA-CDB3-40BF-8846-8EA507D9EB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5" stopIfTrue="1" id="{3D2D4DDE-CE5D-4F40-91CA-D729B0CAD1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4" stopIfTrue="1" id="{D4080962-13AB-4FB8-A355-F3FB0F55D9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3" stopIfTrue="1" id="{47CF1316-A6D3-4ADC-A93E-D20ED8AA1B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2" stopIfTrue="1" id="{2169FEE7-736E-4E53-9580-91BBA810F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1" stopIfTrue="1" id="{31045230-D75F-4D9D-BA54-B184D09BE1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0" stopIfTrue="1" id="{7AEB30A2-E446-4B76-91D2-B1598138C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9" stopIfTrue="1" id="{D07A089A-3F17-4A32-AC0F-02A864386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8" stopIfTrue="1" id="{A6A17788-441C-42AE-9B84-E5A2D9F27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7" stopIfTrue="1" id="{7A1037EB-69E3-4F96-BDA6-9A78EA682A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6" stopIfTrue="1" id="{1CB75C7F-D13C-47CA-BF22-E066508559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5" stopIfTrue="1" id="{A1184F87-1504-4EC3-88D8-46C8E564F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4" stopIfTrue="1" id="{891948D0-ED07-4539-8FD8-BC67DCFAB6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3" stopIfTrue="1" id="{3DB046C8-1AB5-41D5-8DA9-8244311F45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2" stopIfTrue="1" id="{7B109B3D-921A-4608-ADB1-51743B4D4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1" stopIfTrue="1" id="{F6AA1870-79EE-431C-BB67-EE6D82315C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0" stopIfTrue="1" id="{A05D2B66-8254-4E7E-81E3-CAD900F3D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9" stopIfTrue="1" id="{4AC18AC4-A4CE-43FC-8B65-65F00FCD3D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8" stopIfTrue="1" id="{E3AEB2DD-E250-4262-B850-20760FB553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7" stopIfTrue="1" id="{83F062DB-8AF6-4ACE-BEC2-CF24DD11E1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6" stopIfTrue="1" id="{3D7243A6-89C6-422C-93CF-D9A91AE89A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5" stopIfTrue="1" id="{44F2BEEB-2C43-4AF8-8D8C-9B32FD533A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4" stopIfTrue="1" id="{C24A8EFA-2AAC-4E30-88FE-CE61C44F07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3" stopIfTrue="1" id="{C273809B-1E11-45AD-B743-C6BB988A3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2" stopIfTrue="1" id="{4D13C499-D868-4BE9-97D7-5849E982C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1" stopIfTrue="1" id="{E11439E5-DC59-487B-928E-295C6BD981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0" stopIfTrue="1" id="{097EE6D6-AA3B-4F39-B39E-CFA28105BB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9" stopIfTrue="1" id="{EE11AE33-726D-4E36-8AEB-D0C9690E6B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8" stopIfTrue="1" id="{26954447-D242-44BC-9516-E7905C3A6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7" stopIfTrue="1" id="{7D8D1AF5-3335-4F0F-9734-48A6DCE61D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6" stopIfTrue="1" id="{E7993C5D-1B35-4B49-8AE0-0F717C417B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5" stopIfTrue="1" id="{0A382996-159E-49C5-A9DB-64EA57955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24" stopIfTrue="1" id="{26A144BE-3E6C-4077-AD42-D0A67DB353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23" stopIfTrue="1" id="{D4969FA9-F203-41DA-A2B5-B1EB543F1A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22" stopIfTrue="1" id="{35472246-C3BE-4555-8360-C75BD3DB29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21" stopIfTrue="1" id="{44F90B44-6678-425B-B110-5FC55E0AA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20" stopIfTrue="1" id="{70304BD0-AA40-4487-9B94-426EE2953D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9" stopIfTrue="1" id="{E5FAA4A1-243D-488D-B429-BACCB439D6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8" stopIfTrue="1" id="{64DD8F34-4772-46C2-8D0A-688AAA00D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7" stopIfTrue="1" id="{9AED6C4F-1B06-4A5C-8B70-E1FC2FA803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6" stopIfTrue="1" id="{76845F17-9B27-4FA9-BE53-BD2FE63D1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5" stopIfTrue="1" id="{2F875AB2-14FC-477F-BE57-8369685433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4" stopIfTrue="1" id="{4870CA78-CB29-438D-BD3E-A04DC31FB4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3" stopIfTrue="1" id="{A6C37C8F-56B1-44EB-B393-811A05EB3A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2" stopIfTrue="1" id="{5F23ABB4-0866-4065-AE82-AFC8114C51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1" stopIfTrue="1" id="{28BDCF4A-7E32-4667-9793-E230DAE446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0" stopIfTrue="1" id="{AE0E9168-874A-435B-8B18-3405DB410D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9" stopIfTrue="1" id="{A90FC12D-7A17-4832-903E-5ACB29369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8" stopIfTrue="1" id="{CEA89F91-62F2-4B9E-8679-1A13D6AD75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7" stopIfTrue="1" id="{436F1835-C775-4E0B-B1C7-2CB4A99E3E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6" stopIfTrue="1" id="{54199E88-AD1A-4EFF-94BD-0988ED8AFA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5" stopIfTrue="1" id="{66CBDBD7-1481-4617-A67A-6A5A671759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4" stopIfTrue="1" id="{DB629132-BA30-405E-A7E4-B9EA7E4072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3" stopIfTrue="1" id="{28AD9946-D089-4003-9BB9-F64E156E16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2" stopIfTrue="1" id="{32AAE225-C10C-4A7A-9CE6-8B3F9924F8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1" stopIfTrue="1" id="{7C0B74A0-51B5-4A07-A163-A938B4548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0" stopIfTrue="1" id="{369F070C-DA8E-44E4-BF2E-B32CFB4D3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9" stopIfTrue="1" id="{73C1C6FE-6E97-4FBF-9A24-77A9B2B507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8" stopIfTrue="1" id="{C2E9E18B-F04A-4C75-99D8-9025515B3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7" stopIfTrue="1" id="{89941805-D237-4C32-862B-D7FBE6D6B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6" stopIfTrue="1" id="{6CB29595-F7E0-45EB-B0BB-B6045A829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5" stopIfTrue="1" id="{3FFDF92D-37BB-454C-87C7-C780171386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4" stopIfTrue="1" id="{B91AF0DC-A2F3-4A10-89C4-83F81982ED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3" stopIfTrue="1" id="{73608D96-98F0-4857-AD8B-28EEBB617B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2" stopIfTrue="1" id="{55ABD4D9-CC13-4640-B70A-2959B60DF1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1" stopIfTrue="1" id="{E0EE3A8E-286A-4E17-83A7-9BB18F106B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0" stopIfTrue="1" id="{0AD3DEFC-36DF-4937-8938-EE8EEF916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9" stopIfTrue="1" id="{F7428254-6406-44D0-AF73-6845E1A31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8" stopIfTrue="1" id="{98BD6133-ACEA-4C29-8BB5-4A43432F2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7" stopIfTrue="1" id="{1EEFC5DE-79D4-4CEE-A055-6761707C29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6" stopIfTrue="1" id="{DB5A38F4-CE69-4CDE-896A-A3431568A2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5" stopIfTrue="1" id="{9CF8ACD3-9D05-491F-AB99-3A21450B9E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4" stopIfTrue="1" id="{03EC691B-7E91-4002-877C-21B01A4CEF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3" stopIfTrue="1" id="{EE84D6EC-FA1A-4F6B-BCF5-DC93B2D865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2" stopIfTrue="1" id="{DC0C3C87-B9B0-4D3E-895A-BFBCBB17BA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1" stopIfTrue="1" id="{89CC1D9B-ADF7-4FE4-A2BA-C3B4AFA1F7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0" stopIfTrue="1" id="{E7E8E18C-C546-4299-AD11-9C472402A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9" stopIfTrue="1" id="{F46FE42C-A56F-4AD4-874A-D6EF8A5DD2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8" stopIfTrue="1" id="{3BFC9F72-F1ED-4CAE-8635-630543BB8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7" stopIfTrue="1" id="{41D1914C-8E7B-4B68-9FA3-CEAA297329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6" stopIfTrue="1" id="{01E6F3FF-C36F-4C08-AB69-9032E5E9A0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5" stopIfTrue="1" id="{F028F843-1796-48FF-BCA6-435D50AD1E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4" stopIfTrue="1" id="{BDF405DB-C7B7-4651-9142-E50C8D5F6C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3" stopIfTrue="1" id="{C93EC589-BC85-49C2-892E-EF0EEF36A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2" stopIfTrue="1" id="{C942A949-2427-4172-9DE2-EE1515B002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1" stopIfTrue="1" id="{5DECA3B0-2B3B-45F4-879C-3F57376440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0" stopIfTrue="1" id="{6E34123F-7527-4C82-AE59-0370BD9F35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9" stopIfTrue="1" id="{4C1CFE30-4A7B-4942-A3CD-DD37F9F354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8" stopIfTrue="1" id="{CDFD5B5A-BC06-40C6-931C-3576EA5C99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7" stopIfTrue="1" id="{E077B39D-B589-43AC-AC5E-A9E58DD076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6" stopIfTrue="1" id="{25291F28-7FC4-472E-ACBD-342CB722A9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5" stopIfTrue="1" id="{6CFB1219-4C97-4CC6-BDD7-6C7DC4DD4F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4" stopIfTrue="1" id="{0DE52054-5BF3-4E5D-ABFF-1EB8899807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3" stopIfTrue="1" id="{235776ED-C4A6-48C4-9600-86D2D7A8BA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2" stopIfTrue="1" id="{ADBCB28C-6F07-4BFC-94AA-48DD7BF061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1" stopIfTrue="1" id="{6DDD0F8C-828A-4DB2-8A2D-9C35645C9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0" stopIfTrue="1" id="{7E276707-40A0-4298-A7E6-8AB1B30092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9" stopIfTrue="1" id="{C6C7A84A-E8C6-4E61-83CD-250BB2BD5E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8" stopIfTrue="1" id="{764674D4-662E-4519-B90A-96B30FD95C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7" stopIfTrue="1" id="{E7141E41-4BB8-4E05-A609-82465D6DBD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6" stopIfTrue="1" id="{142AD1DD-FBFD-4839-8961-39335C4D72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5" stopIfTrue="1" id="{0A62C268-8AAF-4B53-9154-FD6573D002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4" stopIfTrue="1" id="{738F66DB-BB6F-4DD2-8500-8A04D5E488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3" stopIfTrue="1" id="{66A949EB-0451-4959-B42B-4FCA242D42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2" stopIfTrue="1" id="{61AA6D2C-79D4-4DC1-BDAD-E0CD4E78DB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1" stopIfTrue="1" id="{C637D678-E91C-4EFE-A584-4F5563FE9D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0" stopIfTrue="1" id="{CC656C4E-1362-4931-9793-FD190CE0C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9" stopIfTrue="1" id="{1A72515F-B1D3-420D-8DB0-9F426F1BF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8" stopIfTrue="1" id="{52F8854C-74F4-44E8-B983-FA3C2A485C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7" stopIfTrue="1" id="{74A7E0D9-E8C3-4DC1-8A3E-23BD2D261C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6" stopIfTrue="1" id="{9BA20A97-8759-45D4-92D7-273C5F786C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5" stopIfTrue="1" id="{96F02AE0-1037-4FA7-A7C8-6CEE59BA02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4" stopIfTrue="1" id="{DF5AE405-BED7-42D4-9837-9ECCD8013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3" stopIfTrue="1" id="{4AB33688-2466-4B8B-B63F-12DFB45EA9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2" stopIfTrue="1" id="{1936808F-ADC7-4E15-9D5E-A39F500F99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1" stopIfTrue="1" id="{671D8F87-F350-44AD-81AC-B690C29B2E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0" stopIfTrue="1" id="{A20BEC43-14D5-4D69-9E9A-22CDF40CE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9" stopIfTrue="1" id="{B9AB73EE-62C0-4524-BE42-8DDD91376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8" stopIfTrue="1" id="{FED3D918-7FAE-4659-BC9E-33F07D983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7" stopIfTrue="1" id="{B764BA80-EA16-49BE-AF58-2CE3CA087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6" stopIfTrue="1" id="{1948C076-B946-41B4-B8DC-9D2FD0BE65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5" stopIfTrue="1" id="{CCEE527C-4FD4-4FD1-9219-A0F76420D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4" stopIfTrue="1" id="{EA4A7582-9DF1-40D0-B5DC-0C4CFDBC80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3" stopIfTrue="1" id="{DA29C86F-2780-43B2-9CE2-DA09E3FD2F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2" stopIfTrue="1" id="{71080E57-567B-4826-86AC-A9595004CC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1" stopIfTrue="1" id="{380906FA-8F8C-49C7-8C0E-F363B7BE3A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0" stopIfTrue="1" id="{DAFEDC4C-7D82-4665-95D8-3F2B755E3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9" stopIfTrue="1" id="{E3FBB3D8-F6B7-48A7-8656-3D8F94B2ED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8" stopIfTrue="1" id="{386B629E-C3DB-4E29-B7F7-350D1163A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7" stopIfTrue="1" id="{B622F9C7-DEB0-42E9-BE02-E2979FA83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6" stopIfTrue="1" id="{C99E841B-7E2D-43C0-A427-59528AE17D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5" stopIfTrue="1" id="{1D714074-4074-4BA1-833B-6118F9184C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4" stopIfTrue="1" id="{49C9E8CC-B715-4898-AB8E-66A27EA59A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3" stopIfTrue="1" id="{7C861663-E32E-455F-AFCE-818A4E2C6D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2" stopIfTrue="1" id="{C99395D4-75D3-462D-8E5F-A9C05CAC36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1" stopIfTrue="1" id="{9E28C3E6-E90F-4891-9BF2-FBB8870D9D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0" stopIfTrue="1" id="{ED7FA403-0F9A-4B27-B71E-3309930927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9" stopIfTrue="1" id="{37CF8C8B-CA27-4886-8343-4BA968789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8" stopIfTrue="1" id="{C4C4CBD1-702F-4229-8E40-86A58677BF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7" stopIfTrue="1" id="{5CD3BBF2-E07C-48A8-B5AA-66CE039E66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6" stopIfTrue="1" id="{5A296965-3B26-4330-8E1B-6BF46280C6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5" stopIfTrue="1" id="{FFDB0C45-C50D-407F-B77B-B1C6A372B8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4" stopIfTrue="1" id="{B9CCF7FD-3B3B-4FC1-8B16-11A4427406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3" stopIfTrue="1" id="{1F780BB2-9447-4F44-A2E5-BE6A363B7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2" stopIfTrue="1" id="{6A043001-3A1C-42E6-A73E-9D3C166845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1" stopIfTrue="1" id="{F98779D0-C976-49FD-A780-67F76C09B4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0" stopIfTrue="1" id="{41988789-C2A5-4EA2-A7B8-7775834EB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9" stopIfTrue="1" id="{2829BAFD-153E-49EE-89E0-99A4AE6A6D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8" stopIfTrue="1" id="{E98DD783-2059-4DF3-8072-2F041D2A4E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7" stopIfTrue="1" id="{4CFE2A10-0C92-4A04-B913-427976DF75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6" stopIfTrue="1" id="{98EF604F-4F4A-4BD9-9659-C102916AA0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5" stopIfTrue="1" id="{B2AA0AC9-4ABD-4B56-9681-2AC0D3EE8D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4" stopIfTrue="1" id="{C3BC2CF6-11A9-4DBF-A660-E31030CC7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3" stopIfTrue="1" id="{81CC786D-21C4-49D7-940B-290B3AE3CA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2" stopIfTrue="1" id="{31AE06A1-0729-4E27-BD3A-9BFBD846B7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1" stopIfTrue="1" id="{339AE066-8E34-42FB-8ABD-258B963CC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0" stopIfTrue="1" id="{2316D452-A227-4D09-AB70-62FF472B27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9" stopIfTrue="1" id="{D9883329-1C8F-41BF-B2AC-B9BF9F29A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8" stopIfTrue="1" id="{95683D2A-A074-4E26-AEBF-DD03B247BE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7" stopIfTrue="1" id="{BC41EACE-544F-4934-BE82-2A98DC843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6" stopIfTrue="1" id="{F3DD90E4-7DEC-4370-9D92-C15A2F261F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5" stopIfTrue="1" id="{F304A13C-0292-4CB6-B45F-52BD2A6FE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4" stopIfTrue="1" id="{FB91EF3D-09D7-4A30-8A24-FF2338A644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3" stopIfTrue="1" id="{06BAB468-23A6-4994-BABE-6B1B600F8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2" stopIfTrue="1" id="{B8DD417A-7972-4C99-A133-776EE59914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1" stopIfTrue="1" id="{9DB33ED2-8A57-4E4E-A0A1-5878DCEB2F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0" stopIfTrue="1" id="{350603FB-D48A-48D5-870E-0058CDFC8A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9" stopIfTrue="1" id="{BDB371C0-E8C9-43B4-834B-ECFFA3D04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8" stopIfTrue="1" id="{142DFA9F-7134-47CA-A34D-7349448C5A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7" stopIfTrue="1" id="{05CFDA68-DBF5-4D38-843E-5D70BE9A98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6" stopIfTrue="1" id="{3AF93575-95AE-4237-B8F4-68A6EBA683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5" stopIfTrue="1" id="{4B45715E-9A50-4B8F-B9DF-A98BC3A41A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4" stopIfTrue="1" id="{25C96BFA-8669-4AA0-A940-FA9EC91F2F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3" stopIfTrue="1" id="{F6AE31C4-C32E-4828-8B8E-CA20941E0A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2" stopIfTrue="1" id="{09461096-F334-45C3-B3F0-BAE1B658F4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1" stopIfTrue="1" id="{A1AEBB4E-5D77-4AD1-99CF-FA291E2B4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0" stopIfTrue="1" id="{3B119B4A-F39E-40B9-A9DE-D09F3D7AF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9" stopIfTrue="1" id="{631783A0-66D0-462F-8411-AD413D508F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8" stopIfTrue="1" id="{AA7973B9-5E49-4E19-97CC-9F4C4823A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7" stopIfTrue="1" id="{2582B3AB-923A-4C48-9923-D57BFCDD9B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6" stopIfTrue="1" id="{928017B2-663A-4C6E-B1F2-7F967D8146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5" stopIfTrue="1" id="{56837AB0-AD5F-47C1-BEA8-73742EC03E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4" stopIfTrue="1" id="{FE5F8D3C-0473-4B13-959C-5324DC8707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3" stopIfTrue="1" id="{6A94B96E-C043-4661-8567-609832BAB7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2" stopIfTrue="1" id="{D5B6D2EF-A26C-47EE-965C-2BB268857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1" stopIfTrue="1" id="{A91432C9-8CF7-4686-8984-D3BD48E38D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0" stopIfTrue="1" id="{D2CBBEA8-E701-4DC0-9AFA-8754108FF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9" stopIfTrue="1" id="{BC449161-5176-422C-8122-CED11BEA27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8" stopIfTrue="1" id="{D0910E89-A8F0-4581-B339-5EEC58C8C2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7" stopIfTrue="1" id="{DCAD6CC3-1321-4B8A-B116-BFFAF21430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6" stopIfTrue="1" id="{9C448E81-C6F6-40D3-998E-2B63A42CE2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5" stopIfTrue="1" id="{27102A2A-33D4-44FA-A732-7531870B60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4" stopIfTrue="1" id="{FA5BCF56-549F-4AC5-B310-BC11264F1E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3" stopIfTrue="1" id="{9CDA2A95-E53B-4FAC-8326-C0B63389A8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2" stopIfTrue="1" id="{55C854A4-A53F-4784-B5D9-79547A0713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1" stopIfTrue="1" id="{EB8F97EA-C4E9-4541-8B08-8CC8F5D42B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0" stopIfTrue="1" id="{C4C62960-BA02-4977-84E9-8857DD2FA2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9" stopIfTrue="1" id="{9168874A-B0B7-4141-BB0C-6757A4F436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8" stopIfTrue="1" id="{C1B71230-30B4-41E4-A2A4-739E0C66A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7" stopIfTrue="1" id="{DFC4774E-D01D-4F8E-BD8B-C80E503423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6" stopIfTrue="1" id="{4AABC812-9F40-474C-8836-A0FD422D19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5" stopIfTrue="1" id="{019AC241-3212-43E3-9C63-1D5378C5F1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4" stopIfTrue="1" id="{2B93B9DB-5F0E-46C5-9A58-B432C86B7E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3" stopIfTrue="1" id="{38725054-818B-4B2A-BB0D-72F19BD938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2" stopIfTrue="1" id="{129E3164-652C-451E-A325-A5752AEF71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1" stopIfTrue="1" id="{ABDE2945-6EC7-4EB6-8730-9CDD7215F3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0" stopIfTrue="1" id="{16D35CFC-4B51-421D-B9BC-560AAFA6B2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9" stopIfTrue="1" id="{EB768869-C515-49D6-8FAD-ACB6577B7F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48" stopIfTrue="1" id="{42A113F4-D3DE-4586-95D3-B4F503B3A8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47" stopIfTrue="1" id="{34E6A443-F0AC-4B78-9EB5-8750BAA317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46" stopIfTrue="1" id="{8A87CC53-0C26-430E-82A6-48CD78D98C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45" stopIfTrue="1" id="{2EC5B880-169F-4BF8-8E26-99C1150EB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44" stopIfTrue="1" id="{DAD42070-EB90-4883-9E18-9061F842AF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43" stopIfTrue="1" id="{42D99C59-9033-49CB-87DC-070C00EA4C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42" stopIfTrue="1" id="{402B4AD2-5E1A-45D9-A79C-94F0F53204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41" stopIfTrue="1" id="{DD721173-E902-421B-9F7F-F469BD3F25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40" stopIfTrue="1" id="{2C922FC1-0DBA-496D-81E0-225B03F736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39" stopIfTrue="1" id="{0B0B48C7-902B-461F-A040-5042EA7C86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38" stopIfTrue="1" id="{6F16D8D6-3705-4353-8504-05330B8A32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37" stopIfTrue="1" id="{AADA3FDE-0087-45A8-9803-F5F1472C08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36" stopIfTrue="1" id="{7C653FA1-7472-4FCA-A523-C09A1DC135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35" stopIfTrue="1" id="{DDEEAE4D-BB2C-454C-80D8-01BD6DDE07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34" stopIfTrue="1" id="{1FC1351B-8959-460B-8449-10AC1EF52C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33" stopIfTrue="1" id="{B5661513-75F9-4A9A-819E-E29C6A331C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32" stopIfTrue="1" id="{47460695-309C-4D81-A7D3-0BF1228C57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31" stopIfTrue="1" id="{7DCEEA27-C2D0-4309-A6F7-457FE62029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30" stopIfTrue="1" id="{5BFAAF4A-B1E5-40F1-842C-5AECED90A6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29" stopIfTrue="1" id="{81D60D75-A320-4A06-BAFF-D84542DDC2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28" stopIfTrue="1" id="{2F70D17F-6DCB-4619-A980-AD958C4C1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27" stopIfTrue="1" id="{97D96680-F6E9-40F4-93C1-C256B54D79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26" stopIfTrue="1" id="{332D9842-4895-4614-A7A5-06AAF57D97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25" stopIfTrue="1" id="{0993745F-6CD1-48B8-AA70-2BDDD915E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24" stopIfTrue="1" id="{EAF98B7D-4C7D-4454-BD21-C0FB998B3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23" stopIfTrue="1" id="{FC81D5D4-153D-405B-9991-3449786C9B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22" stopIfTrue="1" id="{43A2569D-DB1F-4B88-8D5E-7084FF12CE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21" stopIfTrue="1" id="{47213D31-FECA-4DDC-9D38-CD996CA4E9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20" stopIfTrue="1" id="{B47EE97D-6AAC-448C-8101-4D2843228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19" stopIfTrue="1" id="{9E68F166-423D-4B1E-A953-82BC37BA96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18" stopIfTrue="1" id="{F41358CA-F678-4C1E-AB65-6013C6619F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17" stopIfTrue="1" id="{918ADDFC-AEB2-4714-B0E7-E60E10B883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16" stopIfTrue="1" id="{6FF122EA-8D22-4481-B4E5-AAEBB765F7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15" stopIfTrue="1" id="{D2A51CB3-80B2-4CF6-B52E-2CB57BB57C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14" stopIfTrue="1" id="{81CB1317-1ED9-4852-8838-F0224F452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13" stopIfTrue="1" id="{9638A1D6-044B-484A-948F-0AFFF204D2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12" stopIfTrue="1" id="{F1FA0E35-A568-49DC-97B3-FB0100D792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11" stopIfTrue="1" id="{F47F9FC9-33A1-45E7-B9B3-1DA3D2F8B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10" stopIfTrue="1" id="{A547FA5B-0C69-4FDD-AD49-FF03B5C450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09" stopIfTrue="1" id="{AAEDB5F1-CCD6-4C81-8432-65C3637AEE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08" stopIfTrue="1" id="{0CF7DDDE-7A36-4775-92D9-E756A3F68C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07" stopIfTrue="1" id="{667FB93F-FEB0-4C1E-9F65-79F85B0BCF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06" stopIfTrue="1" id="{C667FBF5-7373-4130-82F3-AFEE3DD8C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05" stopIfTrue="1" id="{941919B6-33C9-4C5D-AA21-6F37A0A563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04" stopIfTrue="1" id="{A2624CC6-C4D6-4660-BA92-3029A9F09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03" stopIfTrue="1" id="{8E5479C9-FDDF-4505-8786-46956913C9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02" stopIfTrue="1" id="{408D84C8-1A1E-49B7-8A54-E42653EEDD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01" stopIfTrue="1" id="{6952401C-B2E7-476A-B83E-80586DFF7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200" stopIfTrue="1" id="{4D4BBD92-3565-4E5A-9CCF-7FB8CE48BD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99" stopIfTrue="1" id="{B1F732ED-9A70-46A4-986C-F8A9D71FE0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98" stopIfTrue="1" id="{01A79F2F-6CE3-4266-981C-4A3E6F4BC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97" stopIfTrue="1" id="{BDD0A0B9-12AB-43BB-8CB9-6B965CBC6A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96" stopIfTrue="1" id="{70FA8C88-BF6A-4B8F-B057-3453C7E9E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95" stopIfTrue="1" id="{34C7C2D0-9751-4EFB-A2F0-BF3C23E241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94" stopIfTrue="1" id="{E3803368-808D-4FDA-9C13-119048CCC4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93" stopIfTrue="1" id="{A8746E8C-71F6-4D58-A164-42B35E0FCB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92" stopIfTrue="1" id="{3268FC1C-65AC-45DA-BA9D-5FDA27DA1A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91" stopIfTrue="1" id="{F99C56CB-60F5-4C93-83F8-66BC8AC32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90" stopIfTrue="1" id="{A7D34103-852A-4220-A0F7-B1DE2EBE0F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89" stopIfTrue="1" id="{8CD9FB6C-217D-4E3E-9C17-E78AAF1E16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88" stopIfTrue="1" id="{8723AD1F-9FFC-480B-B927-1B5345008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87" stopIfTrue="1" id="{7478659F-1157-442A-A993-EAC7CE1033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86" stopIfTrue="1" id="{42A42E70-0A8F-4ED0-AE95-FBD819558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85" stopIfTrue="1" id="{03644EDD-D491-4D3F-BE26-DECA870F94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84" stopIfTrue="1" id="{8ABE6AD0-29CE-4D69-9BE4-AF0343E44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83" stopIfTrue="1" id="{BC680905-CD6B-4BB8-AEBD-1248FF2EEC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82" stopIfTrue="1" id="{EBC3C58C-1952-4387-BB94-62DCE044E7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81" stopIfTrue="1" id="{AA61B8CA-6142-42C8-B5D3-D7C8186863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80" stopIfTrue="1" id="{CD2CE855-F0FA-4077-89C9-1122E39331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79" stopIfTrue="1" id="{FADFD5C1-B9BF-47EE-8CD3-939767F51A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78" stopIfTrue="1" id="{7F9D03B2-30F0-44B5-9CF1-E27C449DC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77" stopIfTrue="1" id="{00706352-E97A-42BE-B5C6-D0ABD1A266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76" stopIfTrue="1" id="{74914C9F-BD38-42C3-9A2C-049AD7A2CF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75" stopIfTrue="1" id="{315C56D7-924F-454A-BA27-DA82F78FBE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74" stopIfTrue="1" id="{1200D6C8-A10F-4B57-A91D-6341799D97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73" stopIfTrue="1" id="{CDD87D4D-96A7-4B98-BD82-C778F6D8BB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72" stopIfTrue="1" id="{7F784873-B2A6-4912-932A-7D7C73880D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71" stopIfTrue="1" id="{6E29F664-BB32-4E56-BB74-9F678F5815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70" stopIfTrue="1" id="{7D11327E-9905-4AB6-B5E6-7DED6D3622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69" stopIfTrue="1" id="{158E55B5-39A4-4303-BED1-D924C04807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68" stopIfTrue="1" id="{EAC396E0-92C3-43A4-B1A4-36A3A80DD5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67" stopIfTrue="1" id="{8570F19D-D6DA-4302-A66D-0D931A3ED6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66" stopIfTrue="1" id="{FE293E08-20FA-4F81-BC39-75DE10349D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65" stopIfTrue="1" id="{3EA6AFCD-2633-4CC2-BB46-5FB24391D6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64" stopIfTrue="1" id="{E4B2D401-AA56-44BB-84DA-159D42B789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63" stopIfTrue="1" id="{4689D7CB-4922-42AA-9C93-AC41A61970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62" stopIfTrue="1" id="{0AFC824A-41FB-4448-9236-4DEA235203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61" stopIfTrue="1" id="{99048BBC-ACF9-4EAC-8C09-67B4FAA3D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60" stopIfTrue="1" id="{0B634542-191E-4608-BFD2-8B41744303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59" stopIfTrue="1" id="{51B4A9C6-DB51-409A-9F1E-FE328FC656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58" stopIfTrue="1" id="{402BE65A-1C9C-470C-B3CF-6705E77212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57" stopIfTrue="1" id="{E07974FA-B2D4-4680-A5CB-A255756E5F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56" stopIfTrue="1" id="{B2397F3C-1E2A-4412-AAAE-6C2ED44C8B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55" stopIfTrue="1" id="{ADFE5292-4F78-4134-9BB2-A8CA4367B9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54" stopIfTrue="1" id="{EFD8CB60-D7C1-4770-92CF-988AED477A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53" stopIfTrue="1" id="{17B41AC7-2245-414F-B031-352BD9708C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52" stopIfTrue="1" id="{08DCD7E8-62F6-47A0-8358-7D5B0E563F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51" stopIfTrue="1" id="{1B34EF7F-8DA5-4DD0-AE6D-D64E521660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50" stopIfTrue="1" id="{BF7A1BAA-0228-43C8-A875-45C96BCE6A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49" stopIfTrue="1" id="{5A4766EA-3F25-4B89-B6F3-722F8A6B7F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48" stopIfTrue="1" id="{705AD965-80B0-4EE8-BEB8-6871963133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47" stopIfTrue="1" id="{BAE5BB6B-6CD9-40B5-8B0A-5CED3B7A2D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46" stopIfTrue="1" id="{4A0FC8D0-C4C2-4C9B-8717-CA27F0538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45" stopIfTrue="1" id="{541AFA6D-6002-4D59-87CB-30C16A679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44" stopIfTrue="1" id="{75B55021-9B9E-43FF-B80B-FFF40B8FFB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43" stopIfTrue="1" id="{A7582166-D7A1-4B2F-989D-9DB4BFA1AB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42" stopIfTrue="1" id="{4AA34AA4-518B-4E61-8EAE-A8D9C8407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41" stopIfTrue="1" id="{01A64707-A76E-404E-91DB-B0BCC15046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40" stopIfTrue="1" id="{59FA5E58-DCF3-4711-8F60-E090345ED5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39" stopIfTrue="1" id="{DDADE41D-A28C-4010-8255-2467E833D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38" stopIfTrue="1" id="{66546F50-6C4C-449B-A088-AC1D61FA29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37" stopIfTrue="1" id="{4F1212DD-14C2-4D17-BD4A-39986CAAF5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36" stopIfTrue="1" id="{0619CFC0-43DE-4ED5-89BF-0B6A60E52C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35" stopIfTrue="1" id="{09AFEE1B-86D6-4EA3-9620-C5226B7B2D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34" stopIfTrue="1" id="{CAB72E8C-711D-4313-8B5B-58760A6B67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33" stopIfTrue="1" id="{02C59852-D578-41AA-886B-AC2BEC2928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32" stopIfTrue="1" id="{451C748D-50AF-4C80-95CC-007CB0EB6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31" stopIfTrue="1" id="{D0B176AC-B8EB-4ED5-B03D-A057D641D8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30" stopIfTrue="1" id="{8AE83749-9BAC-4A56-AE6A-C8D9A4C41F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29" stopIfTrue="1" id="{9F552E28-C1EA-4B87-98BC-82B6F75B2D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28" stopIfTrue="1" id="{FEAFEA24-9577-45C3-8850-13F84DB4AB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27" stopIfTrue="1" id="{3ECFD646-D780-4956-9AA9-AADD6DCC25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26" stopIfTrue="1" id="{37F4B7B5-2AA0-47F6-B84D-61A48CD1D3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25" stopIfTrue="1" id="{45D096BC-89F7-40BA-8A2A-271437F318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24" stopIfTrue="1" id="{3C50B8FE-05E9-4A23-8BE7-2D4D5F1D2B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23" stopIfTrue="1" id="{CCE65209-2F20-471E-ADD5-506830D453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22" stopIfTrue="1" id="{059347E4-909B-488A-8538-6CEA6361A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21" stopIfTrue="1" id="{F743F3F3-3F43-4FFD-8040-D4D667EB2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20" stopIfTrue="1" id="{C963B9D5-1F09-4014-8E03-2FC6D33090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19" stopIfTrue="1" id="{40934D4B-81C2-4DBD-978B-365381A633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18" stopIfTrue="1" id="{B29221CC-6A59-4ECB-8581-386E2B0B56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17" stopIfTrue="1" id="{DE4D71BE-418F-45FB-BE98-9CCB1880C2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16" stopIfTrue="1" id="{EAEEBE2B-D6BA-4944-B00D-8FEB8E7533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15" stopIfTrue="1" id="{B74CA7D6-2163-43F6-A6F4-0AA4F4497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14" stopIfTrue="1" id="{8DD10067-4197-4346-815A-4CBF712F99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13" stopIfTrue="1" id="{4EBCF16D-4B77-47D4-8E5C-15CBED788A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12" stopIfTrue="1" id="{C41117A6-FE0C-47C2-B144-240F285FC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11" stopIfTrue="1" id="{A3FA351C-84FD-47DE-A33D-A27B2EF99E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10" stopIfTrue="1" id="{C4F520B1-1BCF-4178-9AF1-DB9BD45CEA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09" stopIfTrue="1" id="{8A9B1C25-6EB5-4782-99C7-3498BC345B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08" stopIfTrue="1" id="{ACDEA52C-A2D4-4661-A307-6B53826E3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07" stopIfTrue="1" id="{8DA6FFE6-820F-4E23-93C0-8CCAD659AC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06" stopIfTrue="1" id="{A4AC4A75-73D4-427B-B5FD-56BEEBE642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05" stopIfTrue="1" id="{1FBD6D0E-815F-43D6-AF50-A7D4F16C69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04" stopIfTrue="1" id="{8FC7265A-B6F2-4B63-A49A-AE0CF17D76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03" stopIfTrue="1" id="{BAD94958-6370-415B-BFF0-545EFFF6A9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02" stopIfTrue="1" id="{CD2AD0EB-B5FE-4281-9A19-1FE2507A6B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01" stopIfTrue="1" id="{914D53EF-2016-447A-83C8-32499D41D5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100" stopIfTrue="1" id="{FA2FB397-0753-4CB9-8DBC-4543825C1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99" stopIfTrue="1" id="{5C5B716E-9592-4D93-A05E-B57D3A8337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98" stopIfTrue="1" id="{962C758D-1440-4A99-993D-7B0380D078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97" stopIfTrue="1" id="{3DCD2B3D-89C1-4E30-8439-96A2B5125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96" stopIfTrue="1" id="{924B1BC3-59A6-41BC-8BD0-60A13DEADE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95" stopIfTrue="1" id="{9F23BA57-A35F-4E1B-98C5-86E2531BC6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94" stopIfTrue="1" id="{740F31A1-DC8C-4A2C-8729-C440EFA22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93" stopIfTrue="1" id="{67EE7B1D-092A-4935-A02D-56DE6D06B7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92" stopIfTrue="1" id="{97BF5D79-B215-49FC-92F3-E086B70C32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91" stopIfTrue="1" id="{7061C1CF-77AE-42FA-BE68-7A752019B7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90" stopIfTrue="1" id="{584C4B4F-9E22-4308-B611-0A2E5BA9DE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89" stopIfTrue="1" id="{99FB0AE6-678D-4C2F-89D9-F4018D423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88" stopIfTrue="1" id="{4F6B8B04-C8E4-4C58-8D8C-43D72D0213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87" stopIfTrue="1" id="{83CDF955-4506-40DC-BF10-918A64EA79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86" stopIfTrue="1" id="{FD880A57-22BD-463C-818C-5100780D77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85" stopIfTrue="1" id="{C6B4A754-9FEE-4D7B-89C4-5042C53762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84" stopIfTrue="1" id="{34F5DA4F-3AF8-4CFA-89CF-3C526D9607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83" stopIfTrue="1" id="{AD550C6E-B503-4A5D-9411-FBD41A452F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82" stopIfTrue="1" id="{DE57CFBE-0510-4425-AFD5-08E4019988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81" stopIfTrue="1" id="{495D686E-EC33-4781-B0DE-3FEB6B08EF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80" stopIfTrue="1" id="{50B96B75-1A8C-406F-822A-2C4D91807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79" stopIfTrue="1" id="{CC0AFED0-3EF6-4A54-8A24-8E915B0D8C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78" stopIfTrue="1" id="{2EDA51AB-27D0-44B5-BC8E-26E60FAA8E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77" stopIfTrue="1" id="{DF90FAD3-AC2F-406E-B4FB-94226524EF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76" stopIfTrue="1" id="{327D7E85-F826-423F-8AD5-9C0CACB629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75" stopIfTrue="1" id="{6787676D-8729-404A-B03B-1AE48AE30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74" stopIfTrue="1" id="{004C5FE1-684A-420E-BF90-07E1330BC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073" stopIfTrue="1" id="{034D3450-4E2F-4A9B-9008-83120EB27F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72" stopIfTrue="1" id="{664DFCF3-1071-483B-B486-4E5FABD1F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71" stopIfTrue="1" id="{8940EF34-4FCD-4232-8CF7-25F055154B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70" stopIfTrue="1" id="{E799BF2C-F1F2-4F80-A952-BA0E58002C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69" stopIfTrue="1" id="{3F57812F-EEED-4BE8-A4B4-18174FE7E6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68" stopIfTrue="1" id="{EDC89BFD-F964-454A-8A07-F0904F8680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67" stopIfTrue="1" id="{60D00023-CEF4-42EE-8FC5-94E10F771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66" stopIfTrue="1" id="{9463AE18-C035-4A9E-A2E6-033A789103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65" stopIfTrue="1" id="{98955741-121F-4CDB-BAAD-EBDAFBDF5C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64" stopIfTrue="1" id="{2F5314E8-E24E-4538-BA81-30B2EE1E8F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63" stopIfTrue="1" id="{9C7C7FAD-A10C-4752-96FE-7570505DF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62" stopIfTrue="1" id="{B6113DE9-BF2F-4315-855D-D97D7DAAB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61" stopIfTrue="1" id="{32304BDA-CF62-4A32-B696-5D943F30B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60" stopIfTrue="1" id="{F071FEED-B4E7-4EF9-86BC-D9086AF48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59" stopIfTrue="1" id="{6E3A5F02-AF55-4914-9050-53FB3DB68B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58" stopIfTrue="1" id="{7D772074-3861-451A-B018-D7557AC7C4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57" stopIfTrue="1" id="{C8BFF28A-463C-4819-9A6B-000F306DF3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56" stopIfTrue="1" id="{2EF0E53D-7D18-4581-95EF-9037A0FF3C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55" stopIfTrue="1" id="{431ADBA7-5557-44F2-B1AE-F67FADDFD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54" stopIfTrue="1" id="{10676E72-AA2E-4ED6-BD46-632E3ED8D2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53" stopIfTrue="1" id="{D41DB33F-8FEE-4B76-89A0-3337630F7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52" stopIfTrue="1" id="{DC5F947C-7561-4B4C-8385-B379A78955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51" stopIfTrue="1" id="{83C18DD7-40A7-4A13-8AB3-46B27629C4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50" stopIfTrue="1" id="{4F64F402-119E-4B7A-839E-B1ABFDEFC8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49" stopIfTrue="1" id="{75721F4D-8D7C-4A54-A63D-55B6A61643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48" stopIfTrue="1" id="{00D83E3A-6813-42D1-B0B3-C4EC337274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47" stopIfTrue="1" id="{5A9AF3BE-54DE-407D-B3EF-D47B2D0841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46" stopIfTrue="1" id="{5AE3A7B7-8184-43D1-8261-693C26A42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45" stopIfTrue="1" id="{3D3D3DEE-3483-41D8-9AEF-F013A9F5AA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44" stopIfTrue="1" id="{49A9B8E8-A8B0-494A-A12C-8E4569F3A3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43" stopIfTrue="1" id="{70326DCC-7906-4320-8D96-317C8902B0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42" stopIfTrue="1" id="{1A65B620-254C-4F8C-A98D-1E2957438F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41" stopIfTrue="1" id="{F72F40AE-6702-4713-8446-59C4DE241C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40" stopIfTrue="1" id="{E0B6EB7A-5659-43CC-8136-3FE82BB201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39" stopIfTrue="1" id="{DA5582A2-ED3A-458B-B492-9B511D9D53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38" stopIfTrue="1" id="{AA552729-7695-4065-A968-B831DE38EB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37" stopIfTrue="1" id="{E4AEAB24-EB5C-4EBC-9A4B-7102A59B9A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36" stopIfTrue="1" id="{3D1192F8-FBDC-4F62-894C-BBF0945552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35" stopIfTrue="1" id="{C3368E84-4136-4AFB-8748-7A0A866852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34" stopIfTrue="1" id="{FB1AB068-6341-4054-B278-091B97A9D3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33" stopIfTrue="1" id="{519D9FA3-26A1-4AB8-9711-2D63E5A079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32" stopIfTrue="1" id="{C59040EE-53BE-4B81-9298-61F4517E15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31" stopIfTrue="1" id="{D8BF3DA7-E6D3-438C-9579-20404C453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30" stopIfTrue="1" id="{1B83541C-F9E8-44C6-9B3A-A2A9D0F1DE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29" stopIfTrue="1" id="{B938BF49-2F95-47CF-AB94-8499158118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28" stopIfTrue="1" id="{959BCD82-2C41-47D6-8601-A39710D5E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27" stopIfTrue="1" id="{1CB6A1FC-CF12-45EC-9001-5EC7194811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26" stopIfTrue="1" id="{E2E24C5A-E692-4E0F-8B47-6B4610025B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25" stopIfTrue="1" id="{92C0B32E-B214-4A84-8B0E-FD5C300DDD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24" stopIfTrue="1" id="{4E26ACAA-D44F-4C36-81FA-68795381B6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23" stopIfTrue="1" id="{393AB6CF-5861-4941-A7EB-F30E03FEDC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22" stopIfTrue="1" id="{DC56B7E6-86CB-4BC1-B652-388A99500C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21" stopIfTrue="1" id="{3474375A-9E18-4488-98F4-123DAC2868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20" stopIfTrue="1" id="{D7F7FF02-5BD8-4419-80CE-3B67E4418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19" stopIfTrue="1" id="{7B47C06D-357C-4117-A14C-CEA2E230DA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18" stopIfTrue="1" id="{AE0399F3-2771-4568-B991-29E39ABF7C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17" stopIfTrue="1" id="{4820EFAA-E032-4840-87A8-3C7C020109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16" stopIfTrue="1" id="{881E5618-4603-45D8-87B3-B6D4340DF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15" stopIfTrue="1" id="{AC662F65-9D5B-40FB-BEC1-D76FD89B9A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14" stopIfTrue="1" id="{17323BFB-F447-4E81-8DEB-FED0F7B2F1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13" stopIfTrue="1" id="{A6A2B44D-AA29-4CCC-901F-D19B56CD72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12" stopIfTrue="1" id="{3FBD3217-2D68-41CA-9A69-51798CDC5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11" stopIfTrue="1" id="{1511875A-5D6F-4704-A4FF-D08A6A6FFC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10" stopIfTrue="1" id="{326412B0-9340-41C8-88CF-C41C8EB2E6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09" stopIfTrue="1" id="{B65780E8-F8C8-4876-96BD-6836A9DF9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08" stopIfTrue="1" id="{C311B959-D3C2-4775-B889-5F23D8AC87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07" stopIfTrue="1" id="{50A24BB6-DA63-450B-8D86-DEEBE276B8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06" stopIfTrue="1" id="{F6DC5178-0352-4631-88D9-855DA26E2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05" stopIfTrue="1" id="{9A19A212-6EBA-4A9C-AE60-81DB89A95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04" stopIfTrue="1" id="{5F4DE7A0-616D-4F10-81A6-A64B56FD8E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03" stopIfTrue="1" id="{D234B0A1-8615-40B9-9E46-8A03F38B40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02" stopIfTrue="1" id="{2E923A45-50D4-4098-B203-875577C8F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01" stopIfTrue="1" id="{1F3124D0-08A6-42B4-80D2-1F7491AE2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000" stopIfTrue="1" id="{6762CF21-19F0-4C28-8D9E-97163A6BA1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99" stopIfTrue="1" id="{CD37B56C-8BC2-4FD6-8916-C1092159E9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98" stopIfTrue="1" id="{D3C84E2B-B67B-4F8B-B361-41BA35C977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97" stopIfTrue="1" id="{5161F1D1-DC5E-4BC2-B792-3657CCCA48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96" stopIfTrue="1" id="{6364A97F-7D2E-44F1-B804-3639060F0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95" stopIfTrue="1" id="{BC295F19-19B7-4134-98D7-C05035B85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94" stopIfTrue="1" id="{7A381FC0-8D8C-4B60-B3AC-66E0909001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93" stopIfTrue="1" id="{E5F6FC33-1324-40A6-BADC-2E81C064C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92" stopIfTrue="1" id="{8EA17E1B-3ECE-4D0E-9AEA-70ACFFE0D3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91" stopIfTrue="1" id="{62BBBC9A-1D99-4EE3-9963-2D503CBEB3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90" stopIfTrue="1" id="{32C5F616-EB4B-49E5-B8AC-659B839AE5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89" stopIfTrue="1" id="{B37808B1-4575-4654-9EB4-C25BA3E681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88" stopIfTrue="1" id="{3CC31551-CC08-4A11-B2CA-087C0A5AD7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87" stopIfTrue="1" id="{345D8071-72B7-4C46-9BBB-60350E5298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86" stopIfTrue="1" id="{1A233497-6908-498C-936E-3FA125B58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85" stopIfTrue="1" id="{4024D68C-7E03-41C3-B65E-604A08FC5C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84" stopIfTrue="1" id="{6F9153C7-3AEB-49A1-961B-A726E26F6D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83" stopIfTrue="1" id="{F663B5B9-0B1D-45DC-AEFE-01A25E345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82" stopIfTrue="1" id="{197CE205-E6A2-4214-A94B-A4C68B2774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81" stopIfTrue="1" id="{C3D82603-D462-4939-8CD9-1ACF3742EC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80" stopIfTrue="1" id="{E47BDB1B-A9F2-4460-B069-3596A181A3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79" stopIfTrue="1" id="{74A88CA5-5A7D-4C76-8575-FA66226567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78" stopIfTrue="1" id="{29E5B3E5-97C4-40B1-A13F-78A6B1C90F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77" stopIfTrue="1" id="{BCA2C585-76EF-4FA1-AF8D-41F203A1C5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76" stopIfTrue="1" id="{D475FE13-167A-4C40-8105-8A11CEC4A1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75" stopIfTrue="1" id="{53F93765-DB71-4E92-9CF4-6237021AAA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74" stopIfTrue="1" id="{A8C103EE-ADAD-477E-A69D-1C54EC6AB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73" stopIfTrue="1" id="{2E945E98-A549-49B1-9FA2-6B95908AE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72" stopIfTrue="1" id="{C61D947D-594A-4DF5-9482-1C3ACB167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71" stopIfTrue="1" id="{8891EC81-EC27-4156-A0CF-222681641E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70" stopIfTrue="1" id="{B4CA4D38-43C4-4D4F-BF1C-A547EF720F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69" stopIfTrue="1" id="{83081AA6-46CB-49EE-8D70-1082FEB72F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68" stopIfTrue="1" id="{736FE2B8-EEAF-4D5B-8A5A-81322E70D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67" stopIfTrue="1" id="{C2109542-45EC-4F4A-881E-5B0E2F08D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66" stopIfTrue="1" id="{2610609B-D0C0-4546-AD7B-4EF172788B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65" stopIfTrue="1" id="{F4A9118E-ECC9-4B76-A666-16E11E7CD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64" stopIfTrue="1" id="{54AAE29E-4EBC-4617-8982-E60A9BB517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63" stopIfTrue="1" id="{79C42713-874C-4E29-B6D3-4312F00A29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62" stopIfTrue="1" id="{18816A8B-6E12-4FE4-9ABF-55E1D80F0C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61" stopIfTrue="1" id="{82872EC0-896D-42E2-92C3-72BB7B1038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60" stopIfTrue="1" id="{2EAFECB7-E05A-4237-B2EB-D7D83C83B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59" stopIfTrue="1" id="{B252FDBA-0AF3-40A5-AC00-F2C464343F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58" stopIfTrue="1" id="{E8D94548-151E-4A59-930B-DDCC254A92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57" stopIfTrue="1" id="{5465DB42-BCC2-4ED9-B6D3-0C2DBD305E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56" stopIfTrue="1" id="{8F1A01E9-CFF2-46EB-8B9C-5BBC1D0B44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55" stopIfTrue="1" id="{F2D634EF-8DF5-40AD-A238-88BBCCDF2C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54" stopIfTrue="1" id="{3D2BFA4E-F5B3-4A09-97F4-C2EABF2D2E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53" stopIfTrue="1" id="{54316701-9F1F-4FC7-AA23-838D09614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52" stopIfTrue="1" id="{7031A606-48C2-45E5-8A04-A5A518844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51" stopIfTrue="1" id="{DCD87FE5-2912-4349-A0B8-3917958EEC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50" stopIfTrue="1" id="{98127B13-4222-4655-888B-4321757E1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49" stopIfTrue="1" id="{5C65A193-DFE5-4A2D-B705-2D51344FBD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48" stopIfTrue="1" id="{7C7FE2F9-38B2-4384-9B9C-69317EDE70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47" stopIfTrue="1" id="{7E0867FC-37D8-4DA2-8756-3F271E3D95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46" stopIfTrue="1" id="{526FBFB6-D8FF-403D-A2D1-DCE6DCC6E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45" stopIfTrue="1" id="{13199691-AA0E-4BEF-A336-1E1642764D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44" stopIfTrue="1" id="{E376D164-7665-4C42-A9B0-4DF4A53A2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43" stopIfTrue="1" id="{73F9E637-E577-4B56-901B-9EDF09D319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42" stopIfTrue="1" id="{ADF06918-CE72-4988-993A-923556410F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41" stopIfTrue="1" id="{B02C236E-AE8C-47B0-B640-809979939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40" stopIfTrue="1" id="{A50BD173-E90D-48AC-B7DB-D026785834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39" stopIfTrue="1" id="{DF1E4BA7-DB2F-4FF5-942B-DDEEC5E5D7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38" stopIfTrue="1" id="{B2552356-FEBD-453A-A6FC-59E4ABE07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37" stopIfTrue="1" id="{30609D8C-3BD6-4534-9350-9AA0F0CED8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36" stopIfTrue="1" id="{FD179E54-7E6E-47B6-BD15-A4597BD0CB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35" stopIfTrue="1" id="{18E397E9-A2A3-4376-85B7-3BE9521BE4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34" stopIfTrue="1" id="{41676ACE-F296-4C70-A362-686F215E40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33" stopIfTrue="1" id="{C6975C42-691D-4DB3-B106-981EABA10A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32" stopIfTrue="1" id="{D6D5BD1A-A581-47DF-91FC-6DC45DFBF7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31" stopIfTrue="1" id="{ADB09E23-2B20-4042-BE5E-5B71E8D3F6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30" stopIfTrue="1" id="{627A0C77-43A7-4B8B-BF31-28EA5B525C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29" stopIfTrue="1" id="{D7D37883-438A-424D-AA1F-07425AE37D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28" stopIfTrue="1" id="{1C5C260D-CD92-4F4E-B66F-1557A031C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27" stopIfTrue="1" id="{82673DEC-5CBD-4799-B929-B6BF055617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26" stopIfTrue="1" id="{C76F1D3F-8ECA-410F-8F6E-C9F737AB61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25" stopIfTrue="1" id="{7CDEE543-C310-4C25-92F8-A0A457D4E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24" stopIfTrue="1" id="{5DDD7AF5-AB06-4391-93E8-BD89DB190F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23" stopIfTrue="1" id="{7E851076-F94D-4AAB-A1A7-3C1817214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22" stopIfTrue="1" id="{AF59B603-766F-4D8C-94C0-2F824F6B04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21" stopIfTrue="1" id="{FB17EA5C-8AF6-4105-9F3A-B02ACC0021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20" stopIfTrue="1" id="{722719EE-CF9C-4F4F-8197-060A918D9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19" stopIfTrue="1" id="{7143787E-DF15-4212-944D-42FFC23AD6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18" stopIfTrue="1" id="{DA4B0268-D4AB-4EF9-8896-23DE9396F0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17" stopIfTrue="1" id="{39B93031-0D07-4272-AAF5-6D4CBF2860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16" stopIfTrue="1" id="{363A55BA-10C2-4F8E-B060-A40DC27EDB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15" stopIfTrue="1" id="{44DEE3A9-0639-4076-83F6-943C10073A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14" stopIfTrue="1" id="{BF8352F1-FB20-4688-8B6D-F3C5ADE8B2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13" stopIfTrue="1" id="{AE265652-4707-4DFD-BFC5-EE85D1F9AE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12" stopIfTrue="1" id="{2E810978-7122-41F5-A85E-097F3E2CBC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11" stopIfTrue="1" id="{7C60FB17-6A26-4EB8-96D2-7A0B1AD5F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10" stopIfTrue="1" id="{39584754-1A06-4BE6-A89B-4886013E14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09" stopIfTrue="1" id="{13E1E9B9-713D-4DA2-B2D4-298697E3FC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08" stopIfTrue="1" id="{36E5C43B-9C5D-4D25-8DA9-F23290C4CD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07" stopIfTrue="1" id="{260B2807-F6F8-42B1-8688-3FDFA17AA0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06" stopIfTrue="1" id="{487C08B3-54C4-4561-A963-F48FC64ACA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05" stopIfTrue="1" id="{F6BDD0BD-47E4-4062-8B6A-D9908DAD0F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04" stopIfTrue="1" id="{13B54A02-5124-4721-BFA7-F8FBE0BD78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03" stopIfTrue="1" id="{84ABDA52-2076-4874-8419-B552AFB2DE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02" stopIfTrue="1" id="{A20DB5B2-CD36-44D8-9EF2-1C87A84B1C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01" stopIfTrue="1" id="{6DEFC78A-6C00-48B4-BDBF-190B70D214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900" stopIfTrue="1" id="{D121DBBB-0638-4DE0-A0AC-236302EE1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899" stopIfTrue="1" id="{3B264B6A-B8CA-4F65-9850-E5B1674FA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898" stopIfTrue="1" id="{307D4D13-EDE9-4289-BD15-348EE0D3D3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897" stopIfTrue="1" id="{D46A0700-67A8-45ED-BF11-05126C63EE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96" stopIfTrue="1" id="{EFC5F10E-0897-424D-8F91-E8B5DA757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95" stopIfTrue="1" id="{00F1A670-3A4A-44C1-BCBB-819A64A04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94" stopIfTrue="1" id="{11996D18-D739-46F1-89BE-77FB45C87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93" stopIfTrue="1" id="{358A0668-094E-475A-94CE-B0AFAE1641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92" stopIfTrue="1" id="{0A053112-F4F6-427A-AD8F-1EDF06B6C6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91" stopIfTrue="1" id="{CF0920E8-31FA-42B7-9017-DAAB1F9CB8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90" stopIfTrue="1" id="{126B99E5-0F29-4AD2-AD86-95215BF65F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89" stopIfTrue="1" id="{F0FD83C8-3515-40E1-BEBB-3B4B32E8E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88" stopIfTrue="1" id="{F777752C-C33D-48BF-AB85-C1EB28A40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87" stopIfTrue="1" id="{BD17C3A0-A436-47A2-A90B-A0D0DB4F41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86" stopIfTrue="1" id="{9DDEA30E-1B59-4725-A8FD-05A1B459F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85" stopIfTrue="1" id="{5947BE63-7496-4899-901A-144AAF20E7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84" stopIfTrue="1" id="{8E5B30D3-3BC9-4720-8255-654C0E7D34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83" stopIfTrue="1" id="{A632060E-CED9-42AE-8869-8CFB1E0988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82" stopIfTrue="1" id="{7AFA9FF6-4C03-47E7-91C2-C7E1AB4741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81" stopIfTrue="1" id="{3848EBBA-616E-432C-B2C4-F9446639D6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80" stopIfTrue="1" id="{EB3EAD27-A203-46CB-AADB-04351BD7A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79" stopIfTrue="1" id="{8B8EB1F2-A7FA-458F-A8EF-3741F1C821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78" stopIfTrue="1" id="{84177A1B-E190-43C8-89A5-1BA52F1BC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77" stopIfTrue="1" id="{07338DE7-B3F6-4A65-A632-AD0F001715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76" stopIfTrue="1" id="{1FADD3B6-B943-40DA-8830-A09AB47977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75" stopIfTrue="1" id="{A2FA5B15-5508-4CA4-8FCD-4B89B7FF5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74" stopIfTrue="1" id="{C6FE86A2-4443-4B91-B77E-8CA0CD2F30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73" stopIfTrue="1" id="{BDA83F18-D008-40D1-85F2-EF7BE20801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72" stopIfTrue="1" id="{38A6570C-0915-433E-9B28-F0445429EC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71" stopIfTrue="1" id="{63CEA47D-81E1-4AB8-A22F-1BA64CD34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70" stopIfTrue="1" id="{9BF56314-94DD-40B8-A75F-F418686D38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69" stopIfTrue="1" id="{660052AF-C285-4755-B8A7-59C13F5A9F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68" stopIfTrue="1" id="{E7463420-ECE5-4CF6-88FD-3860911478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67" stopIfTrue="1" id="{66152840-3F13-451A-869C-BAC9F7283F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66" stopIfTrue="1" id="{3C00E70E-459A-4E29-BDC5-82CD0B7D83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65" stopIfTrue="1" id="{224F6A17-A0BE-4222-BD73-558853A2EB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64" stopIfTrue="1" id="{3947ED0C-B64A-41B3-9B83-F4597A8DFD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63" stopIfTrue="1" id="{2217E931-F0A6-48FD-B690-F9CACF05C9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62" stopIfTrue="1" id="{38E5EACC-5921-4104-A6DE-0BD2910B30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61" stopIfTrue="1" id="{5DA6039F-FC6E-4435-81F5-C21F6197FD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60" stopIfTrue="1" id="{2E7BD893-038C-4C31-926C-387625A385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59" stopIfTrue="1" id="{F22A76B2-768A-4D7A-85FA-6A8626913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58" stopIfTrue="1" id="{7CD4D54E-D46F-482D-8476-CDBFD246F2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57" stopIfTrue="1" id="{799BC7E6-723D-4A9B-86E8-B15F9EA09D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56" stopIfTrue="1" id="{B09FF8AE-8303-4A05-B856-D08A9AF460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55" stopIfTrue="1" id="{43B9EFC7-32A3-40C4-AACD-3C0753D88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54" stopIfTrue="1" id="{7917D602-46A7-4308-8718-4D43447B1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53" stopIfTrue="1" id="{72425B9A-74C1-435B-9DE0-3FE5E79C4E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52" stopIfTrue="1" id="{4199FBFF-2CD0-4BA6-A8A8-C12FE8012A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51" stopIfTrue="1" id="{76166020-0960-43CE-AD3D-330C7E896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50" stopIfTrue="1" id="{515ED0A7-3CAA-46C1-93B1-55E6DBD0F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49" stopIfTrue="1" id="{181D8B40-FCD7-478A-8499-93E968F99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48" stopIfTrue="1" id="{A1059AA4-838F-4107-A673-7603ECC81E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47" stopIfTrue="1" id="{64445D97-A068-42B9-8648-7A7573C8D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46" stopIfTrue="1" id="{26EB524C-1A1D-4DC2-8F64-8FD65E93D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45" stopIfTrue="1" id="{E65545E1-73D8-4A4E-8355-D94AD4A70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44" stopIfTrue="1" id="{1D8E86B1-103B-40B6-9539-46506BE304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43" stopIfTrue="1" id="{9923B9C1-97C7-4156-8C2D-C040A8C9E1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42" stopIfTrue="1" id="{11310941-0F73-4118-BBC5-8B1B701780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41" stopIfTrue="1" id="{04CB7CA1-A3C9-4435-895C-773FB47ADA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40" stopIfTrue="1" id="{6F618817-8F8E-4D1A-8D09-F4A8221937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39" stopIfTrue="1" id="{26E2FB74-0F5C-4541-BD17-3552A8150B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38" stopIfTrue="1" id="{A16317F6-7AD5-44EE-BC19-86AA77F473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37" stopIfTrue="1" id="{1EDAE4EE-BB85-4D40-81A8-960BA7601E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36" stopIfTrue="1" id="{916E5F5D-7F02-4152-9DD2-DEE09F41E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35" stopIfTrue="1" id="{F059EFC9-E48E-4B4F-ACEF-8E2865CDA7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34" stopIfTrue="1" id="{62C8E6B6-CD8F-44E2-8DCE-447BB07E4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33" stopIfTrue="1" id="{5CA2B576-8605-45C8-A6B7-8C96908F2B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32" stopIfTrue="1" id="{0C6D8C7C-D1B4-4C3E-94A5-5E437C104D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31" stopIfTrue="1" id="{CD6A3AA0-6D2A-4CF0-903B-3993C42772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30" stopIfTrue="1" id="{AC30280F-3460-4A2A-B167-3129E30F8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29" stopIfTrue="1" id="{8C983A08-5237-4308-934D-37701F0E89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28" stopIfTrue="1" id="{3DAABC19-C5FF-4BFB-AEE1-D617547A2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27" stopIfTrue="1" id="{7E742819-78AB-4ECD-91A0-0CDAEDA544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26" stopIfTrue="1" id="{C18212E8-A39D-4B4D-8D19-71561F5AA3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25" stopIfTrue="1" id="{46852362-C3F6-4E2B-B7E1-E0B710E89F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24" stopIfTrue="1" id="{0C1F4354-8202-4C3A-97E2-32764448E5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23" stopIfTrue="1" id="{43EE5F40-A461-44D1-B8F8-E6C17EB7F4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22" stopIfTrue="1" id="{0B54D9D8-52BA-4B97-82A4-7AEAB31BD4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21" stopIfTrue="1" id="{4B93A64B-45B8-485D-9D5C-AE9DEDD29F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20" stopIfTrue="1" id="{6EEC998F-947E-4D07-8C47-A5BB855D86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19" stopIfTrue="1" id="{E64A470D-268C-4DD1-A374-C954BE567F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18" stopIfTrue="1" id="{1254DAE3-65D0-45C8-B8C4-E45670DBA1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17" stopIfTrue="1" id="{0A68DAE2-200E-46E6-AF02-2336A4CF59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16" stopIfTrue="1" id="{ED25ACB8-98CD-436C-8F35-0B7A3D211A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15" stopIfTrue="1" id="{B6EDDDE0-DE45-4264-87C8-F023F24FF7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14" stopIfTrue="1" id="{017CE815-1B87-41D4-AB7B-E4EDE46582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13" stopIfTrue="1" id="{9083A787-26C5-49A5-A1B6-4D6BF92A6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12" stopIfTrue="1" id="{430B3311-DBC0-4991-ABC3-E72AECDF5B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11" stopIfTrue="1" id="{2B180044-CD6A-47A6-88C3-C0024AE20C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10" stopIfTrue="1" id="{2F0B1185-39D8-45E6-A746-B8C58DC700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09" stopIfTrue="1" id="{C9F98478-BAD8-40E4-92AE-884DB895F6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08" stopIfTrue="1" id="{2EF924A7-457C-4099-BE83-5DFB19267D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07" stopIfTrue="1" id="{7F6B5133-7C07-411F-8739-C98DBE6A1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06" stopIfTrue="1" id="{EA8A7C93-DE77-475A-A008-FD344A4EE1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05" stopIfTrue="1" id="{5C489B34-5289-4541-8E2F-B86C0B00AB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04" stopIfTrue="1" id="{D93FE739-3EB8-4883-99F1-E4FDB80B30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03" stopIfTrue="1" id="{6E096B8E-2E07-4BCE-990D-2B0F6906EA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02" stopIfTrue="1" id="{FC65EAAE-0FDC-4DCB-9F5C-69B10C170F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01" stopIfTrue="1" id="{7655480B-8AE1-46A1-8ACC-BB186FDEE3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800" stopIfTrue="1" id="{01250082-C988-44FC-92F8-42B6C8197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99" stopIfTrue="1" id="{7847619F-5F8D-406B-96FD-280F602E23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98" stopIfTrue="1" id="{1437CCE7-3AD2-4C06-AAA1-9F00BABE7D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97" stopIfTrue="1" id="{C9DF80F7-2E17-4A5F-8AA6-5E8636A814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96" stopIfTrue="1" id="{4A66BA38-D0B9-4EBF-8240-595EC325A7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95" stopIfTrue="1" id="{F747F2AA-B567-47E9-AE37-47D3F4C324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94" stopIfTrue="1" id="{BDFE84F7-68F1-434F-9E42-B6548378EF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93" stopIfTrue="1" id="{0D191BCC-1170-4760-89DE-F704482CD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92" stopIfTrue="1" id="{54EC1419-8CB2-448B-AA21-3CDC875395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91" stopIfTrue="1" id="{6AA45EA9-7537-4056-BCBC-C8A5DF4DC7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90" stopIfTrue="1" id="{C85C7958-93F6-43F2-80EE-BBCD229D9E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89" stopIfTrue="1" id="{DD09113E-70E3-4201-80C5-264D0ED3B5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88" stopIfTrue="1" id="{3FD4A4A4-3400-4429-B019-1B5ABEEC2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87" stopIfTrue="1" id="{A71DE835-0024-4A3D-B42B-DD666832F2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86" stopIfTrue="1" id="{CFDA63DA-BF60-485A-BCA5-E44655C4A9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85" stopIfTrue="1" id="{45A40CBD-0588-422D-B98B-3FDCB4081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84" stopIfTrue="1" id="{19011E9E-1658-40B4-8078-67EFB443F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83" stopIfTrue="1" id="{B9AF7D7B-B040-4A53-9BFF-5A04542ED6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82" stopIfTrue="1" id="{7A52D5D1-911E-4615-9C5F-563E73DD31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81" stopIfTrue="1" id="{D1CDC6DF-1691-464A-BB54-0DC33DE1D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80" stopIfTrue="1" id="{0B86ACFA-8661-426B-BCE4-48F4068BB0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79" stopIfTrue="1" id="{1900AFF7-7BE9-4749-BE07-4B1DE4D4BC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78" stopIfTrue="1" id="{7B26BCC1-09B4-4BC2-8993-65C5EB24E3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77" stopIfTrue="1" id="{96EFD7F6-246F-4D98-A5A0-E522319906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76" stopIfTrue="1" id="{F576FCD8-06D4-429B-9124-16914EBE8F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75" stopIfTrue="1" id="{C920AD72-5FA6-46D6-B4C1-C3D6970E60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74" stopIfTrue="1" id="{86E93E2D-CBB3-4867-A684-EA551BE0F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73" stopIfTrue="1" id="{94EEBD44-EE38-42A8-AED3-2417B4A528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72" stopIfTrue="1" id="{395BBED2-B113-4DDE-BDC1-6FFE27FB30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71" stopIfTrue="1" id="{BF36CDCA-48BA-4C15-A09A-AEFC62473A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70" stopIfTrue="1" id="{FDBE8926-9766-4878-92EC-DBE35B0C12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69" stopIfTrue="1" id="{0983732A-9D86-4A38-BC2C-4B4E6EEFB3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68" stopIfTrue="1" id="{9EF398C0-229D-4747-B0DE-0A5653801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67" stopIfTrue="1" id="{92D8E37E-A72D-4FBD-948C-7729AE1220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66" stopIfTrue="1" id="{AC27AC6A-8AAF-4DD5-9B58-188908A969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65" stopIfTrue="1" id="{ABAEC905-E687-4440-9354-6A34F7B31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64" stopIfTrue="1" id="{E970ED7B-A48F-4769-9F94-26A25FEAD7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63" stopIfTrue="1" id="{05AAFA99-E5F3-4E61-ADB7-20D6F3039E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62" stopIfTrue="1" id="{29BBDFDB-3F6A-4716-812A-D2958DDEA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61" stopIfTrue="1" id="{D512C648-965A-49C9-9620-B8A08EEF58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60" stopIfTrue="1" id="{3895AD53-17E8-4250-87D6-8507BF100A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59" stopIfTrue="1" id="{1BC58F7E-1A45-41A4-B352-5CD06C805A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58" stopIfTrue="1" id="{10440A43-E868-41C6-8A6D-7A35260B1B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57" stopIfTrue="1" id="{3B224398-B5D9-4BC0-8C0D-816A4FBC2C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56" stopIfTrue="1" id="{CAEEDFA1-5DDD-4432-871C-1F5B844864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55" stopIfTrue="1" id="{5464815B-D2CE-493C-ACCD-AA647B7ED9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54" stopIfTrue="1" id="{BAFFD0B4-2478-4AAA-A94E-05DDB95BB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53" stopIfTrue="1" id="{A08959A2-3CF1-433F-9B64-D3165B2766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52" stopIfTrue="1" id="{09F0B28B-44D3-4808-A972-25D68C7297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51" stopIfTrue="1" id="{496A2DCA-A31C-4489-AF2C-A557E065C1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50" stopIfTrue="1" id="{F2783DAF-CA60-450A-BDA0-7C19B498AA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49" stopIfTrue="1" id="{4E8F538E-B856-47B1-8A88-77ACE9C2E1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48" stopIfTrue="1" id="{EA860E56-B7D8-4134-8048-90BBB45FA7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47" stopIfTrue="1" id="{2C919F82-46C3-440B-99FE-DD0EA371EF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46" stopIfTrue="1" id="{5C54EEB8-4BEF-4385-B4D4-71CD7CCECD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45" stopIfTrue="1" id="{28DE7528-6BA9-4157-AA21-FDCAD25F1D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44" stopIfTrue="1" id="{88DC6355-1BE6-4B48-9CD0-2ADE63C108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43" stopIfTrue="1" id="{BF86BBA2-F0A9-4F58-9725-542E6F7AF3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42" stopIfTrue="1" id="{C715184A-3D0C-4CD5-B011-F231BE511F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41" stopIfTrue="1" id="{D630A9CD-C6DF-4FB1-A447-E9C6C45C94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40" stopIfTrue="1" id="{CA3A4010-6E1C-471E-9B8F-52FCA1528F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39" stopIfTrue="1" id="{AF8B464B-5FB0-428A-B8F5-A97CD539F3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38" stopIfTrue="1" id="{CA8A2C48-1948-470B-8090-50D8FA981F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37" stopIfTrue="1" id="{360DBC60-2C74-49FA-87A3-E686B090F1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36" stopIfTrue="1" id="{63A6C3D1-1539-4A0B-8214-A96D45414B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35" stopIfTrue="1" id="{0918CD30-82E7-479E-A778-F40EA80291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34" stopIfTrue="1" id="{2B088E33-6DD5-47FA-895B-BFFDF759D0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33" stopIfTrue="1" id="{FA9C3A38-21D1-4CE3-AE10-68A70C4355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32" stopIfTrue="1" id="{EB5BEAEA-A976-43DD-A671-29DB468C9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31" stopIfTrue="1" id="{8B5EE65C-027C-4BAD-A3E1-9D22EFD4CD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30" stopIfTrue="1" id="{8EBDA512-5464-4068-A36F-058CAB8A77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29" stopIfTrue="1" id="{AC18A34B-CD59-4750-966D-2B56D649D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28" stopIfTrue="1" id="{619A5F37-A53E-4546-AC47-3C32C96F9B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27" stopIfTrue="1" id="{53FD5BAB-5DFF-492A-A673-46A24FB95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26" stopIfTrue="1" id="{2275B8A5-B07A-4CC1-B7F5-AD3BAC1794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25" stopIfTrue="1" id="{F32C8A7C-AA65-4038-8907-BC5922CACA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24" stopIfTrue="1" id="{C52558F7-466F-45DB-BE89-05630BCCF3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23" stopIfTrue="1" id="{542C6DF5-EAE1-4990-87BB-E33E1C575B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22" stopIfTrue="1" id="{A71BF827-0EB8-48F2-A64D-18F945C28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721" stopIfTrue="1" id="{3C299D78-90AC-4E92-8CA7-447E890892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20" stopIfTrue="1" id="{7D16CDEC-C410-4406-BBCA-AFC2E72E5D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19" stopIfTrue="1" id="{EC483948-82BB-4052-9554-7B6F1FA728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18" stopIfTrue="1" id="{522DDA1F-DB17-47F1-B8D1-1AA2FCDD13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17" stopIfTrue="1" id="{F919A133-AE6C-43BB-B9CD-9C7F76E6FF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16" stopIfTrue="1" id="{736455A9-C83F-48ED-8865-9EA35EC60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15" stopIfTrue="1" id="{CC223E2A-371B-49CF-BD73-7F53B58456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14" stopIfTrue="1" id="{48E76FB5-14A8-4DA4-BCB6-89650EA508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13" stopIfTrue="1" id="{479D4DF2-CDC9-4B73-9B70-F45BFDBB3F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12" stopIfTrue="1" id="{5767C736-3F47-4F7D-A915-7E51AE8F57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11" stopIfTrue="1" id="{59F2E683-5A65-4B48-B9A6-EE5A46D9E5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10" stopIfTrue="1" id="{013435DD-4D04-4D62-AD5C-E41618713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09" stopIfTrue="1" id="{CAF19B46-FA5E-4C99-B24C-BFAEBAB50A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08" stopIfTrue="1" id="{6420A50C-0BF6-4BB3-9968-6EA269226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07" stopIfTrue="1" id="{5CC6CBFE-D063-49D5-BAF2-006D59D349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06" stopIfTrue="1" id="{A835AFE4-E185-49B9-A15D-DC097A3FCD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05" stopIfTrue="1" id="{67CBCA87-9CA1-415A-8EF0-10224908A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04" stopIfTrue="1" id="{7CAD685A-9BD7-4C0D-92FB-9994FF9632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03" stopIfTrue="1" id="{861654EB-2C9D-47FF-92FB-B34E9CC643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02" stopIfTrue="1" id="{D9827A91-544A-4B58-97E7-60574B92AC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01" stopIfTrue="1" id="{9191352E-98D0-4229-B3D4-8051F38B5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700" stopIfTrue="1" id="{38B18383-9016-48DE-BD72-22BA1D5822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99" stopIfTrue="1" id="{C7D228F0-E11D-4346-9D99-1F73C2AEF5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98" stopIfTrue="1" id="{6589A6F1-DA6F-4962-8584-453E26A185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97" stopIfTrue="1" id="{2D6DCE92-5669-49CE-A69F-7737684E00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96" stopIfTrue="1" id="{418AE9EC-01CE-4E4A-9705-64D52CE1F0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95" stopIfTrue="1" id="{074F8CF3-56A7-4678-928C-F3628CAD27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94" stopIfTrue="1" id="{C56EF134-5ACF-437F-87B7-FC47DE2791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93" stopIfTrue="1" id="{F3B004DE-DEF6-493E-8EB0-929B9CB876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92" stopIfTrue="1" id="{3857BD2F-1C17-469F-9E02-AD2C9BD651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91" stopIfTrue="1" id="{D9EEF7EE-2D70-4890-8E04-0BFF2C3875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90" stopIfTrue="1" id="{351657E3-F48F-422C-BB1D-D39BAF9CC9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89" stopIfTrue="1" id="{EDE1A207-7C4F-4DEE-BCC1-4178410479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88" stopIfTrue="1" id="{713B47E2-A60A-4EE1-9741-4AF3994D0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87" stopIfTrue="1" id="{8D6E2E2D-FE14-46A8-A8ED-4197721670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86" stopIfTrue="1" id="{16801919-B45F-44A2-A4E5-05B66C465F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85" stopIfTrue="1" id="{CEE971C4-5502-4AB5-A514-2C5D2E46C4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84" stopIfTrue="1" id="{9271438E-4A9F-439C-A15C-671B702D91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83" stopIfTrue="1" id="{E455DC01-FA5C-4B32-9665-D433B25D9B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82" stopIfTrue="1" id="{2AAC4974-D81A-4E80-B954-083E078E52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81" stopIfTrue="1" id="{8A2D38E1-2532-48C0-93DB-7F439A7C2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80" stopIfTrue="1" id="{D67727BA-A6CA-4842-A4B7-3AED78D383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79" stopIfTrue="1" id="{80CE0295-4AF0-484E-8C89-008C837E08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78" stopIfTrue="1" id="{659A50C7-FE82-45C8-97C5-6EB4C35961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77" stopIfTrue="1" id="{07416B30-8562-4655-88FD-813AAB902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76" stopIfTrue="1" id="{C6676B5C-0558-493A-8F00-06880B4FC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75" stopIfTrue="1" id="{219FDC99-126F-46DF-94C9-8C2B46BB8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74" stopIfTrue="1" id="{CEE7DB67-2C85-4A3F-BF4E-6AE083741E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73" stopIfTrue="1" id="{9E8608DB-79CF-4A1B-AF5E-D1FD42D3C8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72" stopIfTrue="1" id="{2AE6DC49-9367-4930-B104-847E37AF7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71" stopIfTrue="1" id="{4654D144-D26C-4031-954D-E341B428BF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70" stopIfTrue="1" id="{2DEE6607-5FAF-44FA-8BF1-A3F4BB507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69" stopIfTrue="1" id="{72B9BDBE-918B-4445-84E2-4E1712EE7D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68" stopIfTrue="1" id="{850E22D4-59A6-4AB6-B7C7-48870CCACB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67" stopIfTrue="1" id="{D02F6A30-FF40-4C09-9D74-099E31AF70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66" stopIfTrue="1" id="{1CFA5AD0-EC73-499B-BBC6-ACA727EB2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65" stopIfTrue="1" id="{CD63CF12-C3CB-4DE2-AB1E-DEE5875D94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64" stopIfTrue="1" id="{EF639C75-23FC-41A3-9168-AB7442819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63" stopIfTrue="1" id="{FBBBD7FD-92E4-4EFF-8065-1C6A7ACF8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62" stopIfTrue="1" id="{90A30C08-92C0-4D94-A00A-70B6888F36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61" stopIfTrue="1" id="{57654DF7-CDB4-41B3-8B88-8C6557573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60" stopIfTrue="1" id="{3793D2FC-0824-42C4-BFE8-A02A6800E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59" stopIfTrue="1" id="{5E93D5A3-55DE-4CCB-A9F4-6296CD13D8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58" stopIfTrue="1" id="{404BEC06-7478-4B87-B5B4-17C297ED16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57" stopIfTrue="1" id="{23E72C85-3A45-41C3-87B2-C12A95E4CF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56" stopIfTrue="1" id="{3048C36B-EA6F-40B4-9E60-C24D08D6B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55" stopIfTrue="1" id="{130D8519-67FE-4BCC-A1E0-53A55B3384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54" stopIfTrue="1" id="{456301E7-D51A-4B95-9E7E-FC4A1E11E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53" stopIfTrue="1" id="{F8393595-FC3A-4CF7-8C0D-21F927D22D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52" stopIfTrue="1" id="{0792DE94-77B2-43D6-860F-2E4FB9F551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51" stopIfTrue="1" id="{119D587B-BB7A-4021-A39E-6E07CB3E15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50" stopIfTrue="1" id="{DF606F34-488C-435B-B574-0CFFFBC37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49" stopIfTrue="1" id="{D1518609-C7DB-467B-A21D-BDF6198DEB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48" stopIfTrue="1" id="{141F36DD-8280-488A-8ECF-91618BEEFA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47" stopIfTrue="1" id="{902B1CFF-67CC-4892-977F-A8342696D1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46" stopIfTrue="1" id="{F837B4A7-70B9-4068-83AD-29298EF8C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45" stopIfTrue="1" id="{67C0977E-752C-487A-B8F2-077A3DB5C0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44" stopIfTrue="1" id="{62AE4F20-F65C-49A8-8739-9B0D51259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43" stopIfTrue="1" id="{43B6C628-3511-45EB-9432-A22DA8BC4D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42" stopIfTrue="1" id="{A04F61A5-C618-410A-83B7-58CDD5D6A3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41" stopIfTrue="1" id="{1C78A566-69EB-4918-A2CD-B31C2BD6E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40" stopIfTrue="1" id="{395D95CE-4863-42F7-83A8-C2F9109562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39" stopIfTrue="1" id="{61F0F9E3-32B7-447E-92F0-305A48082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38" stopIfTrue="1" id="{5AFDC8C2-0749-4BA8-A834-D9F3B97151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37" stopIfTrue="1" id="{D1C5B57A-0437-4D5B-A8CD-8CEA5F3BD0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36" stopIfTrue="1" id="{DC0BB887-7D83-4A3F-AADB-2621858DE5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35" stopIfTrue="1" id="{253FFECB-8C7F-4476-8290-E5A1CBBDB7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34" stopIfTrue="1" id="{9531E1B6-9641-4B72-9305-071A8455B1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33" stopIfTrue="1" id="{55E5A434-DC3F-4142-8B83-A48B302934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32" stopIfTrue="1" id="{9D0C6E89-3F5B-4E4B-A380-D3B151053D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31" stopIfTrue="1" id="{66C702B9-1E61-4718-B449-EBD988F3FD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30" stopIfTrue="1" id="{6353FC8B-6834-4686-A793-656650D9A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29" stopIfTrue="1" id="{59F8B73F-C913-4012-AA1F-6B8A3FA3E7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28" stopIfTrue="1" id="{BBA8CDD7-9450-4610-96A4-3D9E96105E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27" stopIfTrue="1" id="{7F6F4E42-FCB0-4E86-B8FD-B0E0456113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26" stopIfTrue="1" id="{F756899E-60AE-42DD-A3A5-760016E8F3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25" stopIfTrue="1" id="{32370BF7-FAEE-4EA7-A26D-515FACB9AE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24" stopIfTrue="1" id="{35C329FC-DB38-4300-918D-D7B313ED82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23" stopIfTrue="1" id="{1AA67848-07AC-4BCF-A86A-C19A283421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22" stopIfTrue="1" id="{8E1CCB1E-C440-4EEC-8243-9BF88B69D8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21" stopIfTrue="1" id="{EF75CBAD-7D54-41E5-89D0-EE17967E5B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20" stopIfTrue="1" id="{21D8FEFA-24B5-44AB-AEBC-6F49C8902B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19" stopIfTrue="1" id="{3603B050-7898-4BAA-9598-4FA6BEFB96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18" stopIfTrue="1" id="{E38A59EF-EA33-4248-9B6F-CC9A666C8A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17" stopIfTrue="1" id="{AB7190D2-E019-4360-8CF0-CE1AADDC9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16" stopIfTrue="1" id="{B26059C5-0B28-4056-AC8E-3D8442AB24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15" stopIfTrue="1" id="{20C97E02-4DAE-44AA-B6EC-47C3897DD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14" stopIfTrue="1" id="{8F48AC30-DCB3-49CC-9AF5-E95784CCB4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13" stopIfTrue="1" id="{089E5FF3-7EB8-4209-AB25-8C6FF6FADF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12" stopIfTrue="1" id="{8AD769B5-1BEE-426A-BDA0-F305B86C47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11" stopIfTrue="1" id="{FF652E08-6D87-4365-9B08-E1E34BFBA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10" stopIfTrue="1" id="{57E4D079-E0D3-4415-BD9F-4452F5E6EB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09" stopIfTrue="1" id="{76E7C47F-B6EC-44A1-ADD0-E31AF9BACF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08" stopIfTrue="1" id="{1C68BF7D-EA4F-4ACE-BABD-4C92CF60DD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07" stopIfTrue="1" id="{E48124C9-E9FB-477B-A5EF-2C51404A18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06" stopIfTrue="1" id="{B0463D61-6B03-48F6-B903-599635B95A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05" stopIfTrue="1" id="{69EBAFCC-4967-408E-8238-993CC539E4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04" stopIfTrue="1" id="{BCDD1320-A8EC-4C72-BAF6-29A093998E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03" stopIfTrue="1" id="{C5A2BB3D-F329-4E22-B88E-478BEC7B77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02" stopIfTrue="1" id="{F7BC74FB-836E-49CA-A8BF-7E2D2B8F49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01" stopIfTrue="1" id="{36F71489-6150-459E-B295-608B4A724C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600" stopIfTrue="1" id="{BE544427-195D-4925-83A8-8317021CF0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99" stopIfTrue="1" id="{94C0AA5B-2472-4DA1-8201-1838D64C4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98" stopIfTrue="1" id="{17584EFC-B804-48BF-933D-14B7F361E9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97" stopIfTrue="1" id="{4891A9FC-6F8A-4771-B164-5457FB814C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96" stopIfTrue="1" id="{9AB73C78-4C71-4C64-8371-C01E94385E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95" stopIfTrue="1" id="{459EB286-6961-4DCD-966E-818A7C4DAF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94" stopIfTrue="1" id="{F2745AA9-0714-487B-8FC9-C8B93C5802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93" stopIfTrue="1" id="{D09F36B3-228A-4BF2-AA6E-A9244FE4B1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92" stopIfTrue="1" id="{AEE4B9BC-05E7-4AFC-82E3-4F01F004DC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91" stopIfTrue="1" id="{D9381357-0594-4A8F-8F95-AE8C3D999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90" stopIfTrue="1" id="{C5BDF781-106A-4B7E-9C6E-2E962B072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89" stopIfTrue="1" id="{848466D0-DDCF-4E63-98DC-927C5CF9C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88" stopIfTrue="1" id="{C5C8C558-29B7-4B28-B9E5-4AA84FEAF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87" stopIfTrue="1" id="{0A06A5F6-ACB6-4116-819A-04D87562BF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86" stopIfTrue="1" id="{059FDBFF-5B77-4D9B-AEEA-E5AF6772B9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85" stopIfTrue="1" id="{45C46B26-A342-49BE-9254-A77E945C82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84" stopIfTrue="1" id="{442A49AD-A0B9-46E4-BDFB-7832BCB0B9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83" stopIfTrue="1" id="{C49D17C8-33A9-4C77-B926-6676449C11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82" stopIfTrue="1" id="{F2F0EFE1-6839-4E10-88F8-C3E7C1D878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81" stopIfTrue="1" id="{B8DAD2C6-E13E-45B9-A1EF-D08957D71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80" stopIfTrue="1" id="{C795CFFC-C2D5-4E41-B868-16256403C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79" stopIfTrue="1" id="{6F9D1D3C-4484-4C58-9D8B-C5067962A1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78" stopIfTrue="1" id="{77468F45-DCEE-4D04-92BD-34E9172814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77" stopIfTrue="1" id="{35497714-21BB-4AFA-9AFF-C2E1E2D75C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76" stopIfTrue="1" id="{EF96B41B-B6B7-430E-8B61-12DDA1369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75" stopIfTrue="1" id="{536A1B00-2A1E-40C1-A7A0-EF1905BFA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74" stopIfTrue="1" id="{30315493-2BDC-4E19-A5D3-5143F4563D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73" stopIfTrue="1" id="{061F4D1B-030A-4BC3-83D6-0F07FBC1C4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72" stopIfTrue="1" id="{E74F1BA2-0B8B-4CA8-A618-81318BC1D3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71" stopIfTrue="1" id="{8DF52C9F-2949-4C38-A399-22D53748A9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70" stopIfTrue="1" id="{A272354D-061A-4384-8F2C-879C06138B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69" stopIfTrue="1" id="{BC6554E8-8767-4CB5-A8FC-54583C62BE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68" stopIfTrue="1" id="{4A5B46D9-6EBE-4628-9092-5E1765A35E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67" stopIfTrue="1" id="{FBCC780F-BB98-49C6-BAA7-FFA32F4011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66" stopIfTrue="1" id="{15FFE42B-706F-4ED1-9321-68405C4100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65" stopIfTrue="1" id="{07029EBA-9130-459E-8B54-90F1E1ADED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64" stopIfTrue="1" id="{7BFC8B96-D063-4326-890F-B410DB6842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63" stopIfTrue="1" id="{FF093CB7-8EBE-465B-834C-0E81FC751B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62" stopIfTrue="1" id="{1393592C-07FE-4585-9F9E-DB73192F1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61" stopIfTrue="1" id="{8EAB8681-C150-497C-827B-FD473C9449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60" stopIfTrue="1" id="{963985E1-47D6-4CE9-B683-8395DB112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59" stopIfTrue="1" id="{13A1BB1C-9756-434A-B3B6-2C5B6F0895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58" stopIfTrue="1" id="{E1FE94E0-A4A4-4B36-A0D5-B714B14BC5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57" stopIfTrue="1" id="{4353330A-CD33-49B2-8F19-AAFDFB8A84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56" stopIfTrue="1" id="{B37C6ACB-6BF0-495A-A9E7-F783CBC6D0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55" stopIfTrue="1" id="{1F5D232F-B40C-470F-9D76-57443E6AA6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54" stopIfTrue="1" id="{389CEADD-32FB-48BA-B720-A56F655E45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53" stopIfTrue="1" id="{E545652B-F450-45E9-9CE8-08AB31BC74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52" stopIfTrue="1" id="{D24E372A-FCC0-4F6D-8DEF-81F7F4DC0E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51" stopIfTrue="1" id="{74D73DB8-A6CC-48F2-AFB0-78B585B32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50" stopIfTrue="1" id="{7E5615AA-5A2B-4A17-A977-BFC1A28EA8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49" stopIfTrue="1" id="{8E0A1AE0-4D0C-4E64-A2E7-3B0D414C7F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48" stopIfTrue="1" id="{F534CC5D-A807-491C-AD8F-DEBA467854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47" stopIfTrue="1" id="{226FA23D-05CA-40D2-86A5-2F938F51A8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46" stopIfTrue="1" id="{69BB13DA-507F-4AAC-B95E-A11EA9EBDE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545" stopIfTrue="1" id="{5B21280A-2F8E-456E-9BD1-85B3FCAD8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544" stopIfTrue="1" id="{AF2C76AB-D738-40D5-947C-5C850E556C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543" stopIfTrue="1" id="{0B3A69FA-D57B-468D-841F-1EC26E5471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542" stopIfTrue="1" id="{F498969F-4917-4A3F-8FF4-953997899D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541" stopIfTrue="1" id="{A7BBA657-CBE7-46D5-B2DD-6971258D20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540" stopIfTrue="1" id="{7B842AF2-4270-4BFB-A35A-F51E7CD8B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539" stopIfTrue="1" id="{8092262E-C0CB-45EC-AF3D-56A635D3B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38" stopIfTrue="1" id="{4A7075B4-A025-418E-9062-1606265E8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37" stopIfTrue="1" id="{5DDA38DB-6ADA-47C9-8FDC-E2771C6D4A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536" stopIfTrue="1" id="{F1067A6C-A404-41FA-9055-5EABFBF7FD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535" stopIfTrue="1" id="{8393817F-700B-489E-99E9-905AC4C26E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34" stopIfTrue="1" id="{08E5DAAE-BEA4-4A74-BE5F-7B48427FB8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33" stopIfTrue="1" id="{170BBB2E-0908-4418-AD7D-18EEDAB07B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32" stopIfTrue="1" id="{9891D314-58B2-45C6-BD48-DB12D5258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31" stopIfTrue="1" id="{08FF196B-E720-4034-8901-153AC1F312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30" stopIfTrue="1" id="{46B166C6-6B78-48C4-8F95-67477D28FC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9" stopIfTrue="1" id="{9DD9EDC7-DD4F-4CEA-AAC2-EDEC229A9A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8" stopIfTrue="1" id="{D8BBC4CE-25D9-4F8D-AFEC-28C884337D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7" stopIfTrue="1" id="{194739B3-1271-49BA-8851-657028E87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6" stopIfTrue="1" id="{DED6404D-25A2-445A-A067-643B77DFBB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5" stopIfTrue="1" id="{7F967BA6-2F92-4299-A3C8-C39CE48851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4" stopIfTrue="1" id="{0EADB0E5-5127-4F1C-8838-6CFEF0BB4B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3" stopIfTrue="1" id="{BD712337-0B0F-4674-AD09-B9740D5FF3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2" stopIfTrue="1" id="{1AA02AB7-EBD5-406E-93B2-7CF87D233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1" stopIfTrue="1" id="{3D9CAA9D-D525-4AF0-A133-2DAACAAF06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20" stopIfTrue="1" id="{4E339025-368F-48C3-A1AC-B2AF6628A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19" stopIfTrue="1" id="{171632D0-ED26-4DF7-8D4F-CA9D958A99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18" stopIfTrue="1" id="{54295109-592B-43DD-ABE4-E65DC66641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17" stopIfTrue="1" id="{21A0FA47-65A9-42C2-9390-B244F861E7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16" stopIfTrue="1" id="{D8FF0717-7B94-4B99-8C8F-5777781A8C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15" stopIfTrue="1" id="{CB0C2997-DCE7-4407-B5F4-75F0A33FC2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14" stopIfTrue="1" id="{EF9CCBC2-6BBA-44B3-9B4D-A73C097037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13" stopIfTrue="1" id="{9F820BB0-42E2-4B7F-AA5C-B133CF2DC8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12" stopIfTrue="1" id="{9644517B-CCE2-4C2C-9FCF-41DAEB0D60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11" stopIfTrue="1" id="{9B2BDA67-E3AE-4EDD-A188-90BF6BB051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10" stopIfTrue="1" id="{8719AC99-6BE5-4A20-B20D-EF475C226A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09" stopIfTrue="1" id="{9E643B9D-1D3E-4162-A990-143BB80266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08" stopIfTrue="1" id="{17EB8F3A-6670-4945-AA69-957937BD84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07" stopIfTrue="1" id="{065BA89E-78A7-49A4-8945-926970BD6D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06" stopIfTrue="1" id="{C77F4B3A-89BC-49EC-A857-4B1DE2D7C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05" stopIfTrue="1" id="{D4960867-BF0A-491E-B95A-1C362B4B89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04" stopIfTrue="1" id="{A95C7E97-F4C9-4012-AC31-8A8BB9EBCD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03" stopIfTrue="1" id="{230247B2-3F2D-4072-B3C2-90FACA732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02" stopIfTrue="1" id="{FFA3754D-FDED-4A7F-8FAD-1F03CBBEC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01" stopIfTrue="1" id="{BC45CEEE-276F-48EF-9422-AADF1D0C37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00" stopIfTrue="1" id="{D632DD20-1456-4321-9C80-42545DA2B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99" stopIfTrue="1" id="{2B480844-D823-4D4B-A278-71FEDE386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98" stopIfTrue="1" id="{B3C52BA7-04EC-466D-B354-76F3B8E490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97" stopIfTrue="1" id="{89BCEBAD-D079-4872-BC64-BB9016DB6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96" stopIfTrue="1" id="{9B646A60-8616-4139-A8A8-521A9C250E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95" stopIfTrue="1" id="{34623C92-0DD4-435D-81BE-69A45259E4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94" stopIfTrue="1" id="{91B3D878-3064-4F23-B8DA-49EDA966B4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93" stopIfTrue="1" id="{6755D03F-7F84-4108-AD37-4F738E9EC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92" stopIfTrue="1" id="{4668618A-04C5-41D8-BC16-1164A67FA3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91" stopIfTrue="1" id="{C41647A3-4F9A-4DE0-A841-52EC1EB31E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90" stopIfTrue="1" id="{122E927C-0862-4CC5-9449-4CE981220A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89" stopIfTrue="1" id="{FB1DDBAE-487D-4606-8D04-554358DEFC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88" stopIfTrue="1" id="{3D1108BC-CB97-4418-AB9F-70A9F91DF1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87" stopIfTrue="1" id="{C78A873A-1F76-4259-8F3B-5D0F9A08A4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86" stopIfTrue="1" id="{042C08C5-AB2E-41C7-AB3A-7FAD626972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85" stopIfTrue="1" id="{385F9282-A716-4516-841B-FC535296F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84" stopIfTrue="1" id="{57785CE3-7250-4AB4-AF55-EC409E50F8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83" stopIfTrue="1" id="{F75C3425-D5B5-4E5E-A033-7A28D72A04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82" stopIfTrue="1" id="{9EEFBE7C-F51C-4AB8-8F06-8D2A565E39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81" stopIfTrue="1" id="{54056EDE-E40F-4844-9E94-D11ED02EC8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80" stopIfTrue="1" id="{4CFE5BB0-0C4B-4092-AD05-FF3F5E9F29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79" stopIfTrue="1" id="{B54C9084-7895-4A97-B810-BA6EB26B8A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78" stopIfTrue="1" id="{EFDB438D-7BB0-40CF-A2D7-6EE5BAE2B4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77" stopIfTrue="1" id="{4E92A96A-72FB-47A4-8192-CE142AA6B0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76" stopIfTrue="1" id="{98DDDC5A-152F-42CC-B7C6-54A9C5970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75" stopIfTrue="1" id="{E09BF259-ADA5-4177-B427-E684AF58E4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74" stopIfTrue="1" id="{B632E599-FF65-4B65-9837-B77F6C93FC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73" stopIfTrue="1" id="{9F559142-45FB-4BB5-B839-3A2FE72D7F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72" stopIfTrue="1" id="{A6F961CD-E50A-4D44-85FE-95FDFA6F1A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71" stopIfTrue="1" id="{08B8E192-FE6E-4A2E-AAE6-68C364D472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70" stopIfTrue="1" id="{990BECBC-CB27-4C16-80C9-A1731FF85A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69" stopIfTrue="1" id="{EBC403AE-7B8F-4D56-A0A7-3F1A559192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68" stopIfTrue="1" id="{8190A01A-327D-4849-AB85-481FB0CA1C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67" stopIfTrue="1" id="{523613FD-67DC-4601-8780-B95F5EB0E6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66" stopIfTrue="1" id="{B5651C03-B922-4A54-8C55-95D29B0FDF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65" stopIfTrue="1" id="{A5DC7A3D-B7FD-4E47-B121-4911E5B010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64" stopIfTrue="1" id="{BDA16A19-B4EB-44FB-B704-566055011D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63" stopIfTrue="1" id="{894B74E6-C4E4-4E0A-B122-6F8CEB172F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62" stopIfTrue="1" id="{78E942C3-29B9-4E08-802E-DB7AD3F2A3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61" stopIfTrue="1" id="{B433632C-A42D-4921-9D79-0B28A0192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60" stopIfTrue="1" id="{6791B57A-D0F2-4EF6-8C4B-4F909FB12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59" stopIfTrue="1" id="{E174AEAB-3F5D-4C8A-9331-33BD1929CB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58" stopIfTrue="1" id="{BBBE4220-C6DF-4556-8908-B381E36EC4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57" stopIfTrue="1" id="{826CB582-DB4B-4B6F-94E6-F150D0F02A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56" stopIfTrue="1" id="{29853A6B-39F5-4B1B-AE59-8F994405C5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55" stopIfTrue="1" id="{87292A2C-7E53-4DC7-B9B0-9E164A4B60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54" stopIfTrue="1" id="{5ECC59AF-19E2-47A5-92FC-682F4FE333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53" stopIfTrue="1" id="{4FE21254-C311-41B3-B46D-EB21625A96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52" stopIfTrue="1" id="{27C1691E-03EF-4971-9AA5-63388E33D7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51" stopIfTrue="1" id="{1747EC67-A3A6-4E85-A5DF-282E393413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50" stopIfTrue="1" id="{8CBFBD84-EB96-4776-ACB1-CA642A94F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49" stopIfTrue="1" id="{173B77B2-9C71-4B91-BCA3-06F47AABE4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48" stopIfTrue="1" id="{95E09522-D444-4989-88AA-472D9C4894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47" stopIfTrue="1" id="{CD640A11-179B-4DFB-8612-0FF7FBB03E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46" stopIfTrue="1" id="{4923C315-CCDA-4EC9-A794-C2EBE0442D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45" stopIfTrue="1" id="{53564C10-3402-45DE-A26B-A7CC2EA58B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44" stopIfTrue="1" id="{D85462AE-E5BD-45F0-BB28-1BE129C1B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43" stopIfTrue="1" id="{299C9B4E-EE43-46A9-AC1E-56B8F27E52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42" stopIfTrue="1" id="{D8432B2F-BD53-4C73-BB87-F6563CA6EA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41" stopIfTrue="1" id="{CF7D0AA5-F4C1-4D56-AD25-8028B59047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40" stopIfTrue="1" id="{7DE0B0B0-3AAD-4FAC-899E-F3205E2024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9" stopIfTrue="1" id="{63D177AD-B634-4A50-9D50-3845EBE2FF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8" stopIfTrue="1" id="{30466678-7FD2-4EB8-A0A1-3779B7F17C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7" stopIfTrue="1" id="{F6FD1ADA-480B-42E3-9722-B33E5A9FE4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6" stopIfTrue="1" id="{95FB51A9-1F7C-4799-AB90-16D29B4C3F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5" stopIfTrue="1" id="{389F7A21-C0C0-4694-A819-8F5E92781B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4" stopIfTrue="1" id="{5CE2BC7F-D02F-4CA7-A6E7-1E587B1C4F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3" stopIfTrue="1" id="{68DE93BC-276A-4C33-A9A2-F871840364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2" stopIfTrue="1" id="{48DB674A-A522-4636-B25C-F6DF34E4E4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1" stopIfTrue="1" id="{B0EBA9DD-52FB-45CF-BFD6-33F152ECD0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0" stopIfTrue="1" id="{E57FD48F-6855-43EA-8BDC-8EEABF69ED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9" stopIfTrue="1" id="{4D25A1A2-4D0D-4BA6-9EB9-C8D78E8080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8" stopIfTrue="1" id="{92E2D34E-7879-4203-94A4-E74A600B92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7" stopIfTrue="1" id="{7C5B7CA6-5E53-48AC-97E9-17E561B544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6" stopIfTrue="1" id="{0A8C0F10-7591-4D89-8705-59C05BEDAF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5" stopIfTrue="1" id="{CDBC665C-2832-413F-A797-A8469FD303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4" stopIfTrue="1" id="{038C680C-2A68-4E6E-A2E3-AFD906169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3" stopIfTrue="1" id="{07DB676C-1033-441F-839D-8B05F3C4C2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2" stopIfTrue="1" id="{E0085EF5-1C23-4410-85A1-BA2876F48E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1" stopIfTrue="1" id="{DD94DECF-6625-4607-90FE-9914EA78CE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0" stopIfTrue="1" id="{5FF62576-AF10-4869-BEB3-399515D49F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19" stopIfTrue="1" id="{C427ABE9-E42C-4F5C-9D5E-9C89ACBE49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18" stopIfTrue="1" id="{A22A0216-C662-42AC-BA54-4AFD9E4D9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17" stopIfTrue="1" id="{A6BF5E9D-D88E-4AD5-B00B-6A94133105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16" stopIfTrue="1" id="{01D256B5-EDAB-48B4-8B85-D54EBFA2FD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15" stopIfTrue="1" id="{03FC15C8-2FBE-4418-A658-5CD462E0E0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14" stopIfTrue="1" id="{ED2222D4-0BDB-40D9-B797-16C48512C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13" stopIfTrue="1" id="{A28CF667-EC6D-4D1D-AFD6-F3B9562AF0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12" stopIfTrue="1" id="{A4B5AE53-1721-499E-A41C-5CE6A30716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11" stopIfTrue="1" id="{0582050A-ED08-4F7D-8E3C-28EB5263B7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10" stopIfTrue="1" id="{3395576E-1D4E-47EF-9329-01D91E787C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09" stopIfTrue="1" id="{C624D648-CE22-46E3-9728-31F3998125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08" stopIfTrue="1" id="{8A059DBE-2782-41D9-8CEC-9D33927A11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07" stopIfTrue="1" id="{3DA48665-38EB-4612-9A89-08C8E71E63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06" stopIfTrue="1" id="{5D3D6D9D-70E7-45F5-A427-0E8E1DC7D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05" stopIfTrue="1" id="{D4D2F05D-7D2E-4CFF-81B6-3805947CD1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04" stopIfTrue="1" id="{8323EA5D-0673-46B9-975F-3623A342C2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03" stopIfTrue="1" id="{F7EB5B18-757B-49E1-9EDF-992EFF8BCE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02" stopIfTrue="1" id="{0FA081FD-0766-4CBA-A0DB-B4C70A0A1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01" stopIfTrue="1" id="{B8298A19-0F44-4DED-B623-373C1FF6A8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00" stopIfTrue="1" id="{DBE78097-123F-4D96-A567-1C4A4E2344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99" stopIfTrue="1" id="{851F0CE4-8849-4619-9AF4-D270C75D3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98" stopIfTrue="1" id="{EB3460C3-966B-49F2-8D79-202F575013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97" stopIfTrue="1" id="{0EF961DA-28A8-47C3-9A35-6F0C0AE8E8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96" stopIfTrue="1" id="{E9F2CE36-35CB-44E5-98BE-DB2A85E3CA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95" stopIfTrue="1" id="{95D201B8-2C3B-4273-9B65-087D23A54B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94" stopIfTrue="1" id="{81D73A86-0D50-4254-BD36-4559B2CDE0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93" stopIfTrue="1" id="{FEAE5206-515B-495B-88BD-CF12CD87DA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92" stopIfTrue="1" id="{6E2D2D1C-B8ED-42F1-BFF3-F3A9199F4B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91" stopIfTrue="1" id="{39D8724C-8D41-4C7A-BFBA-CBDE3E979C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90" stopIfTrue="1" id="{F441E5B1-762F-485B-A6BA-5E42FDE420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9" stopIfTrue="1" id="{AE6A7C1A-55C9-40C4-A423-910ABF1493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8" stopIfTrue="1" id="{D4071059-7A4B-49F1-B254-2137E53F7E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7" stopIfTrue="1" id="{461858AD-42CD-4999-BA19-25005DD448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6" stopIfTrue="1" id="{5F26534C-2AE0-4390-93C3-3F7510DAF1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5" stopIfTrue="1" id="{87DA5E18-C300-463E-B9A3-AE78F2AA83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4" stopIfTrue="1" id="{8F494E95-03D2-4BA9-BA57-FE1959046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3" stopIfTrue="1" id="{6C6A7326-424E-4912-9DD4-CDA75B8B87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2" stopIfTrue="1" id="{0E7E074E-AC9F-472C-B79C-A63A3E17F1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1" stopIfTrue="1" id="{BF0F3671-B08A-43AC-AEF5-B8BA6A7017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80" stopIfTrue="1" id="{A14FCB29-0948-4B5A-B7C6-19E53B3C84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9" stopIfTrue="1" id="{462D695C-3BE3-43AE-A9AE-4D534B6FBC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8" stopIfTrue="1" id="{BE621878-41E9-4398-8F9F-C3F449A228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7" stopIfTrue="1" id="{A43A3F10-B626-4BBC-83E8-27CE60F02C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6" stopIfTrue="1" id="{37A1A04F-D279-467A-97BF-371568292D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5" stopIfTrue="1" id="{14A65F13-3124-499B-8F83-E48C9CCEB5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4" stopIfTrue="1" id="{114C6405-61C0-4FCD-8747-41637FF490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3" stopIfTrue="1" id="{703EBE9B-2088-4D2E-B6B8-0C0B59330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2" stopIfTrue="1" id="{C27C777F-3B5E-42F0-941F-DE70C53A70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1" stopIfTrue="1" id="{F1BEB590-3F47-47BA-AFE9-2BF61E4391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70" stopIfTrue="1" id="{E49B22C9-6ACD-4537-B9F8-47031B8067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69" stopIfTrue="1" id="{D551851A-6773-46B7-9BA9-F08E76A812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68" stopIfTrue="1" id="{A7F9B603-B852-4E07-984F-4B2854277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67" stopIfTrue="1" id="{B5D845A0-CE43-4018-B743-6D68F8AF8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66" stopIfTrue="1" id="{AC2B285F-85A5-462E-8B71-7172481751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65" stopIfTrue="1" id="{28A16959-111A-4086-877C-41F0CD4474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64" stopIfTrue="1" id="{2FFC4E8A-79F9-4642-9F9D-DEF477FEB8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63" stopIfTrue="1" id="{417F8A5D-B911-4285-9547-497F98426D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62" stopIfTrue="1" id="{E73431F8-5C62-4613-BD12-3298B182DD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61" stopIfTrue="1" id="{6D73E766-EE81-4C80-8E48-AE3A64A97A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60" stopIfTrue="1" id="{1A1F6544-2226-493C-A5B5-4D0FBC2304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59" stopIfTrue="1" id="{8F6DE156-301B-4215-AC16-B92C972346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58" stopIfTrue="1" id="{637188A7-1C94-4453-B57C-88D3056E6F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57" stopIfTrue="1" id="{06B2B4D8-55F1-48DB-AA9D-E5DECB8BA3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56" stopIfTrue="1" id="{AAE065C5-80AA-416F-84D1-66BEDBE063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355" stopIfTrue="1" id="{C044B046-2796-432D-9930-F8240159D1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54" stopIfTrue="1" id="{7EF539DE-ED58-4CC8-AF5D-14E2A54466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53" stopIfTrue="1" id="{E1A63786-BAAD-4401-AE6F-245A363248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52" stopIfTrue="1" id="{AA6EF75E-9043-44AA-BA71-CF09741E14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51" stopIfTrue="1" id="{2DDAE24D-EE9D-40C9-9D95-BE2FB17884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50" stopIfTrue="1" id="{C0569B1E-7E23-4C3A-B70B-B9F5D06C05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49" stopIfTrue="1" id="{4F69B66F-60E1-4E72-B17F-B1D6BF2977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48" stopIfTrue="1" id="{6C54D832-E31D-4916-B828-19C789B673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47" stopIfTrue="1" id="{13BE066B-574E-429C-8E6F-93660A37B1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46" stopIfTrue="1" id="{62AB0935-5658-4099-819A-81C8D53E60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45" stopIfTrue="1" id="{9BFBDBAC-6F66-4813-8B04-C8529B9544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44" stopIfTrue="1" id="{44E86822-9C45-4A87-992E-22C4FC285C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43" stopIfTrue="1" id="{12B850B8-D3E5-4F9A-8EBC-D90746F382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42" stopIfTrue="1" id="{CA5E2D1D-60E9-48A8-9B26-3F10324916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41" stopIfTrue="1" id="{A6035BF9-6F2A-4C51-8104-551C6B0B98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40" stopIfTrue="1" id="{8BA67440-C8F6-492C-8696-1F9B1306CD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39" stopIfTrue="1" id="{ACB3627E-06C6-4DA6-ABD4-825CCC1B94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38" stopIfTrue="1" id="{AA2FE96F-1303-43AE-AED0-9376BDE0F9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37" stopIfTrue="1" id="{32C60075-0A5B-4A06-8F32-0FA02C059E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36" stopIfTrue="1" id="{2729FFE2-0FBC-4B06-AB18-176EE4C86E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35" stopIfTrue="1" id="{0A0EF5B7-80AB-488C-B3E2-07C92CB7E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34" stopIfTrue="1" id="{52AA5B3E-CA97-49D4-AC3A-A0DB1C9EC0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33" stopIfTrue="1" id="{AE8026B9-66FC-4FE1-94D9-F694483A24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32" stopIfTrue="1" id="{0A5FB3D1-E140-4E4F-A4EF-B15E5DE61B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31" stopIfTrue="1" id="{B455A617-76B5-42D4-A95C-A31621330A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30" stopIfTrue="1" id="{4889410C-E729-48DF-A931-9269206150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29" stopIfTrue="1" id="{F2DF9265-07E9-4606-9E8B-F2C3EA6EEA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28" stopIfTrue="1" id="{A390513C-DADF-4E90-B1CD-8DCEA2182B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27" stopIfTrue="1" id="{B02F3477-94AB-4B35-AB5B-73544C323C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26" stopIfTrue="1" id="{4CB437D5-6D74-4D89-BFFE-214B7476AC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25" stopIfTrue="1" id="{91E91422-B099-46C2-9B40-2458534C28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24" stopIfTrue="1" id="{2E28EA69-7B8E-4B01-9F84-8F79BE149B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23" stopIfTrue="1" id="{D150A26E-3E53-4971-A358-850BE050FE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22" stopIfTrue="1" id="{A13232F6-016F-486D-B47B-3FD70A95A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21" stopIfTrue="1" id="{22AE9EF1-EC88-453E-91F2-E4354DAD3B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20" stopIfTrue="1" id="{904CAB7E-B929-486A-B16E-4DA38D94D6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19" stopIfTrue="1" id="{F7148B49-9C96-4EEC-B3B5-2A5E1AD03D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18" stopIfTrue="1" id="{3D13288C-590C-47AC-BDDB-2F489486D3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17" stopIfTrue="1" id="{6695562A-B499-423F-98D9-978D70AF33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16" stopIfTrue="1" id="{6B898C42-8574-46CD-A28D-498C056CAB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15" stopIfTrue="1" id="{4D902B4A-1212-4052-B4EE-CC012EA304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14" stopIfTrue="1" id="{16802408-E77A-415C-B691-1F3C59A7C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13" stopIfTrue="1" id="{0251D420-101A-45A6-ADC3-C27EB84DA1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12" stopIfTrue="1" id="{0CA3C0A3-584C-46A5-8E07-633A2D9206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11" stopIfTrue="1" id="{03C3F502-D11A-47C7-834A-7071DC0798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10" stopIfTrue="1" id="{21A89F05-8274-40A8-B0CB-B8F23456EF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09" stopIfTrue="1" id="{867C86B0-3B8E-4558-BAAB-BE6010C336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08" stopIfTrue="1" id="{29E1DDD3-2472-46E9-B87E-5CBF506E00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07" stopIfTrue="1" id="{E7EB3BEA-96BB-4C9A-B767-9DFD74945A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06" stopIfTrue="1" id="{D3DFAA7E-19B5-42C7-897D-6844DBCA4F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05" stopIfTrue="1" id="{872E7F23-CC6D-473E-B06D-304E9C18C8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04" stopIfTrue="1" id="{205A609B-6E0C-4B5E-93ED-A201634F12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03" stopIfTrue="1" id="{A7343C03-0A37-4C24-9A8D-CD9E57D38A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02" stopIfTrue="1" id="{4F673080-0699-4F91-99C5-9DFB000421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01" stopIfTrue="1" id="{F2143B33-EE9A-49B1-9022-E3671B6062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300" stopIfTrue="1" id="{E18BE702-663F-4533-B92A-6C1820C53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99" stopIfTrue="1" id="{9906412E-9D96-4F2C-9FA0-B5BB9AF6A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98" stopIfTrue="1" id="{BCD7EAB7-DF57-40F3-A779-75F2EB6003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97" stopIfTrue="1" id="{DA203DB4-B570-4C18-9689-F32D8DB88A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96" stopIfTrue="1" id="{28ABB5B4-16EA-4832-8EED-865638842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95" stopIfTrue="1" id="{AABA2890-2D66-41F7-8993-4E1146050B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94" stopIfTrue="1" id="{959B47B1-A4AE-4156-A311-9146946A0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93" stopIfTrue="1" id="{77EF8B29-AA9C-4EA9-BA5A-FEAF702C17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92" stopIfTrue="1" id="{5B0DA21F-A81C-4B4B-BC18-5527903BC1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91" stopIfTrue="1" id="{B689EC60-112B-4900-8097-C5AD9A8014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90" stopIfTrue="1" id="{B2442990-62DB-4510-B342-C19172FF08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89" stopIfTrue="1" id="{3F2177E4-C987-473E-BCEB-0D269421CA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88" stopIfTrue="1" id="{45126E9B-F8CC-4627-90C7-46CB67A159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87" stopIfTrue="1" id="{2B985428-B982-4FD1-B0A2-D136B0D972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86" stopIfTrue="1" id="{821EC85E-EF56-4074-BBA3-99A62C60CB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85" stopIfTrue="1" id="{E901ACFE-4B06-4AAB-8251-CE1F2A4BF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84" stopIfTrue="1" id="{E0C7D9CB-D874-43E0-96BB-BF7A2CED62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83" stopIfTrue="1" id="{2F910DD2-C58E-420D-B758-603F03E615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82" stopIfTrue="1" id="{689D8590-7AE7-4257-B8EF-ED6D363A1E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81" stopIfTrue="1" id="{E8D46876-3207-4AB9-927E-4C7A6AC42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80" stopIfTrue="1" id="{695E4AAD-4E9B-441E-81FF-48151A972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79" stopIfTrue="1" id="{2F91F480-691D-46EE-BDE4-8AC9E296B1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78" stopIfTrue="1" id="{E8050E85-534D-412D-93DE-4A35498351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77" stopIfTrue="1" id="{FBA26D34-4395-4394-913E-2BF4E32DBA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76" stopIfTrue="1" id="{C594BE54-634C-4D0B-BF28-27D4968680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75" stopIfTrue="1" id="{20C97320-AE0C-4410-B1A9-E5FD828510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74" stopIfTrue="1" id="{7B9364FF-1F84-4BED-B4D0-A5B097078A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73" stopIfTrue="1" id="{D55CE76B-1278-47D6-AC79-6949132354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72" stopIfTrue="1" id="{E851314B-33B3-4709-8DFA-E54F34B761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71" stopIfTrue="1" id="{1E383327-186E-4B7A-97E0-44F176359D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70" stopIfTrue="1" id="{DF516BC3-4A4A-4628-A0FB-858041B97C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69" stopIfTrue="1" id="{30AB208A-681D-461F-9E5D-7B4CE9A21B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68" stopIfTrue="1" id="{F30019B7-3C0B-4D7B-9245-9DC213B5B1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67" stopIfTrue="1" id="{CD6062A3-F27A-4079-8305-FF75F7365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66" stopIfTrue="1" id="{1C47A56F-FBF9-468A-8B70-E0478CD778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65" stopIfTrue="1" id="{73C1B0C0-248C-467F-8C18-BAF999E5C8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64" stopIfTrue="1" id="{D6842FA2-1A9A-4A81-B565-93393342C4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63" stopIfTrue="1" id="{165335FC-E8EC-463D-9A8C-86D9F74E5E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62" stopIfTrue="1" id="{7990C790-DC9D-4532-8E34-AC1F3CB289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61" stopIfTrue="1" id="{6EB98A41-9B97-4128-B97F-D4162057B0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60" stopIfTrue="1" id="{EF961ED4-295B-4D8A-B833-FA84E4B8BD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59" stopIfTrue="1" id="{ADFC1C25-E2A6-43F4-A1DE-737C4CEF65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58" stopIfTrue="1" id="{8A014E2C-326C-4B9C-9CCD-824E003B0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57" stopIfTrue="1" id="{694F42CF-7796-467A-A774-976AB08AF6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56" stopIfTrue="1" id="{A0A9E149-58B4-4D02-B1E0-FF6B97B076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55" stopIfTrue="1" id="{2DD33495-60AD-4B26-94A7-B25579BA82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54" stopIfTrue="1" id="{D6B2D125-4DB2-4426-B0FE-69D40A274D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53" stopIfTrue="1" id="{22C4FE4C-0C7D-413E-A600-69BC94271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52" stopIfTrue="1" id="{EB718FDD-D6C2-4D52-9EC3-F6D1DBE05F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51" stopIfTrue="1" id="{FC517126-6C44-4372-A14E-8A8A52D23B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50" stopIfTrue="1" id="{A51DD665-5A8B-443E-B5F2-45A3A04D38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49" stopIfTrue="1" id="{05D22856-9692-41AE-94B2-C2487E2463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48" stopIfTrue="1" id="{6588A808-844D-4C65-9375-FCF530A56D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47" stopIfTrue="1" id="{2D51B63C-E6BA-4E24-A688-CB5157C220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46" stopIfTrue="1" id="{C4E70487-FAAF-4802-A684-1F489C0896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45" stopIfTrue="1" id="{C3C889D8-AE28-4C1C-9CDF-CD4139C220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44" stopIfTrue="1" id="{28DF9384-4AF7-4A5F-B89C-E9F4CD296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43" stopIfTrue="1" id="{C3598C0B-43DC-4748-B9FD-B1DBC7A07D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42" stopIfTrue="1" id="{E26156CC-052D-4318-9292-4DBC2D34B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41" stopIfTrue="1" id="{07C4314D-3C6D-497C-8555-B7CFBB277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40" stopIfTrue="1" id="{4831359B-09AE-4041-9D06-F880BECAC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39" stopIfTrue="1" id="{8B19BD9B-8CC3-47C7-8379-B818357DF3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38" stopIfTrue="1" id="{DFEBACE5-298C-44FF-9DB0-F7DF26ABC4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37" stopIfTrue="1" id="{63C9F0B8-846A-4CE3-BC1F-035D5A18FF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36" stopIfTrue="1" id="{6BDAD239-1616-4CD6-8B28-34DE01AAE1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35" stopIfTrue="1" id="{826087F0-2E97-400A-9D32-98B3C2AD19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34" stopIfTrue="1" id="{025D34C9-636F-49D7-BF4C-CA18F1EAED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33" stopIfTrue="1" id="{5B702937-310B-4B3E-89AE-240F3BC64D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32" stopIfTrue="1" id="{DA470631-E60D-489D-983F-E25BF105EE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31" stopIfTrue="1" id="{99B84D97-9FEF-4E35-9B48-29B834490A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30" stopIfTrue="1" id="{6FDB79DB-78CF-44C9-BE43-81CACF946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9" stopIfTrue="1" id="{2E1F8ACA-2BA1-40B5-B61F-C937B4F5C9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" stopIfTrue="1" id="{967C4EB9-DD7B-4F75-8C0E-957422B346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" stopIfTrue="1" id="{1DBD6AA2-50FE-4192-9D27-E50454B839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" stopIfTrue="1" id="{79BFAB42-71C8-4B09-AB0F-631248D1ED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" stopIfTrue="1" id="{6E930625-E311-4619-8465-103FF1189F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" stopIfTrue="1" id="{87F6E6DA-7CDC-44E4-AFFC-D9F5F10855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" stopIfTrue="1" id="{BA0FB0ED-5230-45B1-9A89-71282F90E0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" stopIfTrue="1" id="{05E85D64-FB78-45C8-8401-05EA03946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" stopIfTrue="1" id="{37F460FB-3BBC-4E6E-852A-1F30F30F1F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" stopIfTrue="1" id="{8A6B7D6D-8660-43AD-A241-882B09C2D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" stopIfTrue="1" id="{BAD77E40-DA7E-4AE3-9F6A-0EE6CDFC7D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" stopIfTrue="1" id="{80F600CA-9FED-4E13-9A39-59D9EB6A6B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" stopIfTrue="1" id="{3622B902-D26A-4332-BF6B-0D304662B2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" stopIfTrue="1" id="{643606C8-2469-41AF-B559-22DC3DB1F0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" stopIfTrue="1" id="{5D817C9A-F88F-4FA9-979B-67E349168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" stopIfTrue="1" id="{7F028D17-9E2A-42C1-9604-43CDC2210C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" stopIfTrue="1" id="{C88C57C0-59A9-4EF0-B569-BBE3AFF32A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" stopIfTrue="1" id="{1106B42C-2E60-434E-8A62-579292FB3B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1" stopIfTrue="1" id="{31D3A162-BC7B-4843-AFE1-CF4359FB16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0" stopIfTrue="1" id="{F3726883-D0C1-4FAC-90DC-61686570EF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09" stopIfTrue="1" id="{F78FE60F-1B03-423E-9697-C32D92B3A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08" stopIfTrue="1" id="{E311BA53-AFE4-41D4-8049-C816324941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07" stopIfTrue="1" id="{A0539DFB-883D-484A-B2BA-6A8F7C3BB9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06" stopIfTrue="1" id="{AB11CCB5-7EB5-4BAC-8B8E-527C7D6A2E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05" stopIfTrue="1" id="{69069B94-9EC0-484B-9F32-1E6BB0A09F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04" stopIfTrue="1" id="{D4C177FC-CFAA-42CA-9F7D-861B17E0CF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03" stopIfTrue="1" id="{A4C200D2-2E69-424B-B0E0-B8CFE1703B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02" stopIfTrue="1" id="{380B8365-8EB4-451A-9AF1-AFDF7929B2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01" stopIfTrue="1" id="{F5384CB4-BE73-4063-BB70-45E784E98B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00" stopIfTrue="1" id="{229CBECE-F372-475A-B4C5-8272DC6236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99" stopIfTrue="1" id="{0042FE8C-48AA-4C2F-8FA1-95E862BDD4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98" stopIfTrue="1" id="{287E1E0F-FA17-46A1-B63A-A7551C4FA0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97" stopIfTrue="1" id="{CE597252-F91B-4BEB-A4D5-D1B3B74412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96" stopIfTrue="1" id="{AD5070FA-D125-4C3E-A0E4-9E4BE17CC7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95" stopIfTrue="1" id="{438D229C-AF2A-4165-A1F1-9E4EBF132A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94" stopIfTrue="1" id="{43C895ED-8558-4E5B-996F-368FFC0A4E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93" stopIfTrue="1" id="{79847C87-85EF-4B55-8E82-4960490773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92" stopIfTrue="1" id="{A81192BE-9AFA-4F4E-8A74-06487F296A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91" stopIfTrue="1" id="{1DDDA6D9-E0B9-4C51-A675-F95DE70E59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90" stopIfTrue="1" id="{40F92BE3-2534-4F01-AD1C-5778908FB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89" stopIfTrue="1" id="{B4976C05-7384-4086-93F2-DF7A469B17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88" stopIfTrue="1" id="{41319EF7-5A15-4702-8E93-DD4FB9EC6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87" stopIfTrue="1" id="{90C7DCE7-004E-47F3-B0FF-B01BFD6711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86" stopIfTrue="1" id="{88D27D84-F880-4D7E-B35F-17B9198627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85" stopIfTrue="1" id="{3DECED2D-AEB1-4E72-8369-AEA9434BC9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84" stopIfTrue="1" id="{A2787282-E6EE-4BA8-8A10-0F10D82701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83" stopIfTrue="1" id="{02EF7FD2-205C-4183-B026-CA91972A50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82" stopIfTrue="1" id="{691EEF60-F347-4774-9D06-9FAE37EAA9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81" stopIfTrue="1" id="{F492685E-E17A-4D43-94DA-FDAC086275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80" stopIfTrue="1" id="{56F508D2-607E-4ACD-B51C-E1F044F6E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9" stopIfTrue="1" id="{55CACD68-96E6-4D28-969E-46408C760E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78" stopIfTrue="1" id="{5F5C1DD0-5594-4B71-ACC1-58EB459852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77" stopIfTrue="1" id="{66C3083B-B940-45C8-A463-9D2C6B23F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76" stopIfTrue="1" id="{D9385318-419C-4FD3-9029-3307FE2F05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75" stopIfTrue="1" id="{B627BADB-7C1D-469E-9FA8-120B9E7C8E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74" stopIfTrue="1" id="{B1C33966-A7AE-4971-8738-30FB49BC31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73" stopIfTrue="1" id="{FEBB66CB-E2F6-4983-9AC0-2F09E68F55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72" stopIfTrue="1" id="{36B83DBC-80BF-4BB5-A6F5-E02E29416A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71" stopIfTrue="1" id="{BD165A0F-34B6-4520-865D-7C9B2B5481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70" stopIfTrue="1" id="{06152C1C-0B6A-4858-BADA-C21A40061D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9" stopIfTrue="1" id="{CBD35D7E-8A42-4216-B6CF-1817D68EDF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8" stopIfTrue="1" id="{E0E8DFC5-FCE3-4892-BEB3-B6503486D1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7" stopIfTrue="1" id="{75EE37E8-C7C8-4F48-B0B4-41E0EF14EA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6" stopIfTrue="1" id="{59FEC18B-0E18-4125-97A2-FE24B3EF20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5" stopIfTrue="1" id="{07418ABA-9A02-41DC-8EA8-4652D77F59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4" stopIfTrue="1" id="{7D655CC3-0956-4BAF-BC99-8FEAE6AEF2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3" stopIfTrue="1" id="{D7AD170F-9E5B-4F99-946D-B01FC8ACA3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2" stopIfTrue="1" id="{02A61190-1845-4FF0-A6FB-3E6DD7D086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1" stopIfTrue="1" id="{D4B01E0B-747F-461B-B498-1C83BE24CA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60" stopIfTrue="1" id="{46A145DD-F046-4781-9A30-1943BCBE43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" stopIfTrue="1" id="{D4A229FB-58DD-42E6-9375-7F7A214608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" stopIfTrue="1" id="{A89BF45C-B04F-492A-AF4C-835F53020D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" stopIfTrue="1" id="{C501DB24-ECFA-4F27-93D9-A27B485634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" stopIfTrue="1" id="{565F6899-F76B-4BE2-AE77-13C5CC9444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" stopIfTrue="1" id="{90068A75-9DF4-44C9-9F69-C551F70383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" stopIfTrue="1" id="{C19EC2BC-516C-42A1-BC96-A4C937BA8D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" stopIfTrue="1" id="{8A9D8D04-1E65-4EC8-988C-5D21C8C8FF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" stopIfTrue="1" id="{870304AE-AEAF-4D78-84DB-4278469E3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" stopIfTrue="1" id="{365F6C51-CA78-48CA-B08D-E474A638B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" stopIfTrue="1" id="{3A907882-0F16-4097-AE48-B92BBDD5EA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" stopIfTrue="1" id="{FF475768-626A-4B24-8E2A-A3AC5630E5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" stopIfTrue="1" id="{1D0BF436-15B5-4BE5-AE9E-933CA04CCB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" stopIfTrue="1" id="{1EA9C64E-E572-4BF3-A0C6-8BE7B63918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" stopIfTrue="1" id="{D6313ED7-EB46-4D09-AB58-FD7F5D6A2D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" stopIfTrue="1" id="{99279B65-F064-4829-85CA-AA12C2DC1F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" stopIfTrue="1" id="{4EA922A3-3224-49D1-A638-393C350A3E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" stopIfTrue="1" id="{99A93396-F4D9-4B84-9546-BE0E677AF6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" stopIfTrue="1" id="{79C9DD6A-985E-4A2C-81B9-AC7A2E05C8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1" stopIfTrue="1" id="{88D1F4B0-65F0-4EAA-B406-E0BD95CF30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0" stopIfTrue="1" id="{FF5A1D61-7005-44E9-B192-B8AEFE7F7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39" stopIfTrue="1" id="{BB6BBF39-2E97-4C97-9DFC-75A9A2E46B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38" stopIfTrue="1" id="{5B6E4E0E-B644-4E28-8E68-BF082D5ED4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37" stopIfTrue="1" id="{D0A14225-144C-49A9-B950-33DC04975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36" stopIfTrue="1" id="{B2204C60-5D1B-4146-981E-1775B0057A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35" stopIfTrue="1" id="{7FDE0F05-846D-40BA-BF63-65AD8F1DC5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34" stopIfTrue="1" id="{0223E03D-7536-4483-A7B1-1AF71B5B2A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33" stopIfTrue="1" id="{F34B656D-BAD7-4345-A52C-8C40C33DEE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32" stopIfTrue="1" id="{08B7A4E7-849D-4CB7-A2BB-4A6528C37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31" stopIfTrue="1" id="{A92D8663-51CC-45AD-AFE6-5E6ECF64DB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30" stopIfTrue="1" id="{B6056516-355D-4F3B-BF7D-B56CE5A164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29" stopIfTrue="1" id="{E4D1523B-4461-4915-A3B8-C887D01C90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28" stopIfTrue="1" id="{FB53708E-D867-4E9E-B408-CA5DB1F25C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27" stopIfTrue="1" id="{47FF3C43-BDBE-4E42-AC82-6E3437D667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26" stopIfTrue="1" id="{40348956-D46E-474C-81E6-5328500508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25" stopIfTrue="1" id="{EF7330CF-E3E5-4185-9067-F47CD4C039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24" stopIfTrue="1" id="{C47A9796-792D-4538-BEC2-C122AEFFD6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23" stopIfTrue="1" id="{D30756BB-EE6D-4686-9A3D-18BAECDAB4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22" stopIfTrue="1" id="{00124011-61F4-41C7-A73B-645F613161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21" stopIfTrue="1" id="{FF31EFF2-7A68-4175-B161-173FF8732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20" stopIfTrue="1" id="{1D8D7EB0-1041-4F06-B3F4-4AFFD75931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12" stopIfTrue="1" id="{9DAF5364-8709-46C3-9B84-F663C0798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111" stopIfTrue="1" id="{89F567FC-5BA8-4797-813D-E0958DF2A3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109" stopIfTrue="1" id="{4A5DE0D9-3FF1-4756-AD0F-11D50C6A75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97" stopIfTrue="1" id="{18B18832-8730-4BBD-B1AE-4F3D5CA0EF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96" stopIfTrue="1" id="{1F6638BF-A2CD-444A-B8FD-01DC2DD8F0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95" stopIfTrue="1" id="{9A7A538F-4039-4D6D-A20C-7DAE8E21DE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94" stopIfTrue="1" id="{F86FE2B0-5165-4A26-90E1-6F61F5A571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82" stopIfTrue="1" id="{14C655E9-2677-4539-9CE5-436BEA385B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66" stopIfTrue="1" id="{916B8DBF-195D-4AC5-AFCC-70110E3DAA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65" stopIfTrue="1" id="{CB9787E4-B5B2-49DD-937A-A813553DD9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64" stopIfTrue="1" id="{E2F27BC1-3E4A-45C7-AF7E-CC24F3054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47" stopIfTrue="1" id="{D75941D6-762C-447B-B4C3-F2898CBC4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39" stopIfTrue="1" id="{72C257C7-2E23-4C5F-88B0-D68D4BA186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F17:G61</xm:sqref>
        </x14:conditionalFormatting>
        <x14:conditionalFormatting xmlns:xm="http://schemas.microsoft.com/office/excel/2006/main">
          <x14:cfRule type="expression" priority="22" stopIfTrue="1" id="{4F12B826-80B4-4096-A889-67B16D2F5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21" stopIfTrue="1" id="{511BED0F-B5D8-4540-A3F5-655049A364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20" stopIfTrue="1" id="{F26BC6F9-6BAF-4D20-89EB-B81B3CC032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19" stopIfTrue="1" id="{03CABE95-9A41-4149-832C-3CE073C161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18" stopIfTrue="1" id="{C1A649B4-731E-4A1A-8D55-D022A3D192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17" stopIfTrue="1" id="{879CA742-7E4B-42E1-A6A8-F706593E30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16" stopIfTrue="1" id="{C25F2060-B54B-466E-9E51-91A11CAAC6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15" stopIfTrue="1" id="{DBC0B2C7-5F93-41BC-A000-FB250787AA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14" stopIfTrue="1" id="{4983A05E-2A86-46B1-8CDA-5AFA3C87AA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13" stopIfTrue="1" id="{5706B066-E0D6-4971-9B66-41CA40E8C7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12" stopIfTrue="1" id="{9B63ADD5-29E8-4A1D-BFD9-70C16264AC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11" stopIfTrue="1" id="{0008477D-C387-4FAC-9AF4-DC2344DB45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10" stopIfTrue="1" id="{CCC976DE-B75D-46D7-B96D-B81BEF14F3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9" stopIfTrue="1" id="{DA5F1459-3E43-4B9B-965E-D6B74B3D70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F60:G67</xm:sqref>
        </x14:conditionalFormatting>
        <x14:conditionalFormatting xmlns:xm="http://schemas.microsoft.com/office/excel/2006/main">
          <x14:cfRule type="expression" priority="7" stopIfTrue="1" id="{1AF95569-9A1C-4B0C-AABF-3C47118FC4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F58:G58</xm:sqref>
        </x14:conditionalFormatting>
        <x14:conditionalFormatting xmlns:xm="http://schemas.microsoft.com/office/excel/2006/main">
          <x14:cfRule type="expression" priority="6" stopIfTrue="1" id="{18AF538E-688E-48BE-BB64-F3CB42833D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F125:G125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[1]FIXO!#REF!</xm:f>
          </x14:formula1>
          <xm:sqref>E1017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6" tint="0.79998168889431442"/>
  </sheetPr>
  <dimension ref="A1:BG240"/>
  <sheetViews>
    <sheetView showGridLines="0" showRowColHeaders="0" workbookViewId="0"/>
  </sheetViews>
  <sheetFormatPr defaultColWidth="2.7109375" defaultRowHeight="12.75" x14ac:dyDescent="0.2"/>
  <cols>
    <col min="1" max="15" width="2.7109375" style="79"/>
    <col min="16" max="16" width="2.7109375" style="79" customWidth="1"/>
    <col min="17" max="17" width="2.7109375" style="79"/>
    <col min="18" max="18" width="0.85546875" style="79" customWidth="1"/>
    <col min="19" max="43" width="2.7109375" style="79"/>
    <col min="44" max="44" width="2.7109375" style="79" customWidth="1"/>
    <col min="45" max="46" width="2.7109375" style="79"/>
    <col min="47" max="47" width="4.5703125" style="79" bestFit="1" customWidth="1"/>
    <col min="48" max="53" width="2.7109375" style="79"/>
    <col min="54" max="54" width="8.5703125" style="79" customWidth="1"/>
    <col min="55" max="55" width="8.85546875" style="79" bestFit="1" customWidth="1"/>
    <col min="56" max="56" width="8.7109375" style="79" bestFit="1" customWidth="1"/>
    <col min="57" max="57" width="9.5703125" style="79" bestFit="1" customWidth="1"/>
    <col min="58" max="58" width="4.28515625" style="79" bestFit="1" customWidth="1"/>
    <col min="59" max="59" width="5" style="79" bestFit="1" customWidth="1"/>
    <col min="60" max="16384" width="2.7109375" style="79"/>
  </cols>
  <sheetData>
    <row r="1" spans="1:44" s="68" customFormat="1" x14ac:dyDescent="0.2">
      <c r="A1" s="86"/>
      <c r="B1" s="245" t="str">
        <f>FSOL!B1</f>
        <v>APF (IFPUG) - Aplicação</v>
      </c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AR1" s="127" t="s">
        <v>373</v>
      </c>
    </row>
    <row r="2" spans="1:44" s="82" customFormat="1" ht="3" customHeight="1" x14ac:dyDescent="0.2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</row>
    <row r="3" spans="1:44" s="83" customFormat="1" ht="1.5" customHeight="1" x14ac:dyDescent="0.3">
      <c r="A3" s="256"/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  <c r="AF3" s="256"/>
      <c r="AG3" s="256"/>
      <c r="AH3" s="256"/>
      <c r="AI3" s="256"/>
      <c r="AJ3" s="256"/>
      <c r="AK3" s="256"/>
      <c r="AL3" s="256"/>
      <c r="AM3" s="256"/>
      <c r="AN3" s="256"/>
      <c r="AO3" s="256"/>
      <c r="AP3" s="256"/>
      <c r="AQ3" s="256"/>
      <c r="AR3" s="256"/>
    </row>
    <row r="4" spans="1:44" s="82" customFormat="1" ht="5.0999999999999996" customHeight="1" x14ac:dyDescent="0.2">
      <c r="A4" s="79"/>
      <c r="B4" s="79"/>
      <c r="C4" s="79"/>
      <c r="D4" s="79"/>
      <c r="E4" s="79"/>
      <c r="F4" s="79"/>
      <c r="G4" s="79"/>
      <c r="H4" s="79"/>
      <c r="I4" s="80"/>
      <c r="J4" s="80"/>
      <c r="K4" s="80"/>
      <c r="L4" s="80"/>
      <c r="M4" s="80"/>
      <c r="N4" s="80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</row>
    <row r="5" spans="1:44" s="75" customFormat="1" ht="14.25" hidden="1" customHeight="1" x14ac:dyDescent="0.3">
      <c r="A5" s="79"/>
      <c r="B5" s="79"/>
      <c r="C5" s="79"/>
      <c r="D5" s="79"/>
      <c r="E5" s="79"/>
      <c r="F5" s="79"/>
      <c r="G5" s="79"/>
      <c r="H5" s="79"/>
      <c r="I5" s="128"/>
      <c r="J5" s="128"/>
      <c r="K5" s="128"/>
      <c r="L5" s="128"/>
      <c r="M5" s="128"/>
      <c r="N5" s="128"/>
      <c r="O5" s="131"/>
      <c r="AK5" s="257" t="s">
        <v>425</v>
      </c>
      <c r="AL5" s="258"/>
      <c r="AM5" s="258"/>
      <c r="AN5" s="258"/>
      <c r="AO5" s="258"/>
      <c r="AP5" s="259"/>
    </row>
    <row r="6" spans="1:44" s="81" customFormat="1" ht="15.75" customHeight="1" x14ac:dyDescent="0.35">
      <c r="A6" s="142"/>
      <c r="B6" s="142"/>
      <c r="C6" s="142"/>
      <c r="D6" s="270"/>
      <c r="E6" s="270"/>
      <c r="F6" s="270"/>
      <c r="G6" s="270"/>
      <c r="H6" s="142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</row>
    <row r="7" spans="1:44" s="72" customFormat="1" ht="18.75" hidden="1" customHeight="1" x14ac:dyDescent="0.3">
      <c r="A7" s="142"/>
      <c r="B7" s="142"/>
      <c r="C7" s="142"/>
      <c r="D7" s="142"/>
      <c r="E7" s="142"/>
      <c r="F7" s="142"/>
      <c r="G7" s="142"/>
      <c r="H7" s="142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</row>
    <row r="8" spans="1:44" s="78" customFormat="1" ht="18.75" customHeight="1" x14ac:dyDescent="0.35">
      <c r="A8" s="142"/>
      <c r="B8" s="142"/>
      <c r="C8" s="142"/>
      <c r="D8" s="271"/>
      <c r="E8" s="271"/>
      <c r="F8" s="271"/>
      <c r="G8" s="271"/>
      <c r="H8" s="142"/>
      <c r="I8" s="143"/>
      <c r="J8" s="144"/>
      <c r="K8" s="144"/>
      <c r="L8" s="144"/>
      <c r="M8" s="144"/>
      <c r="N8" s="143"/>
      <c r="O8" s="143"/>
      <c r="P8" s="143"/>
      <c r="Q8" s="143"/>
      <c r="R8" s="143"/>
      <c r="S8" s="143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</row>
    <row r="9" spans="1:44" s="72" customFormat="1" ht="12.75" customHeight="1" x14ac:dyDescent="0.3">
      <c r="A9" s="73"/>
      <c r="B9" s="73"/>
      <c r="C9" s="73"/>
      <c r="D9" s="73"/>
      <c r="E9" s="73"/>
      <c r="F9" s="73"/>
      <c r="G9" s="73"/>
      <c r="H9" s="73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s="72" customFormat="1" ht="6.75" customHeight="1" x14ac:dyDescent="0.3">
      <c r="A10" s="133"/>
      <c r="B10" s="133"/>
      <c r="C10" s="133"/>
      <c r="D10" s="133"/>
      <c r="E10" s="133"/>
      <c r="F10" s="133"/>
      <c r="G10" s="133"/>
      <c r="H10" s="133"/>
      <c r="I10" s="134"/>
      <c r="J10" s="134"/>
      <c r="K10" s="134"/>
      <c r="L10" s="134"/>
      <c r="M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  <c r="AP10" s="134"/>
      <c r="AQ10" s="134"/>
      <c r="AR10" s="134"/>
    </row>
    <row r="11" spans="1:44" s="72" customFormat="1" ht="12.75" customHeight="1" x14ac:dyDescent="0.3">
      <c r="A11" s="133"/>
      <c r="B11" s="185" t="s">
        <v>449</v>
      </c>
      <c r="C11" s="136"/>
      <c r="D11" s="137"/>
      <c r="E11" s="137"/>
      <c r="F11" s="138"/>
      <c r="G11" s="136"/>
      <c r="H11" s="138"/>
      <c r="I11" s="139"/>
      <c r="J11" s="139"/>
      <c r="K11" s="139"/>
      <c r="L11" s="139"/>
      <c r="M11" s="139"/>
      <c r="N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</row>
    <row r="12" spans="1:44" s="72" customFormat="1" ht="12.75" hidden="1" customHeight="1" x14ac:dyDescent="0.3">
      <c r="A12" s="133"/>
      <c r="B12" s="136"/>
      <c r="C12" s="136"/>
      <c r="D12" s="137"/>
      <c r="E12" s="137"/>
      <c r="F12" s="138"/>
      <c r="G12" s="136"/>
      <c r="H12" s="138"/>
      <c r="I12" s="148"/>
      <c r="J12" s="148"/>
      <c r="K12" s="148"/>
      <c r="L12" s="148"/>
      <c r="M12" s="148"/>
      <c r="N12" s="148"/>
    </row>
    <row r="13" spans="1:44" s="72" customFormat="1" ht="3" customHeight="1" x14ac:dyDescent="0.3">
      <c r="A13" s="133"/>
      <c r="B13" s="133"/>
      <c r="C13" s="133"/>
      <c r="D13" s="133"/>
      <c r="E13" s="133"/>
      <c r="F13" s="133"/>
      <c r="G13" s="133"/>
      <c r="H13" s="133"/>
      <c r="I13" s="134"/>
      <c r="J13" s="134"/>
      <c r="K13" s="134"/>
      <c r="L13" s="134"/>
      <c r="M13" s="134"/>
      <c r="N13" s="134"/>
    </row>
    <row r="14" spans="1:44" s="72" customFormat="1" ht="3" customHeight="1" x14ac:dyDescent="0.3">
      <c r="A14" s="186"/>
      <c r="B14" s="186"/>
      <c r="C14" s="186"/>
      <c r="D14" s="186"/>
      <c r="E14" s="186"/>
      <c r="F14" s="186"/>
      <c r="G14" s="186"/>
      <c r="H14" s="186"/>
      <c r="I14" s="187"/>
      <c r="J14" s="187"/>
      <c r="K14" s="187"/>
      <c r="L14" s="187"/>
      <c r="M14" s="187"/>
      <c r="N14" s="187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</row>
    <row r="15" spans="1:44" ht="3" customHeight="1" x14ac:dyDescent="0.2"/>
    <row r="16" spans="1:44" ht="1.5" customHeight="1" x14ac:dyDescent="0.2">
      <c r="AR16" s="70"/>
    </row>
    <row r="17" spans="1:55" x14ac:dyDescent="0.2">
      <c r="A17" s="73"/>
      <c r="B17" s="284"/>
      <c r="C17" s="284"/>
      <c r="D17" s="284"/>
      <c r="E17" s="284"/>
      <c r="F17" s="284"/>
      <c r="G17" s="284"/>
      <c r="H17" s="284"/>
      <c r="I17" s="284"/>
      <c r="J17" s="283"/>
      <c r="K17" s="283"/>
      <c r="L17" s="283"/>
      <c r="M17" s="283"/>
      <c r="N17" s="283"/>
      <c r="O17" s="283"/>
      <c r="P17" s="283"/>
      <c r="Q17" s="283"/>
      <c r="R17" s="283"/>
      <c r="S17" s="283"/>
      <c r="T17" s="283"/>
      <c r="U17" s="283"/>
      <c r="V17" s="283"/>
      <c r="W17" s="283"/>
      <c r="X17" s="283"/>
      <c r="Y17" s="283"/>
      <c r="Z17" s="283"/>
      <c r="AA17" s="284"/>
      <c r="AB17" s="284"/>
      <c r="AC17" s="283"/>
      <c r="AD17" s="283"/>
      <c r="AE17" s="283"/>
      <c r="AF17" s="272"/>
      <c r="AG17" s="272"/>
      <c r="AH17" s="272"/>
      <c r="AI17" s="73"/>
      <c r="AJ17" s="73"/>
      <c r="AK17" s="73"/>
      <c r="AL17" s="73"/>
      <c r="AM17" s="73"/>
      <c r="AN17" s="73"/>
      <c r="AO17" s="73"/>
      <c r="AP17" s="73"/>
      <c r="AQ17" s="73"/>
      <c r="AR17" s="73"/>
    </row>
    <row r="18" spans="1:55" x14ac:dyDescent="0.2">
      <c r="A18" s="99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 t="s">
        <v>393</v>
      </c>
      <c r="AL18" s="100"/>
      <c r="AM18" s="100"/>
      <c r="AN18" s="100"/>
      <c r="AO18" s="100"/>
      <c r="AP18" s="100"/>
      <c r="AQ18" s="100"/>
      <c r="AR18" s="100"/>
    </row>
    <row r="19" spans="1:55" s="105" customFormat="1" ht="20.100000000000001" customHeight="1" x14ac:dyDescent="0.2">
      <c r="A19" s="252" t="s">
        <v>525</v>
      </c>
      <c r="B19" s="252"/>
      <c r="C19" s="252"/>
      <c r="D19" s="252"/>
      <c r="E19" s="252"/>
      <c r="F19" s="252"/>
      <c r="G19" s="252"/>
      <c r="H19" s="252"/>
      <c r="I19" s="252"/>
      <c r="J19" s="252"/>
      <c r="K19" s="252"/>
      <c r="L19" s="252"/>
      <c r="M19" s="252"/>
      <c r="N19" s="252"/>
      <c r="O19" s="252"/>
      <c r="P19" s="252"/>
      <c r="Q19" s="252"/>
      <c r="R19" s="252"/>
      <c r="S19" s="102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4"/>
      <c r="AO19" s="104"/>
      <c r="AP19" s="104"/>
      <c r="AQ19" s="104"/>
      <c r="AR19" s="104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</row>
    <row r="20" spans="1:55" x14ac:dyDescent="0.2">
      <c r="A20" s="73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V20" s="107"/>
    </row>
    <row r="21" spans="1:55" ht="15" customHeight="1" x14ac:dyDescent="0.2">
      <c r="A21" s="73"/>
      <c r="B21" s="111"/>
      <c r="C21" s="112" t="s">
        <v>394</v>
      </c>
      <c r="D21" s="112"/>
      <c r="E21" s="112"/>
      <c r="F21" s="112"/>
      <c r="G21" s="112"/>
      <c r="H21" s="299">
        <f>IF(J21&lt;&gt;"",IF(J21&lt;&gt;"",VLOOKUP(J21,DOC_ESTATICO!A2:B5,2,FALSE)),"")</f>
        <v>1</v>
      </c>
      <c r="I21" s="299"/>
      <c r="J21" s="301" t="s">
        <v>410</v>
      </c>
      <c r="K21" s="302"/>
      <c r="L21" s="302"/>
      <c r="M21" s="302"/>
      <c r="N21" s="302"/>
      <c r="O21" s="302"/>
      <c r="P21" s="302"/>
      <c r="Q21" s="302"/>
      <c r="R21" s="302"/>
      <c r="S21" s="302"/>
      <c r="T21" s="303"/>
      <c r="U21" s="112"/>
      <c r="V21" s="112"/>
      <c r="W21" s="112"/>
      <c r="X21" s="112"/>
      <c r="Y21" s="112"/>
      <c r="Z21" s="112" t="s">
        <v>395</v>
      </c>
      <c r="AA21" s="112"/>
      <c r="AB21" s="112"/>
      <c r="AC21" s="112"/>
      <c r="AD21" s="112"/>
      <c r="AE21" s="111"/>
      <c r="AF21" s="111"/>
      <c r="AG21" s="111"/>
      <c r="AH21" s="301">
        <v>41741</v>
      </c>
      <c r="AI21" s="302"/>
      <c r="AJ21" s="302"/>
      <c r="AK21" s="302"/>
      <c r="AL21" s="302"/>
      <c r="AM21" s="302"/>
      <c r="AN21" s="302"/>
      <c r="AO21" s="302"/>
      <c r="AP21" s="303"/>
      <c r="AQ21" s="111"/>
      <c r="AR21" s="73"/>
    </row>
    <row r="22" spans="1:55" x14ac:dyDescent="0.2">
      <c r="A22" s="73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11"/>
      <c r="AR22" s="73"/>
    </row>
    <row r="23" spans="1:55" x14ac:dyDescent="0.2">
      <c r="A23" s="73"/>
      <c r="B23" s="111"/>
      <c r="C23" s="111" t="s">
        <v>424</v>
      </c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2"/>
      <c r="V23" s="301">
        <v>41741</v>
      </c>
      <c r="W23" s="302"/>
      <c r="X23" s="302"/>
      <c r="Y23" s="302"/>
      <c r="Z23" s="302"/>
      <c r="AA23" s="302"/>
      <c r="AB23" s="302"/>
      <c r="AC23" s="302"/>
      <c r="AD23" s="303"/>
      <c r="AE23" s="304" t="s">
        <v>390</v>
      </c>
      <c r="AF23" s="304"/>
      <c r="AG23" s="304"/>
      <c r="AH23" s="301">
        <v>41741</v>
      </c>
      <c r="AI23" s="302"/>
      <c r="AJ23" s="302"/>
      <c r="AK23" s="302"/>
      <c r="AL23" s="302"/>
      <c r="AM23" s="302"/>
      <c r="AN23" s="302"/>
      <c r="AO23" s="302"/>
      <c r="AP23" s="303"/>
      <c r="AQ23" s="111"/>
      <c r="AR23" s="73"/>
    </row>
    <row r="24" spans="1:55" x14ac:dyDescent="0.2">
      <c r="A24" s="73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111"/>
      <c r="AR24" s="73"/>
    </row>
    <row r="25" spans="1:55" x14ac:dyDescent="0.2">
      <c r="A25" s="73"/>
      <c r="B25" s="111"/>
      <c r="C25" s="293" t="s">
        <v>391</v>
      </c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293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111"/>
      <c r="AR25" s="73"/>
    </row>
    <row r="26" spans="1:55" x14ac:dyDescent="0.2">
      <c r="A26" s="73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73"/>
    </row>
    <row r="27" spans="1:55" ht="60" customHeight="1" x14ac:dyDescent="0.2">
      <c r="A27" s="73"/>
      <c r="B27" s="111"/>
      <c r="C27" s="305" t="s">
        <v>730</v>
      </c>
      <c r="D27" s="306"/>
      <c r="E27" s="306"/>
      <c r="F27" s="306"/>
      <c r="G27" s="306"/>
      <c r="H27" s="306"/>
      <c r="I27" s="306"/>
      <c r="J27" s="306"/>
      <c r="K27" s="306"/>
      <c r="L27" s="306"/>
      <c r="M27" s="306"/>
      <c r="N27" s="306"/>
      <c r="O27" s="306"/>
      <c r="P27" s="306"/>
      <c r="Q27" s="306"/>
      <c r="R27" s="306"/>
      <c r="S27" s="306"/>
      <c r="T27" s="306"/>
      <c r="U27" s="306"/>
      <c r="V27" s="306"/>
      <c r="W27" s="306"/>
      <c r="X27" s="306"/>
      <c r="Y27" s="306"/>
      <c r="Z27" s="306"/>
      <c r="AA27" s="306"/>
      <c r="AB27" s="306"/>
      <c r="AC27" s="306"/>
      <c r="AD27" s="306"/>
      <c r="AE27" s="306"/>
      <c r="AF27" s="306"/>
      <c r="AG27" s="306"/>
      <c r="AH27" s="306"/>
      <c r="AI27" s="306"/>
      <c r="AJ27" s="306"/>
      <c r="AK27" s="306"/>
      <c r="AL27" s="306"/>
      <c r="AM27" s="306"/>
      <c r="AN27" s="306"/>
      <c r="AO27" s="306"/>
      <c r="AP27" s="307"/>
      <c r="AQ27" s="111"/>
      <c r="AR27" s="73"/>
    </row>
    <row r="28" spans="1:55" x14ac:dyDescent="0.2">
      <c r="A28" s="73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11"/>
      <c r="AR28" s="73"/>
    </row>
    <row r="29" spans="1:55" x14ac:dyDescent="0.2">
      <c r="A29" s="73"/>
      <c r="B29" s="111"/>
      <c r="C29" s="293" t="s">
        <v>392</v>
      </c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111"/>
      <c r="AR29" s="73"/>
    </row>
    <row r="30" spans="1:55" x14ac:dyDescent="0.2">
      <c r="A30" s="73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73"/>
    </row>
    <row r="31" spans="1:55" ht="60" customHeight="1" x14ac:dyDescent="0.2">
      <c r="A31" s="73"/>
      <c r="B31" s="111"/>
      <c r="C31" s="305" t="s">
        <v>731</v>
      </c>
      <c r="D31" s="306"/>
      <c r="E31" s="306"/>
      <c r="F31" s="306"/>
      <c r="G31" s="306"/>
      <c r="H31" s="306"/>
      <c r="I31" s="306"/>
      <c r="J31" s="306"/>
      <c r="K31" s="306"/>
      <c r="L31" s="306"/>
      <c r="M31" s="306"/>
      <c r="N31" s="306"/>
      <c r="O31" s="306"/>
      <c r="P31" s="306"/>
      <c r="Q31" s="306"/>
      <c r="R31" s="306"/>
      <c r="S31" s="306"/>
      <c r="T31" s="306"/>
      <c r="U31" s="306"/>
      <c r="V31" s="306"/>
      <c r="W31" s="306"/>
      <c r="X31" s="306"/>
      <c r="Y31" s="306"/>
      <c r="Z31" s="306"/>
      <c r="AA31" s="306"/>
      <c r="AB31" s="306"/>
      <c r="AC31" s="306"/>
      <c r="AD31" s="306"/>
      <c r="AE31" s="306"/>
      <c r="AF31" s="306"/>
      <c r="AG31" s="306"/>
      <c r="AH31" s="306"/>
      <c r="AI31" s="306"/>
      <c r="AJ31" s="306"/>
      <c r="AK31" s="306"/>
      <c r="AL31" s="306"/>
      <c r="AM31" s="306"/>
      <c r="AN31" s="306"/>
      <c r="AO31" s="306"/>
      <c r="AP31" s="307"/>
      <c r="AQ31" s="111"/>
      <c r="AR31" s="73"/>
    </row>
    <row r="32" spans="1:55" x14ac:dyDescent="0.2">
      <c r="A32" s="73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73"/>
    </row>
    <row r="33" spans="1:59" x14ac:dyDescent="0.2">
      <c r="A33" s="73"/>
      <c r="B33" s="111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P33" s="293"/>
      <c r="Q33" s="293"/>
      <c r="R33" s="293"/>
      <c r="S33" s="293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111"/>
      <c r="AR33" s="73"/>
    </row>
    <row r="34" spans="1:59" x14ac:dyDescent="0.2">
      <c r="A34" s="73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73"/>
      <c r="AU34" s="211"/>
    </row>
    <row r="35" spans="1:59" ht="60" customHeight="1" x14ac:dyDescent="0.2">
      <c r="A35" s="73"/>
      <c r="B35" s="111"/>
      <c r="C35" s="300"/>
      <c r="D35" s="300"/>
      <c r="E35" s="300"/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  <c r="AF35" s="300"/>
      <c r="AG35" s="300"/>
      <c r="AH35" s="300"/>
      <c r="AI35" s="300"/>
      <c r="AJ35" s="300"/>
      <c r="AK35" s="300"/>
      <c r="AL35" s="300"/>
      <c r="AM35" s="300"/>
      <c r="AN35" s="300"/>
      <c r="AO35" s="300"/>
      <c r="AP35" s="300"/>
      <c r="AQ35" s="111"/>
      <c r="AR35" s="73"/>
    </row>
    <row r="36" spans="1:59" x14ac:dyDescent="0.2">
      <c r="A36" s="73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73"/>
    </row>
    <row r="37" spans="1:59" ht="15" customHeight="1" x14ac:dyDescent="0.2">
      <c r="A37" s="73"/>
      <c r="B37" s="111"/>
      <c r="C37" s="293" t="s">
        <v>396</v>
      </c>
      <c r="D37" s="293"/>
      <c r="E37" s="293"/>
      <c r="F37" s="293"/>
      <c r="G37" s="293"/>
      <c r="H37" s="294"/>
      <c r="I37" s="299">
        <f>IF(N37&lt;&gt;"",VLOOKUP(N37,DOC_ESTATICO!A9:B12,2,FALSE),"")</f>
        <v>1</v>
      </c>
      <c r="J37" s="299"/>
      <c r="K37" s="194"/>
      <c r="L37" s="194"/>
      <c r="M37" s="194"/>
      <c r="N37" s="296" t="s">
        <v>375</v>
      </c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297"/>
      <c r="AF37" s="297"/>
      <c r="AG37" s="297"/>
      <c r="AH37" s="298"/>
      <c r="AI37" s="111"/>
      <c r="AJ37" s="111"/>
      <c r="AK37" s="111"/>
      <c r="AL37" s="111"/>
      <c r="AM37" s="111"/>
      <c r="AN37" s="111"/>
      <c r="AO37" s="111"/>
      <c r="AP37" s="111"/>
      <c r="AQ37" s="111"/>
      <c r="AR37" s="73"/>
    </row>
    <row r="38" spans="1:59" x14ac:dyDescent="0.2">
      <c r="A38" s="73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73"/>
    </row>
    <row r="39" spans="1:59" x14ac:dyDescent="0.2">
      <c r="A39" s="73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3"/>
      <c r="AI39" s="114"/>
      <c r="AJ39" s="114"/>
      <c r="AK39" s="114"/>
      <c r="AL39" s="114"/>
      <c r="AM39" s="114"/>
      <c r="AN39" s="114"/>
      <c r="AO39" s="114"/>
      <c r="AP39" s="114"/>
      <c r="AQ39" s="114"/>
      <c r="AR39" s="73"/>
    </row>
    <row r="40" spans="1:59" x14ac:dyDescent="0.2">
      <c r="A40" s="73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3"/>
      <c r="AI40" s="114"/>
      <c r="AJ40" s="114"/>
      <c r="AK40" s="114"/>
      <c r="AL40" s="114"/>
      <c r="AM40" s="114"/>
      <c r="AN40" s="114"/>
      <c r="AO40" s="114"/>
      <c r="AP40" s="114"/>
      <c r="AQ40" s="114"/>
      <c r="AR40" s="73"/>
    </row>
    <row r="41" spans="1:59" x14ac:dyDescent="0.2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7"/>
      <c r="AI41" s="118"/>
      <c r="AJ41" s="118"/>
      <c r="AK41" s="118"/>
      <c r="AL41" s="118"/>
      <c r="AM41" s="118"/>
      <c r="AN41" s="118"/>
      <c r="AO41" s="118"/>
      <c r="AP41" s="118"/>
      <c r="AQ41" s="118"/>
      <c r="AR41" s="73"/>
    </row>
    <row r="43" spans="1:59" ht="20.100000000000001" customHeight="1" x14ac:dyDescent="0.2"/>
    <row r="45" spans="1:59" x14ac:dyDescent="0.2">
      <c r="BB45" s="295"/>
      <c r="BC45" s="295"/>
      <c r="BD45" s="295"/>
      <c r="BE45" s="295"/>
      <c r="BF45" s="295"/>
      <c r="BG45" s="295"/>
    </row>
    <row r="49" s="208" customFormat="1" ht="15" x14ac:dyDescent="0.2"/>
    <row r="235" spans="1:5" x14ac:dyDescent="0.2">
      <c r="A235" s="134"/>
      <c r="B235" s="134"/>
      <c r="D235" s="134"/>
      <c r="E235" s="134"/>
    </row>
    <row r="236" spans="1:5" hidden="1" x14ac:dyDescent="0.2">
      <c r="A236" s="139"/>
      <c r="B236" s="139"/>
      <c r="D236" s="139"/>
      <c r="E236" s="139"/>
    </row>
    <row r="237" spans="1:5" hidden="1" x14ac:dyDescent="0.2"/>
    <row r="238" spans="1:5" hidden="1" x14ac:dyDescent="0.2"/>
    <row r="239" spans="1:5" hidden="1" x14ac:dyDescent="0.2"/>
    <row r="240" spans="1:5" hidden="1" x14ac:dyDescent="0.2"/>
  </sheetData>
  <mergeCells count="29">
    <mergeCell ref="AA17:AB17"/>
    <mergeCell ref="A2:AR2"/>
    <mergeCell ref="A3:AR3"/>
    <mergeCell ref="AK5:AP5"/>
    <mergeCell ref="D6:G6"/>
    <mergeCell ref="B1:S1"/>
    <mergeCell ref="J21:T21"/>
    <mergeCell ref="H21:I21"/>
    <mergeCell ref="D8:G8"/>
    <mergeCell ref="B17:I17"/>
    <mergeCell ref="J17:S17"/>
    <mergeCell ref="T17:Z17"/>
    <mergeCell ref="A19:R19"/>
    <mergeCell ref="C37:H37"/>
    <mergeCell ref="BB45:BG45"/>
    <mergeCell ref="N37:AH37"/>
    <mergeCell ref="I37:J37"/>
    <mergeCell ref="AC17:AE17"/>
    <mergeCell ref="AF17:AH17"/>
    <mergeCell ref="C35:AP35"/>
    <mergeCell ref="AH21:AP21"/>
    <mergeCell ref="V23:AD23"/>
    <mergeCell ref="AE23:AG23"/>
    <mergeCell ref="AH23:AP23"/>
    <mergeCell ref="C25:AP25"/>
    <mergeCell ref="C27:AP27"/>
    <mergeCell ref="C29:AP29"/>
    <mergeCell ref="C31:AP31"/>
    <mergeCell ref="C33:AP33"/>
  </mergeCells>
  <dataValidations count="1">
    <dataValidation type="list" allowBlank="1" showInputMessage="1" showErrorMessage="1" sqref="J21:T21">
      <formula1>combo_sit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Drop Down 2">
              <controlPr defaultSize="0" autoLine="0" autoPict="0" macro="[0]!setQtdeLinhas">
                <anchor moveWithCells="1">
                  <from>
                    <xdr:col>1</xdr:col>
                    <xdr:colOff>0</xdr:colOff>
                    <xdr:row>234</xdr:row>
                    <xdr:rowOff>66675</xdr:rowOff>
                  </from>
                  <to>
                    <xdr:col>1</xdr:col>
                    <xdr:colOff>0</xdr:colOff>
                    <xdr:row>240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6" tint="0.79998168889431442"/>
  </sheetPr>
  <dimension ref="A1:BG42"/>
  <sheetViews>
    <sheetView showGridLines="0" showRowColHeaders="0" topLeftCell="A13" workbookViewId="0">
      <selection activeCell="AR25" sqref="AR25"/>
    </sheetView>
  </sheetViews>
  <sheetFormatPr defaultColWidth="2.7109375" defaultRowHeight="12.75" x14ac:dyDescent="0.2"/>
  <cols>
    <col min="1" max="15" width="2.7109375" style="79"/>
    <col min="16" max="16" width="2.7109375" style="79" customWidth="1"/>
    <col min="17" max="17" width="2.7109375" style="79"/>
    <col min="18" max="18" width="0.85546875" style="79" customWidth="1"/>
    <col min="19" max="43" width="2.7109375" style="79"/>
    <col min="44" max="44" width="2.7109375" style="79" customWidth="1"/>
    <col min="45" max="51" width="2.7109375" style="79"/>
    <col min="52" max="52" width="4.5703125" style="79" bestFit="1" customWidth="1"/>
    <col min="53" max="53" width="2.7109375" style="79"/>
    <col min="54" max="54" width="8.5703125" style="79" customWidth="1"/>
    <col min="55" max="55" width="8.85546875" style="79" bestFit="1" customWidth="1"/>
    <col min="56" max="56" width="8.7109375" style="79" bestFit="1" customWidth="1"/>
    <col min="57" max="57" width="9.5703125" style="79" bestFit="1" customWidth="1"/>
    <col min="58" max="58" width="4.28515625" style="79" bestFit="1" customWidth="1"/>
    <col min="59" max="59" width="5" style="79" bestFit="1" customWidth="1"/>
    <col min="60" max="16384" width="2.7109375" style="79"/>
  </cols>
  <sheetData>
    <row r="1" spans="1:44" s="68" customFormat="1" x14ac:dyDescent="0.2">
      <c r="A1" s="86"/>
      <c r="B1" s="245" t="str">
        <f>FSOL!B1</f>
        <v>APF (IFPUG) - Aplicação</v>
      </c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AR1" s="193" t="s">
        <v>373</v>
      </c>
    </row>
    <row r="2" spans="1:44" s="82" customFormat="1" ht="3" customHeight="1" x14ac:dyDescent="0.2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</row>
    <row r="3" spans="1:44" s="83" customFormat="1" ht="1.5" customHeight="1" x14ac:dyDescent="0.3">
      <c r="A3" s="256"/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  <c r="AF3" s="256"/>
      <c r="AG3" s="256"/>
      <c r="AH3" s="256"/>
      <c r="AI3" s="256"/>
      <c r="AJ3" s="256"/>
      <c r="AK3" s="256"/>
      <c r="AL3" s="256"/>
      <c r="AM3" s="256"/>
      <c r="AN3" s="256"/>
      <c r="AO3" s="256"/>
      <c r="AP3" s="256"/>
      <c r="AQ3" s="256"/>
      <c r="AR3" s="256"/>
    </row>
    <row r="4" spans="1:44" s="82" customFormat="1" ht="5.0999999999999996" customHeight="1" x14ac:dyDescent="0.2">
      <c r="A4" s="79"/>
      <c r="B4" s="79"/>
      <c r="C4" s="79"/>
      <c r="D4" s="79"/>
      <c r="E4" s="79"/>
      <c r="F4" s="79"/>
      <c r="G4" s="79"/>
      <c r="H4" s="79"/>
      <c r="I4" s="80"/>
      <c r="J4" s="80"/>
      <c r="K4" s="80"/>
      <c r="L4" s="80"/>
      <c r="M4" s="80"/>
      <c r="N4" s="80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</row>
    <row r="5" spans="1:44" s="75" customFormat="1" ht="14.25" hidden="1" customHeight="1" x14ac:dyDescent="0.3">
      <c r="A5" s="79"/>
      <c r="B5" s="79"/>
      <c r="C5" s="79"/>
      <c r="D5" s="79"/>
      <c r="E5" s="79"/>
      <c r="F5" s="79"/>
      <c r="G5" s="79"/>
      <c r="H5" s="79"/>
      <c r="I5" s="128"/>
      <c r="J5" s="128"/>
      <c r="K5" s="128"/>
      <c r="L5" s="128"/>
      <c r="M5" s="128"/>
      <c r="N5" s="128"/>
      <c r="O5" s="131"/>
      <c r="AK5" s="257" t="s">
        <v>425</v>
      </c>
      <c r="AL5" s="258"/>
      <c r="AM5" s="258"/>
      <c r="AN5" s="258"/>
      <c r="AO5" s="258"/>
      <c r="AP5" s="259"/>
    </row>
    <row r="6" spans="1:44" s="81" customFormat="1" ht="15.75" customHeight="1" x14ac:dyDescent="0.35">
      <c r="A6" s="142"/>
      <c r="B6" s="142"/>
      <c r="C6" s="142"/>
      <c r="D6" s="270"/>
      <c r="E6" s="270"/>
      <c r="F6" s="270"/>
      <c r="G6" s="270"/>
      <c r="H6" s="142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</row>
    <row r="7" spans="1:44" s="72" customFormat="1" ht="18.75" hidden="1" customHeight="1" x14ac:dyDescent="0.3">
      <c r="A7" s="142"/>
      <c r="B7" s="142"/>
      <c r="C7" s="142"/>
      <c r="D7" s="142"/>
      <c r="E7" s="142"/>
      <c r="F7" s="142"/>
      <c r="G7" s="142"/>
      <c r="H7" s="142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</row>
    <row r="8" spans="1:44" s="78" customFormat="1" ht="18.75" customHeight="1" x14ac:dyDescent="0.35">
      <c r="A8" s="142"/>
      <c r="B8" s="142"/>
      <c r="C8" s="142"/>
      <c r="D8" s="271"/>
      <c r="E8" s="271"/>
      <c r="F8" s="271"/>
      <c r="G8" s="271"/>
      <c r="H8" s="142"/>
      <c r="I8" s="143"/>
      <c r="J8" s="144"/>
      <c r="K8" s="144"/>
      <c r="L8" s="144"/>
      <c r="M8" s="144"/>
      <c r="N8" s="143"/>
      <c r="O8" s="143"/>
      <c r="P8" s="143"/>
      <c r="Q8" s="143"/>
      <c r="R8" s="143"/>
      <c r="S8" s="143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</row>
    <row r="9" spans="1:44" s="72" customFormat="1" ht="12.75" customHeight="1" x14ac:dyDescent="0.3">
      <c r="A9" s="73"/>
      <c r="B9" s="73"/>
      <c r="C9" s="73"/>
      <c r="D9" s="73"/>
      <c r="E9" s="73"/>
      <c r="F9" s="73"/>
      <c r="G9" s="73"/>
      <c r="H9" s="73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s="72" customFormat="1" ht="6.75" customHeight="1" x14ac:dyDescent="0.3">
      <c r="A10" s="133"/>
      <c r="B10" s="133"/>
      <c r="C10" s="133"/>
      <c r="D10" s="133"/>
      <c r="E10" s="133"/>
      <c r="F10" s="133"/>
      <c r="G10" s="133"/>
      <c r="H10" s="133"/>
      <c r="I10" s="134"/>
      <c r="J10" s="134"/>
      <c r="K10" s="134"/>
      <c r="L10" s="134"/>
      <c r="M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  <c r="AP10" s="134"/>
      <c r="AQ10" s="134"/>
      <c r="AR10" s="134"/>
    </row>
    <row r="11" spans="1:44" s="72" customFormat="1" ht="12.75" customHeight="1" x14ac:dyDescent="0.3">
      <c r="A11" s="133"/>
      <c r="B11" s="185" t="s">
        <v>478</v>
      </c>
      <c r="C11" s="136"/>
      <c r="D11" s="137"/>
      <c r="E11" s="137"/>
      <c r="F11" s="138"/>
      <c r="G11" s="136"/>
      <c r="H11" s="138"/>
      <c r="I11" s="139"/>
      <c r="J11" s="139"/>
      <c r="K11" s="139"/>
      <c r="L11" s="139"/>
      <c r="M11" s="139"/>
      <c r="N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</row>
    <row r="12" spans="1:44" s="72" customFormat="1" ht="12.75" hidden="1" customHeight="1" x14ac:dyDescent="0.3">
      <c r="A12" s="133"/>
      <c r="B12" s="136"/>
      <c r="C12" s="136"/>
      <c r="D12" s="137"/>
      <c r="E12" s="137"/>
      <c r="F12" s="138"/>
      <c r="G12" s="136"/>
      <c r="H12" s="138"/>
      <c r="I12" s="148"/>
      <c r="J12" s="148"/>
      <c r="K12" s="148"/>
      <c r="L12" s="148"/>
      <c r="M12" s="148"/>
      <c r="N12" s="148"/>
    </row>
    <row r="13" spans="1:44" s="72" customFormat="1" ht="3" customHeight="1" x14ac:dyDescent="0.3">
      <c r="A13" s="133"/>
      <c r="B13" s="133"/>
      <c r="C13" s="133"/>
      <c r="D13" s="133"/>
      <c r="E13" s="133"/>
      <c r="F13" s="133"/>
      <c r="G13" s="133"/>
      <c r="H13" s="133"/>
      <c r="I13" s="134"/>
      <c r="J13" s="134"/>
      <c r="K13" s="134"/>
      <c r="L13" s="134"/>
      <c r="M13" s="134"/>
      <c r="N13" s="134"/>
    </row>
    <row r="14" spans="1:44" s="72" customFormat="1" ht="3" customHeight="1" x14ac:dyDescent="0.3">
      <c r="A14" s="186"/>
      <c r="B14" s="186"/>
      <c r="C14" s="186"/>
      <c r="D14" s="186"/>
      <c r="E14" s="186"/>
      <c r="F14" s="186"/>
      <c r="G14" s="186"/>
      <c r="H14" s="186"/>
      <c r="I14" s="187"/>
      <c r="J14" s="187"/>
      <c r="K14" s="187"/>
      <c r="L14" s="187"/>
      <c r="M14" s="187"/>
      <c r="N14" s="187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</row>
    <row r="15" spans="1:44" ht="3" customHeight="1" x14ac:dyDescent="0.2">
      <c r="AR15" s="70"/>
    </row>
    <row r="16" spans="1:44" ht="1.5" customHeight="1" x14ac:dyDescent="0.2">
      <c r="AR16" s="70"/>
    </row>
    <row r="17" spans="1:59" x14ac:dyDescent="0.2">
      <c r="A17" s="73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</row>
    <row r="18" spans="1:59" ht="20.100000000000001" customHeight="1" x14ac:dyDescent="0.2">
      <c r="A18" s="252" t="s">
        <v>502</v>
      </c>
      <c r="B18" s="252"/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102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4"/>
      <c r="AO18" s="104"/>
      <c r="AP18" s="104"/>
      <c r="AQ18" s="104"/>
      <c r="AR18" s="104"/>
    </row>
    <row r="19" spans="1:59" x14ac:dyDescent="0.2">
      <c r="A19" s="73"/>
      <c r="B19" s="195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195"/>
      <c r="T19" s="195"/>
      <c r="U19" s="195"/>
      <c r="V19" s="195"/>
      <c r="W19" s="195"/>
      <c r="X19" s="195"/>
      <c r="Y19" s="195"/>
      <c r="Z19" s="195"/>
      <c r="AA19" s="195"/>
      <c r="AB19" s="195"/>
      <c r="AC19" s="195"/>
      <c r="AD19" s="195"/>
      <c r="AE19" s="195"/>
      <c r="AF19" s="195"/>
      <c r="AG19" s="195"/>
      <c r="AH19" s="195"/>
      <c r="AI19" s="195"/>
      <c r="AJ19" s="195"/>
      <c r="AK19" s="195"/>
      <c r="AL19" s="195"/>
      <c r="AM19" s="195"/>
      <c r="AN19" s="195"/>
      <c r="AO19" s="195"/>
      <c r="AP19" s="195"/>
      <c r="AQ19" s="195"/>
      <c r="AR19" s="73"/>
      <c r="BB19" s="295"/>
      <c r="BC19" s="295"/>
      <c r="BD19" s="295"/>
      <c r="BE19" s="295"/>
      <c r="BF19" s="295"/>
      <c r="BG19" s="295"/>
    </row>
    <row r="20" spans="1:59" ht="23.25" x14ac:dyDescent="0.35">
      <c r="A20" s="73"/>
      <c r="B20" s="195"/>
      <c r="C20" s="195" t="s">
        <v>477</v>
      </c>
      <c r="D20" s="195"/>
      <c r="E20" s="195"/>
      <c r="F20" s="195"/>
      <c r="G20" s="195"/>
      <c r="H20" s="195"/>
      <c r="I20" s="312">
        <f>C27</f>
        <v>847</v>
      </c>
      <c r="J20" s="313"/>
      <c r="K20" s="313"/>
      <c r="L20" s="313"/>
      <c r="M20" s="313"/>
      <c r="N20" s="313"/>
      <c r="O20" s="314"/>
      <c r="P20" s="322" t="s">
        <v>227</v>
      </c>
      <c r="Q20" s="323"/>
      <c r="R20" s="323"/>
      <c r="S20" s="195"/>
      <c r="T20" s="195" t="s">
        <v>482</v>
      </c>
      <c r="U20" s="195"/>
      <c r="V20" s="195"/>
      <c r="W20" s="195"/>
      <c r="X20" s="195"/>
      <c r="Y20" s="195"/>
      <c r="Z20" s="195"/>
      <c r="AA20" s="195"/>
      <c r="AB20" s="195"/>
      <c r="AC20" s="319">
        <f>AN27</f>
        <v>190</v>
      </c>
      <c r="AD20" s="320"/>
      <c r="AE20" s="320"/>
      <c r="AF20" s="320"/>
      <c r="AG20" s="320"/>
      <c r="AH20" s="320"/>
      <c r="AI20" s="321"/>
      <c r="AJ20" s="322" t="s">
        <v>476</v>
      </c>
      <c r="AK20" s="323"/>
      <c r="AL20" s="323"/>
      <c r="AM20" s="195"/>
      <c r="AN20" s="195"/>
      <c r="AO20" s="195"/>
      <c r="AP20" s="195"/>
      <c r="AQ20" s="195"/>
      <c r="AR20" s="73"/>
      <c r="AZ20" s="212"/>
    </row>
    <row r="21" spans="1:59" x14ac:dyDescent="0.2">
      <c r="A21" s="73"/>
      <c r="B21" s="195"/>
      <c r="C21" s="195"/>
      <c r="D21" s="195"/>
      <c r="E21" s="195"/>
      <c r="F21" s="195"/>
      <c r="G21" s="195"/>
      <c r="H21" s="195"/>
      <c r="I21" s="315" t="s">
        <v>485</v>
      </c>
      <c r="J21" s="315"/>
      <c r="K21" s="315"/>
      <c r="L21" s="315"/>
      <c r="M21" s="315"/>
      <c r="N21" s="315"/>
      <c r="O21" s="315"/>
      <c r="P21" s="315"/>
      <c r="Q21" s="315"/>
      <c r="R21" s="315"/>
      <c r="S21" s="315"/>
      <c r="T21" s="195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5"/>
      <c r="AK21" s="195"/>
      <c r="AL21" s="195"/>
      <c r="AM21" s="195"/>
      <c r="AN21" s="195"/>
      <c r="AO21" s="195"/>
      <c r="AP21" s="195"/>
      <c r="AQ21" s="195"/>
      <c r="AR21" s="73"/>
    </row>
    <row r="22" spans="1:59" s="208" customFormat="1" ht="15" x14ac:dyDescent="0.2">
      <c r="A22" s="73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  <c r="O22" s="195"/>
      <c r="P22" s="195"/>
      <c r="Q22" s="195"/>
      <c r="R22" s="195"/>
      <c r="S22" s="195"/>
      <c r="T22" s="195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5"/>
      <c r="AK22" s="195"/>
      <c r="AL22" s="195"/>
      <c r="AM22" s="195"/>
      <c r="AN22" s="195"/>
      <c r="AO22" s="195"/>
      <c r="AP22" s="195"/>
      <c r="AQ22" s="195"/>
      <c r="AR22" s="73"/>
    </row>
    <row r="23" spans="1:59" ht="20.100000000000001" customHeight="1" x14ac:dyDescent="0.2">
      <c r="A23" s="252" t="s">
        <v>503</v>
      </c>
      <c r="B23" s="252"/>
      <c r="C23" s="252"/>
      <c r="D23" s="252"/>
      <c r="E23" s="252"/>
      <c r="F23" s="252"/>
      <c r="G23" s="252"/>
      <c r="H23" s="252"/>
      <c r="I23" s="252"/>
      <c r="J23" s="252"/>
      <c r="K23" s="252"/>
      <c r="L23" s="252"/>
      <c r="M23" s="252"/>
      <c r="N23" s="252"/>
      <c r="O23" s="102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4"/>
      <c r="AO23" s="104"/>
      <c r="AP23" s="104"/>
      <c r="AQ23" s="104"/>
      <c r="AR23" s="104"/>
    </row>
    <row r="24" spans="1:59" s="208" customFormat="1" ht="15" x14ac:dyDescent="0.2">
      <c r="A24" s="73"/>
      <c r="B24" s="195"/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195"/>
      <c r="AG24" s="195"/>
      <c r="AH24" s="195"/>
      <c r="AI24" s="195"/>
      <c r="AJ24" s="195"/>
      <c r="AK24" s="195"/>
      <c r="AL24" s="195"/>
      <c r="AM24" s="195"/>
      <c r="AN24" s="195"/>
      <c r="AO24" s="195"/>
      <c r="AP24" s="195"/>
      <c r="AQ24" s="195"/>
      <c r="AR24" s="73"/>
    </row>
    <row r="25" spans="1:59" ht="15.75" x14ac:dyDescent="0.25">
      <c r="A25" s="206"/>
      <c r="B25" s="207"/>
      <c r="C25" s="209" t="s">
        <v>227</v>
      </c>
      <c r="D25" s="209"/>
      <c r="E25" s="209"/>
      <c r="F25" s="209"/>
      <c r="G25" s="209"/>
      <c r="H25" s="209"/>
      <c r="I25" s="209" t="s">
        <v>472</v>
      </c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  <c r="AC25" s="209"/>
      <c r="AD25" s="209"/>
      <c r="AE25" s="209"/>
      <c r="AF25" s="209"/>
      <c r="AG25" s="209"/>
      <c r="AH25" s="209"/>
      <c r="AI25" s="209"/>
      <c r="AJ25" s="209"/>
      <c r="AK25" s="209"/>
      <c r="AL25" s="209"/>
      <c r="AM25" s="209"/>
      <c r="AN25" s="209" t="s">
        <v>258</v>
      </c>
      <c r="AO25" s="209"/>
      <c r="AP25" s="209"/>
      <c r="AQ25" s="207"/>
      <c r="AR25" s="206"/>
    </row>
    <row r="26" spans="1:59" x14ac:dyDescent="0.2">
      <c r="A26" s="73"/>
      <c r="B26" s="195"/>
      <c r="C26" s="195"/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  <c r="O26" s="195"/>
      <c r="P26" s="195"/>
      <c r="Q26" s="195"/>
      <c r="R26" s="195"/>
      <c r="S26" s="195"/>
      <c r="T26" s="195"/>
      <c r="U26" s="195"/>
      <c r="V26" s="195"/>
      <c r="W26" s="195"/>
      <c r="X26" s="195"/>
      <c r="Y26" s="195"/>
      <c r="Z26" s="195"/>
      <c r="AA26" s="195"/>
      <c r="AB26" s="195"/>
      <c r="AC26" s="195"/>
      <c r="AD26" s="195"/>
      <c r="AE26" s="195"/>
      <c r="AF26" s="195"/>
      <c r="AG26" s="195"/>
      <c r="AH26" s="195"/>
      <c r="AI26" s="195"/>
      <c r="AJ26" s="195"/>
      <c r="AK26" s="195"/>
      <c r="AL26" s="195"/>
      <c r="AM26" s="195"/>
      <c r="AN26" s="195"/>
      <c r="AO26" s="195"/>
      <c r="AP26" s="195"/>
      <c r="AQ26" s="195"/>
      <c r="AR26" s="73"/>
    </row>
    <row r="27" spans="1:59" x14ac:dyDescent="0.2">
      <c r="A27" s="73"/>
      <c r="B27" s="195"/>
      <c r="C27" s="318">
        <f>D28+D31</f>
        <v>847</v>
      </c>
      <c r="D27" s="318"/>
      <c r="E27" s="318"/>
      <c r="F27" s="205"/>
      <c r="G27" s="205"/>
      <c r="H27" s="205"/>
      <c r="I27" s="199" t="s">
        <v>349</v>
      </c>
      <c r="J27" s="195"/>
      <c r="K27" s="195"/>
      <c r="L27" s="195"/>
      <c r="M27" s="195"/>
      <c r="N27" s="195"/>
      <c r="O27" s="195"/>
      <c r="P27" s="195"/>
      <c r="Q27" s="195"/>
      <c r="R27" s="195"/>
      <c r="S27" s="195"/>
      <c r="T27" s="195"/>
      <c r="U27" s="195"/>
      <c r="V27" s="195"/>
      <c r="W27" s="195"/>
      <c r="X27" s="195"/>
      <c r="Y27" s="195"/>
      <c r="Z27" s="195"/>
      <c r="AA27" s="195"/>
      <c r="AB27" s="195"/>
      <c r="AC27" s="195"/>
      <c r="AD27" s="195"/>
      <c r="AE27" s="195"/>
      <c r="AF27" s="195"/>
      <c r="AG27" s="195"/>
      <c r="AH27" s="195"/>
      <c r="AI27" s="195"/>
      <c r="AJ27" s="195"/>
      <c r="AK27" s="195"/>
      <c r="AL27" s="195"/>
      <c r="AM27" s="195"/>
      <c r="AN27" s="316">
        <f>AN28+AN31</f>
        <v>190</v>
      </c>
      <c r="AO27" s="316"/>
      <c r="AP27" s="316"/>
      <c r="AQ27" s="195"/>
      <c r="AR27" s="73"/>
    </row>
    <row r="28" spans="1:59" x14ac:dyDescent="0.2">
      <c r="A28" s="73"/>
      <c r="B28" s="195"/>
      <c r="C28" s="205"/>
      <c r="D28" s="311">
        <f>E29+E30</f>
        <v>161</v>
      </c>
      <c r="E28" s="311"/>
      <c r="F28" s="311"/>
      <c r="G28" s="205"/>
      <c r="H28" s="205"/>
      <c r="I28" s="200"/>
      <c r="J28" s="200" t="s">
        <v>474</v>
      </c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317">
        <f>AN29+AN30</f>
        <v>23</v>
      </c>
      <c r="AO28" s="317"/>
      <c r="AP28" s="317"/>
      <c r="AQ28" s="195"/>
      <c r="AR28" s="73"/>
    </row>
    <row r="29" spans="1:59" x14ac:dyDescent="0.2">
      <c r="A29" s="73"/>
      <c r="B29" s="195"/>
      <c r="C29" s="205"/>
      <c r="D29" s="205"/>
      <c r="E29" s="309">
        <f>FD_Aplicacao!B1052</f>
        <v>161</v>
      </c>
      <c r="F29" s="309"/>
      <c r="G29" s="309"/>
      <c r="H29" s="205"/>
      <c r="I29" s="200"/>
      <c r="J29" s="200"/>
      <c r="K29" s="200" t="s">
        <v>152</v>
      </c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308">
        <f>FD_Aplicacao!F1052</f>
        <v>23</v>
      </c>
      <c r="AO29" s="308"/>
      <c r="AP29" s="308"/>
      <c r="AQ29" s="195"/>
      <c r="AR29" s="73"/>
    </row>
    <row r="30" spans="1:59" x14ac:dyDescent="0.2">
      <c r="A30" s="73"/>
      <c r="B30" s="195"/>
      <c r="C30" s="205"/>
      <c r="D30" s="205"/>
      <c r="E30" s="309">
        <f>FD_Aplicacao!B1053</f>
        <v>0</v>
      </c>
      <c r="F30" s="309"/>
      <c r="G30" s="309"/>
      <c r="H30" s="205"/>
      <c r="I30" s="200"/>
      <c r="J30" s="200"/>
      <c r="K30" s="200" t="s">
        <v>153</v>
      </c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308">
        <f>FD_Aplicacao!F1053</f>
        <v>0</v>
      </c>
      <c r="AO30" s="308"/>
      <c r="AP30" s="308"/>
      <c r="AQ30" s="195"/>
      <c r="AR30" s="73"/>
    </row>
    <row r="31" spans="1:59" x14ac:dyDescent="0.2">
      <c r="A31" s="73"/>
      <c r="B31" s="195"/>
      <c r="C31" s="205"/>
      <c r="D31" s="311">
        <f>E32+E33+E34</f>
        <v>686</v>
      </c>
      <c r="E31" s="311"/>
      <c r="F31" s="311"/>
      <c r="G31" s="205"/>
      <c r="H31" s="205"/>
      <c r="I31" s="200"/>
      <c r="J31" s="200" t="s">
        <v>473</v>
      </c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310">
        <f>AN32+AN33+AN34</f>
        <v>167</v>
      </c>
      <c r="AO31" s="310"/>
      <c r="AP31" s="310"/>
      <c r="AQ31" s="195"/>
      <c r="AR31" s="73"/>
    </row>
    <row r="32" spans="1:59" x14ac:dyDescent="0.2">
      <c r="A32" s="73"/>
      <c r="B32" s="195"/>
      <c r="C32" s="205"/>
      <c r="D32" s="205"/>
      <c r="E32" s="309">
        <f>FT_Aplicacao!B1052</f>
        <v>260</v>
      </c>
      <c r="F32" s="309"/>
      <c r="G32" s="309"/>
      <c r="H32" s="205"/>
      <c r="I32" s="200"/>
      <c r="J32" s="200"/>
      <c r="K32" s="200" t="s">
        <v>105</v>
      </c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308">
        <f>FT_Aplicacao!F1052</f>
        <v>65</v>
      </c>
      <c r="AO32" s="308"/>
      <c r="AP32" s="308"/>
      <c r="AQ32" s="195"/>
      <c r="AR32" s="73"/>
    </row>
    <row r="33" spans="1:44" x14ac:dyDescent="0.2">
      <c r="A33" s="73"/>
      <c r="B33" s="195"/>
      <c r="C33" s="205"/>
      <c r="D33" s="205"/>
      <c r="E33" s="309">
        <f>FT_Aplicacao!B1053</f>
        <v>90</v>
      </c>
      <c r="F33" s="309"/>
      <c r="G33" s="309"/>
      <c r="H33" s="205"/>
      <c r="I33" s="200"/>
      <c r="J33" s="200"/>
      <c r="K33" s="200" t="s">
        <v>154</v>
      </c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308">
        <f>FT_Aplicacao!F1053</f>
        <v>18</v>
      </c>
      <c r="AO33" s="308"/>
      <c r="AP33" s="308"/>
      <c r="AQ33" s="195"/>
      <c r="AR33" s="73"/>
    </row>
    <row r="34" spans="1:44" x14ac:dyDescent="0.2">
      <c r="A34" s="73"/>
      <c r="B34" s="195"/>
      <c r="C34" s="205"/>
      <c r="D34" s="205"/>
      <c r="E34" s="309">
        <f>FT_Aplicacao!B1054</f>
        <v>336</v>
      </c>
      <c r="F34" s="309"/>
      <c r="G34" s="309"/>
      <c r="H34" s="205"/>
      <c r="I34" s="200"/>
      <c r="J34" s="200"/>
      <c r="K34" s="200" t="s">
        <v>155</v>
      </c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308">
        <f>FT_Aplicacao!F1054</f>
        <v>84</v>
      </c>
      <c r="AO34" s="308"/>
      <c r="AP34" s="308"/>
      <c r="AQ34" s="195"/>
      <c r="AR34" s="73"/>
    </row>
    <row r="35" spans="1:44" x14ac:dyDescent="0.2">
      <c r="A35" s="73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95"/>
      <c r="W35" s="195"/>
      <c r="X35" s="195"/>
      <c r="Y35" s="195"/>
      <c r="Z35" s="195"/>
      <c r="AA35" s="195"/>
      <c r="AB35" s="195"/>
      <c r="AC35" s="195"/>
      <c r="AD35" s="195"/>
      <c r="AE35" s="195"/>
      <c r="AF35" s="195"/>
      <c r="AG35" s="195"/>
      <c r="AH35" s="195"/>
      <c r="AI35" s="195"/>
      <c r="AJ35" s="195"/>
      <c r="AK35" s="195"/>
      <c r="AL35" s="195"/>
      <c r="AM35" s="195"/>
      <c r="AN35" s="195"/>
      <c r="AO35" s="195"/>
      <c r="AP35" s="195"/>
      <c r="AQ35" s="195"/>
      <c r="AR35" s="73"/>
    </row>
    <row r="36" spans="1:44" x14ac:dyDescent="0.2">
      <c r="A36" s="115"/>
      <c r="B36" s="115"/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73"/>
    </row>
    <row r="37" spans="1:44" x14ac:dyDescent="0.2">
      <c r="A37" s="73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</row>
    <row r="38" spans="1:44" hidden="1" x14ac:dyDescent="0.2">
      <c r="A38" s="139"/>
      <c r="B38" s="139"/>
      <c r="D38" s="139"/>
      <c r="E38" s="139"/>
    </row>
    <row r="39" spans="1:44" hidden="1" x14ac:dyDescent="0.2"/>
    <row r="40" spans="1:44" hidden="1" x14ac:dyDescent="0.2"/>
    <row r="41" spans="1:44" hidden="1" x14ac:dyDescent="0.2"/>
    <row r="42" spans="1:44" hidden="1" x14ac:dyDescent="0.2"/>
  </sheetData>
  <mergeCells count="30">
    <mergeCell ref="BB19:BG19"/>
    <mergeCell ref="AN27:AP27"/>
    <mergeCell ref="AN28:AP28"/>
    <mergeCell ref="D28:F28"/>
    <mergeCell ref="C27:E27"/>
    <mergeCell ref="AC20:AI20"/>
    <mergeCell ref="AJ20:AL20"/>
    <mergeCell ref="P20:R20"/>
    <mergeCell ref="B1:Q1"/>
    <mergeCell ref="A2:AR2"/>
    <mergeCell ref="A3:AR3"/>
    <mergeCell ref="AK5:AP5"/>
    <mergeCell ref="D6:G6"/>
    <mergeCell ref="D8:G8"/>
    <mergeCell ref="I20:O20"/>
    <mergeCell ref="I21:S21"/>
    <mergeCell ref="A18:N18"/>
    <mergeCell ref="A23:N23"/>
    <mergeCell ref="AN34:AP34"/>
    <mergeCell ref="E32:G32"/>
    <mergeCell ref="AN30:AP30"/>
    <mergeCell ref="E30:G30"/>
    <mergeCell ref="E34:G34"/>
    <mergeCell ref="E33:G33"/>
    <mergeCell ref="AN33:AP33"/>
    <mergeCell ref="AN29:AP29"/>
    <mergeCell ref="E29:G29"/>
    <mergeCell ref="AN31:AP31"/>
    <mergeCell ref="D31:F31"/>
    <mergeCell ref="AN32:AP3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0" tint="-0.14999847407452621"/>
  </sheetPr>
  <dimension ref="A1:C12"/>
  <sheetViews>
    <sheetView workbookViewId="0">
      <selection activeCell="D22" sqref="D22"/>
    </sheetView>
  </sheetViews>
  <sheetFormatPr defaultRowHeight="15" x14ac:dyDescent="0.25"/>
  <cols>
    <col min="1" max="1" width="43.140625" bestFit="1" customWidth="1"/>
    <col min="2" max="2" width="12.85546875" style="197" bestFit="1" customWidth="1"/>
    <col min="3" max="3" width="33.85546875" customWidth="1"/>
    <col min="4" max="4" width="36.28515625" customWidth="1"/>
  </cols>
  <sheetData>
    <row r="1" spans="1:3" x14ac:dyDescent="0.25">
      <c r="A1" s="1" t="s">
        <v>417</v>
      </c>
      <c r="B1" s="196" t="s">
        <v>418</v>
      </c>
    </row>
    <row r="2" spans="1:3" x14ac:dyDescent="0.25">
      <c r="A2" t="s">
        <v>410</v>
      </c>
      <c r="B2" s="197">
        <v>1</v>
      </c>
      <c r="C2" t="s">
        <v>413</v>
      </c>
    </row>
    <row r="3" spans="1:3" x14ac:dyDescent="0.25">
      <c r="A3" t="s">
        <v>411</v>
      </c>
      <c r="B3" s="197">
        <v>2</v>
      </c>
      <c r="C3" t="s">
        <v>414</v>
      </c>
    </row>
    <row r="4" spans="1:3" x14ac:dyDescent="0.25">
      <c r="A4" t="s">
        <v>470</v>
      </c>
      <c r="B4" s="197">
        <v>3</v>
      </c>
      <c r="C4" t="s">
        <v>471</v>
      </c>
    </row>
    <row r="5" spans="1:3" x14ac:dyDescent="0.25">
      <c r="A5" t="s">
        <v>412</v>
      </c>
      <c r="B5" s="197">
        <v>4</v>
      </c>
      <c r="C5" t="s">
        <v>415</v>
      </c>
    </row>
    <row r="7" spans="1:3" x14ac:dyDescent="0.25">
      <c r="A7" s="1" t="s">
        <v>419</v>
      </c>
    </row>
    <row r="8" spans="1:3" x14ac:dyDescent="0.25">
      <c r="A8" s="67" t="s">
        <v>420</v>
      </c>
      <c r="B8" s="198" t="s">
        <v>421</v>
      </c>
    </row>
    <row r="9" spans="1:3" x14ac:dyDescent="0.25">
      <c r="A9" t="s">
        <v>375</v>
      </c>
      <c r="B9" s="197">
        <v>1</v>
      </c>
    </row>
    <row r="10" spans="1:3" x14ac:dyDescent="0.25">
      <c r="A10" t="s">
        <v>422</v>
      </c>
      <c r="B10" s="197">
        <v>2</v>
      </c>
    </row>
    <row r="11" spans="1:3" x14ac:dyDescent="0.25">
      <c r="A11" t="s">
        <v>504</v>
      </c>
      <c r="B11" s="197">
        <v>3</v>
      </c>
    </row>
    <row r="12" spans="1:3" x14ac:dyDescent="0.25">
      <c r="A12" t="s">
        <v>423</v>
      </c>
      <c r="B12" s="197">
        <v>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rgb="FF92D050"/>
  </sheetPr>
  <dimension ref="A1:P266"/>
  <sheetViews>
    <sheetView showGridLines="0" topLeftCell="A94" zoomScale="85" zoomScaleNormal="85" workbookViewId="0">
      <selection activeCell="J234" sqref="J234"/>
    </sheetView>
  </sheetViews>
  <sheetFormatPr defaultRowHeight="15" x14ac:dyDescent="0.25"/>
  <cols>
    <col min="1" max="1" width="5.28515625" customWidth="1"/>
    <col min="2" max="2" width="2.28515625" customWidth="1"/>
    <col min="5" max="5" width="9.140625" customWidth="1"/>
    <col min="10" max="11" width="9.5703125" customWidth="1"/>
    <col min="12" max="12" width="15.5703125" customWidth="1"/>
    <col min="13" max="13" width="55.7109375" customWidth="1"/>
    <col min="14" max="14" width="98.28515625" customWidth="1"/>
    <col min="15" max="15" width="68.42578125" customWidth="1"/>
    <col min="16" max="16" width="84.85546875" customWidth="1"/>
  </cols>
  <sheetData>
    <row r="1" spans="1:16" ht="6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41.25" x14ac:dyDescent="0.9">
      <c r="A2" s="39"/>
      <c r="B2" s="39"/>
      <c r="C2" s="40" t="s">
        <v>11</v>
      </c>
      <c r="D2" s="40"/>
      <c r="E2" s="41"/>
      <c r="F2" s="41"/>
      <c r="G2" s="41"/>
      <c r="H2" s="41"/>
      <c r="I2" s="41"/>
      <c r="J2" s="42"/>
      <c r="K2" s="42"/>
      <c r="L2" s="42"/>
      <c r="M2" s="42"/>
      <c r="N2" s="42"/>
      <c r="O2" s="42"/>
      <c r="P2" s="43"/>
    </row>
    <row r="3" spans="1:16" ht="20.25" x14ac:dyDescent="0.3">
      <c r="A3" s="4"/>
      <c r="B3" s="4"/>
      <c r="C3" s="7"/>
      <c r="D3" s="7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</row>
    <row r="4" spans="1:16" s="11" customFormat="1" ht="35.25" customHeight="1" x14ac:dyDescent="0.2">
      <c r="A4" s="10"/>
      <c r="B4" s="23"/>
      <c r="C4" s="337" t="s">
        <v>47</v>
      </c>
      <c r="D4" s="337"/>
      <c r="E4" s="337"/>
      <c r="F4" s="337"/>
      <c r="G4" s="337"/>
      <c r="H4" s="337"/>
      <c r="I4" s="337"/>
      <c r="J4" s="337"/>
      <c r="K4" s="24"/>
      <c r="L4" s="24" t="s">
        <v>48</v>
      </c>
      <c r="M4" s="24" t="s">
        <v>80</v>
      </c>
      <c r="N4" s="24" t="s">
        <v>159</v>
      </c>
      <c r="O4" s="25" t="s">
        <v>49</v>
      </c>
      <c r="P4" s="26" t="s">
        <v>81</v>
      </c>
    </row>
    <row r="5" spans="1:16" ht="28.5" customHeight="1" x14ac:dyDescent="0.25">
      <c r="A5" s="6"/>
      <c r="B5" s="33"/>
      <c r="C5" s="335" t="s">
        <v>83</v>
      </c>
      <c r="D5" s="335"/>
      <c r="E5" s="335"/>
      <c r="F5" s="335"/>
      <c r="G5" s="335"/>
      <c r="H5" s="335"/>
      <c r="I5" s="335"/>
      <c r="J5" s="335"/>
      <c r="K5" s="335"/>
      <c r="L5" s="335"/>
      <c r="M5" s="335"/>
      <c r="N5" s="335"/>
      <c r="O5" s="335"/>
      <c r="P5" s="336"/>
    </row>
    <row r="6" spans="1:16" ht="28.5" customHeight="1" x14ac:dyDescent="0.25">
      <c r="A6" s="6"/>
      <c r="B6" s="27"/>
      <c r="C6" s="333" t="s">
        <v>88</v>
      </c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4"/>
    </row>
    <row r="7" spans="1:16" x14ac:dyDescent="0.25">
      <c r="A7" s="4"/>
      <c r="B7" s="27"/>
      <c r="C7" s="332" t="s">
        <v>83</v>
      </c>
      <c r="D7" s="332"/>
      <c r="E7" s="332"/>
      <c r="F7" s="332"/>
      <c r="G7" s="332"/>
      <c r="H7" s="332"/>
      <c r="I7" s="332"/>
      <c r="J7" s="332"/>
      <c r="K7" s="12"/>
      <c r="L7" s="13" t="s">
        <v>118</v>
      </c>
      <c r="M7" s="13" t="s">
        <v>127</v>
      </c>
      <c r="N7" s="55" t="s">
        <v>257</v>
      </c>
      <c r="O7" s="14" t="str">
        <f>CONCATENATE(L7,"_",M7)</f>
        <v>I1RCT001_CalcularIndicativa</v>
      </c>
      <c r="P7" s="28" t="s">
        <v>39</v>
      </c>
    </row>
    <row r="8" spans="1:16" s="3" customFormat="1" ht="12" customHeight="1" x14ac:dyDescent="0.2">
      <c r="A8" s="5"/>
      <c r="B8" s="29"/>
      <c r="C8" s="15"/>
      <c r="D8" s="46" t="s">
        <v>505</v>
      </c>
      <c r="E8" s="47"/>
      <c r="F8" s="47"/>
      <c r="G8" s="47"/>
      <c r="H8" s="47"/>
      <c r="I8" s="47"/>
      <c r="J8" s="47"/>
      <c r="K8" s="47"/>
      <c r="L8" s="47"/>
      <c r="M8" s="46"/>
      <c r="N8" s="46"/>
      <c r="O8" s="47"/>
      <c r="P8" s="48"/>
    </row>
    <row r="9" spans="1:16" s="3" customFormat="1" ht="12" customHeight="1" x14ac:dyDescent="0.2">
      <c r="A9" s="5"/>
      <c r="B9" s="29"/>
      <c r="C9" s="15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30"/>
    </row>
    <row r="10" spans="1:16" s="3" customFormat="1" ht="12" customHeight="1" x14ac:dyDescent="0.2">
      <c r="A10" s="5"/>
      <c r="B10" s="29"/>
      <c r="C10" s="15"/>
      <c r="D10" s="44" t="s">
        <v>95</v>
      </c>
      <c r="E10" s="50">
        <v>35</v>
      </c>
      <c r="F10" s="44" t="s">
        <v>96</v>
      </c>
      <c r="G10" s="50">
        <v>15</v>
      </c>
      <c r="H10" s="16"/>
      <c r="I10" s="16"/>
      <c r="J10" s="16"/>
      <c r="K10" s="16"/>
      <c r="L10" s="16"/>
      <c r="M10" s="16"/>
      <c r="N10" s="16"/>
      <c r="O10" s="16"/>
      <c r="P10" s="30"/>
    </row>
    <row r="11" spans="1:16" s="3" customFormat="1" ht="12" customHeight="1" x14ac:dyDescent="0.2">
      <c r="A11" s="5"/>
      <c r="B11" s="29"/>
      <c r="C11" s="15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30"/>
    </row>
    <row r="12" spans="1:16" ht="28.5" customHeight="1" x14ac:dyDescent="0.25">
      <c r="A12" s="6"/>
      <c r="B12" s="33"/>
      <c r="C12" s="335" t="s">
        <v>0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6"/>
    </row>
    <row r="13" spans="1:16" ht="28.5" customHeight="1" x14ac:dyDescent="0.25">
      <c r="A13" s="6"/>
      <c r="B13" s="31"/>
      <c r="C13" s="333" t="s">
        <v>89</v>
      </c>
      <c r="D13" s="333"/>
      <c r="E13" s="333"/>
      <c r="F13" s="333"/>
      <c r="G13" s="333"/>
      <c r="H13" s="333"/>
      <c r="I13" s="333"/>
      <c r="J13" s="333"/>
      <c r="K13" s="333"/>
      <c r="L13" s="333"/>
      <c r="M13" s="333"/>
      <c r="N13" s="333"/>
      <c r="O13" s="333"/>
      <c r="P13" s="334"/>
    </row>
    <row r="14" spans="1:16" x14ac:dyDescent="0.25">
      <c r="A14" s="4"/>
      <c r="B14" s="31"/>
      <c r="C14" s="332" t="s">
        <v>84</v>
      </c>
      <c r="D14" s="332"/>
      <c r="E14" s="332"/>
      <c r="F14" s="332"/>
      <c r="G14" s="332"/>
      <c r="H14" s="332"/>
      <c r="I14" s="332"/>
      <c r="J14" s="332"/>
      <c r="K14" s="12"/>
      <c r="L14" s="13" t="s">
        <v>119</v>
      </c>
      <c r="M14" s="13" t="s">
        <v>40</v>
      </c>
      <c r="N14" s="55" t="s">
        <v>259</v>
      </c>
      <c r="O14" s="14" t="str">
        <f>CONCATENATE(L14,"_",M14)</f>
        <v>E1RCT001_CalcularProjetoAplicacao</v>
      </c>
      <c r="P14" s="28" t="s">
        <v>39</v>
      </c>
    </row>
    <row r="15" spans="1:16" s="3" customFormat="1" ht="12" customHeight="1" x14ac:dyDescent="0.2">
      <c r="A15" s="5"/>
      <c r="B15" s="32"/>
      <c r="C15" s="18"/>
      <c r="D15" s="46" t="s">
        <v>505</v>
      </c>
      <c r="E15" s="47"/>
      <c r="F15" s="47"/>
      <c r="G15" s="47"/>
      <c r="H15" s="47"/>
      <c r="I15" s="47"/>
      <c r="J15" s="47"/>
      <c r="K15" s="47"/>
      <c r="L15" s="47"/>
      <c r="M15" s="46"/>
      <c r="N15" s="46"/>
      <c r="O15" s="47"/>
      <c r="P15" s="48"/>
    </row>
    <row r="16" spans="1:16" s="3" customFormat="1" ht="12" customHeight="1" x14ac:dyDescent="0.2">
      <c r="A16" s="5"/>
      <c r="B16" s="32"/>
      <c r="C16" s="18"/>
      <c r="D16" s="16" t="s">
        <v>264</v>
      </c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30"/>
    </row>
    <row r="17" spans="1:16" s="3" customFormat="1" ht="12" customHeight="1" x14ac:dyDescent="0.2">
      <c r="A17" s="5"/>
      <c r="B17" s="32"/>
      <c r="C17" s="18"/>
      <c r="D17" s="16"/>
      <c r="E17" s="16" t="s">
        <v>152</v>
      </c>
      <c r="F17" s="16" t="s">
        <v>153</v>
      </c>
      <c r="G17" s="16" t="s">
        <v>105</v>
      </c>
      <c r="H17" s="16" t="s">
        <v>154</v>
      </c>
      <c r="I17" s="16" t="s">
        <v>155</v>
      </c>
      <c r="J17" s="16"/>
      <c r="K17" s="16"/>
      <c r="L17" s="16"/>
      <c r="M17" s="16"/>
      <c r="N17" s="16"/>
      <c r="O17" s="16"/>
      <c r="P17" s="30"/>
    </row>
    <row r="18" spans="1:16" s="3" customFormat="1" ht="12" customHeight="1" x14ac:dyDescent="0.2">
      <c r="A18" s="5"/>
      <c r="B18" s="32"/>
      <c r="C18" s="18"/>
      <c r="D18" s="44" t="s">
        <v>227</v>
      </c>
      <c r="E18" s="58">
        <v>7</v>
      </c>
      <c r="F18" s="58">
        <v>5</v>
      </c>
      <c r="G18" s="58">
        <v>4</v>
      </c>
      <c r="H18" s="58">
        <v>5</v>
      </c>
      <c r="I18" s="58">
        <v>4</v>
      </c>
      <c r="J18" s="16"/>
      <c r="K18" s="16"/>
      <c r="L18" s="16"/>
      <c r="M18" s="16"/>
      <c r="N18" s="16"/>
      <c r="O18" s="16"/>
      <c r="P18" s="30"/>
    </row>
    <row r="19" spans="1:16" s="3" customFormat="1" ht="12" customHeight="1" x14ac:dyDescent="0.2">
      <c r="A19" s="5"/>
      <c r="B19" s="32"/>
      <c r="C19" s="18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0"/>
    </row>
    <row r="20" spans="1:16" x14ac:dyDescent="0.25">
      <c r="A20" s="4"/>
      <c r="B20" s="31"/>
      <c r="C20" s="331" t="s">
        <v>85</v>
      </c>
      <c r="D20" s="331"/>
      <c r="E20" s="331"/>
      <c r="F20" s="331"/>
      <c r="G20" s="331"/>
      <c r="H20" s="331"/>
      <c r="I20" s="331"/>
      <c r="J20" s="331"/>
      <c r="K20" s="17"/>
      <c r="L20" s="13" t="s">
        <v>120</v>
      </c>
      <c r="M20" s="13" t="s">
        <v>41</v>
      </c>
      <c r="N20" s="55" t="s">
        <v>160</v>
      </c>
      <c r="O20" s="14" t="str">
        <f>CONCATENATE(L20,"_",M20)</f>
        <v>E1RCT002_CalcularProjetoDesenvolvimento</v>
      </c>
      <c r="P20" s="28" t="s">
        <v>1</v>
      </c>
    </row>
    <row r="21" spans="1:16" x14ac:dyDescent="0.25">
      <c r="A21" s="4"/>
      <c r="B21" s="31"/>
      <c r="C21" s="332" t="s">
        <v>86</v>
      </c>
      <c r="D21" s="332"/>
      <c r="E21" s="332"/>
      <c r="F21" s="332"/>
      <c r="G21" s="332"/>
      <c r="H21" s="332"/>
      <c r="I21" s="332"/>
      <c r="J21" s="332"/>
      <c r="K21" s="12"/>
      <c r="L21" s="13" t="s">
        <v>121</v>
      </c>
      <c r="M21" s="13" t="s">
        <v>42</v>
      </c>
      <c r="N21" s="55"/>
      <c r="O21" s="14" t="str">
        <f>CONCATENATE(L21,"_",M21)</f>
        <v>E1RCT003_CalcularProjetoMelhoria</v>
      </c>
      <c r="P21" s="28" t="s">
        <v>38</v>
      </c>
    </row>
    <row r="22" spans="1:16" x14ac:dyDescent="0.25">
      <c r="A22" s="4"/>
      <c r="B22" s="31"/>
      <c r="C22" s="332" t="s">
        <v>87</v>
      </c>
      <c r="D22" s="332"/>
      <c r="E22" s="332"/>
      <c r="F22" s="332"/>
      <c r="G22" s="332"/>
      <c r="H22" s="332"/>
      <c r="I22" s="332"/>
      <c r="J22" s="332"/>
      <c r="K22" s="12"/>
      <c r="L22" s="13" t="s">
        <v>122</v>
      </c>
      <c r="M22" s="13" t="s">
        <v>43</v>
      </c>
      <c r="N22" s="55"/>
      <c r="O22" s="14" t="str">
        <f>CONCATENATE(L22,"_",M22)</f>
        <v>E1RCT004_CalcularProjetoAplicacaoPosMelhoria</v>
      </c>
      <c r="P22" s="28" t="s">
        <v>44</v>
      </c>
    </row>
    <row r="23" spans="1:16" ht="28.5" customHeight="1" x14ac:dyDescent="0.25">
      <c r="A23" s="6"/>
      <c r="B23" s="33"/>
      <c r="C23" s="335" t="s">
        <v>144</v>
      </c>
      <c r="D23" s="335"/>
      <c r="E23" s="335"/>
      <c r="F23" s="335"/>
      <c r="G23" s="335"/>
      <c r="H23" s="335"/>
      <c r="I23" s="335"/>
      <c r="J23" s="335"/>
      <c r="K23" s="335"/>
      <c r="L23" s="335"/>
      <c r="M23" s="335"/>
      <c r="N23" s="335"/>
      <c r="O23" s="335"/>
      <c r="P23" s="336"/>
    </row>
    <row r="24" spans="1:16" ht="28.5" customHeight="1" x14ac:dyDescent="0.25">
      <c r="A24" s="6"/>
      <c r="B24" s="33"/>
      <c r="C24" s="333" t="s">
        <v>90</v>
      </c>
      <c r="D24" s="333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4"/>
    </row>
    <row r="25" spans="1:16" x14ac:dyDescent="0.25">
      <c r="A25" s="4"/>
      <c r="B25" s="33"/>
      <c r="C25" s="332" t="s">
        <v>131</v>
      </c>
      <c r="D25" s="332"/>
      <c r="E25" s="332"/>
      <c r="F25" s="332"/>
      <c r="G25" s="332"/>
      <c r="H25" s="332"/>
      <c r="I25" s="332"/>
      <c r="J25" s="332"/>
      <c r="K25" s="12"/>
      <c r="L25" s="13" t="s">
        <v>123</v>
      </c>
      <c r="M25" s="13" t="s">
        <v>40</v>
      </c>
      <c r="N25" s="13"/>
      <c r="O25" s="14" t="str">
        <f>CONCATENATE(L25,"_",M25)</f>
        <v>D1RCT001_CalcularProjetoAplicacao</v>
      </c>
      <c r="P25" s="28" t="s">
        <v>39</v>
      </c>
    </row>
    <row r="26" spans="1:16" x14ac:dyDescent="0.25">
      <c r="A26" s="4"/>
      <c r="B26" s="33"/>
      <c r="C26" s="331" t="s">
        <v>130</v>
      </c>
      <c r="D26" s="331"/>
      <c r="E26" s="331"/>
      <c r="F26" s="331"/>
      <c r="G26" s="331"/>
      <c r="H26" s="331"/>
      <c r="I26" s="331"/>
      <c r="J26" s="331"/>
      <c r="K26" s="17"/>
      <c r="L26" s="13" t="s">
        <v>124</v>
      </c>
      <c r="M26" s="13" t="s">
        <v>41</v>
      </c>
      <c r="N26" s="13"/>
      <c r="O26" s="14" t="str">
        <f>CONCATENATE(L26,"_",M26)</f>
        <v>D1RCT002_CalcularProjetoDesenvolvimento</v>
      </c>
      <c r="P26" s="28" t="s">
        <v>1</v>
      </c>
    </row>
    <row r="27" spans="1:16" x14ac:dyDescent="0.25">
      <c r="A27" s="4"/>
      <c r="B27" s="33"/>
      <c r="C27" s="332" t="s">
        <v>129</v>
      </c>
      <c r="D27" s="332"/>
      <c r="E27" s="332"/>
      <c r="F27" s="332"/>
      <c r="G27" s="332"/>
      <c r="H27" s="332"/>
      <c r="I27" s="332"/>
      <c r="J27" s="332"/>
      <c r="K27" s="12"/>
      <c r="L27" s="13" t="s">
        <v>125</v>
      </c>
      <c r="M27" s="13" t="s">
        <v>42</v>
      </c>
      <c r="N27" s="13"/>
      <c r="O27" s="14" t="str">
        <f>CONCATENATE(L27,"_",M27)</f>
        <v>D1RCT003_CalcularProjetoMelhoria</v>
      </c>
      <c r="P27" s="28" t="s">
        <v>38</v>
      </c>
    </row>
    <row r="28" spans="1:16" x14ac:dyDescent="0.25">
      <c r="A28" s="4"/>
      <c r="B28" s="33"/>
      <c r="C28" s="332" t="s">
        <v>128</v>
      </c>
      <c r="D28" s="332"/>
      <c r="E28" s="332"/>
      <c r="F28" s="332"/>
      <c r="G28" s="332"/>
      <c r="H28" s="332"/>
      <c r="I28" s="332"/>
      <c r="J28" s="332"/>
      <c r="K28" s="52"/>
      <c r="L28" s="13" t="s">
        <v>126</v>
      </c>
      <c r="M28" s="13" t="s">
        <v>43</v>
      </c>
      <c r="N28" s="13"/>
      <c r="O28" s="14" t="str">
        <f>CONCATENATE(L28,"_",M28)</f>
        <v>D1RCT004_CalcularProjetoAplicacaoPosMelhoria</v>
      </c>
      <c r="P28" s="28" t="s">
        <v>44</v>
      </c>
    </row>
    <row r="29" spans="1:16" x14ac:dyDescent="0.25">
      <c r="A29" s="4"/>
      <c r="B29" s="33"/>
      <c r="C29" s="332" t="s">
        <v>263</v>
      </c>
      <c r="D29" s="332"/>
      <c r="E29" s="332"/>
      <c r="F29" s="332"/>
      <c r="G29" s="332"/>
      <c r="H29" s="332"/>
      <c r="I29" s="332"/>
      <c r="J29" s="332"/>
      <c r="K29" s="12"/>
      <c r="L29" s="13" t="s">
        <v>261</v>
      </c>
      <c r="M29" s="13" t="s">
        <v>262</v>
      </c>
      <c r="N29" s="13"/>
      <c r="O29" s="14" t="str">
        <f>CONCATENATE(L29,"_",M29)</f>
        <v>D1RCT005_CalcularFatorAjuste</v>
      </c>
      <c r="P29" s="28" t="s">
        <v>44</v>
      </c>
    </row>
    <row r="30" spans="1:16" s="3" customFormat="1" ht="12" customHeight="1" x14ac:dyDescent="0.25">
      <c r="A30" s="5"/>
      <c r="B30" s="33"/>
      <c r="C30" s="19"/>
      <c r="D30" s="46" t="s">
        <v>82</v>
      </c>
      <c r="E30" s="47"/>
      <c r="F30" s="47"/>
      <c r="G30" s="47"/>
      <c r="H30" s="47"/>
      <c r="I30" s="47"/>
      <c r="J30" s="47"/>
      <c r="K30" s="47"/>
      <c r="L30" s="47"/>
      <c r="M30" s="46"/>
      <c r="N30" s="46"/>
      <c r="O30" s="47"/>
      <c r="P30" s="48"/>
    </row>
    <row r="31" spans="1:16" s="3" customFormat="1" ht="12" customHeight="1" x14ac:dyDescent="0.25">
      <c r="A31" s="5"/>
      <c r="B31" s="33"/>
      <c r="C31" s="19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30"/>
    </row>
    <row r="32" spans="1:16" s="3" customFormat="1" ht="12" customHeight="1" x14ac:dyDescent="0.25">
      <c r="A32" s="5"/>
      <c r="B32" s="33"/>
      <c r="C32" s="19"/>
      <c r="D32" s="49" t="s">
        <v>506</v>
      </c>
      <c r="E32" s="16"/>
      <c r="F32" s="226" t="s">
        <v>364</v>
      </c>
      <c r="G32" s="16"/>
      <c r="H32" s="16"/>
      <c r="I32" s="16"/>
      <c r="J32" s="16"/>
      <c r="K32" s="16"/>
      <c r="L32" s="16"/>
      <c r="M32" s="16"/>
      <c r="N32" s="16"/>
      <c r="O32" s="16"/>
      <c r="P32" s="30"/>
    </row>
    <row r="33" spans="1:16" s="3" customFormat="1" ht="12" customHeight="1" x14ac:dyDescent="0.25">
      <c r="A33" s="5"/>
      <c r="B33" s="33"/>
      <c r="C33" s="19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30"/>
    </row>
    <row r="34" spans="1:16" ht="28.5" customHeight="1" x14ac:dyDescent="0.25">
      <c r="A34" s="6"/>
      <c r="B34" s="33"/>
      <c r="C34" s="333" t="s">
        <v>94</v>
      </c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4"/>
    </row>
    <row r="35" spans="1:16" x14ac:dyDescent="0.25">
      <c r="A35" s="4"/>
      <c r="B35" s="33"/>
      <c r="C35" s="332" t="s">
        <v>136</v>
      </c>
      <c r="D35" s="332"/>
      <c r="E35" s="332"/>
      <c r="F35" s="332"/>
      <c r="G35" s="332"/>
      <c r="H35" s="332"/>
      <c r="I35" s="332"/>
      <c r="J35" s="332"/>
      <c r="K35" s="12"/>
      <c r="L35" s="13"/>
      <c r="M35" s="13" t="s">
        <v>140</v>
      </c>
      <c r="N35" s="13"/>
      <c r="O35" s="14" t="str">
        <f>CONCATENATE(L35,"_",M35)</f>
        <v>_CalcularComplexidadeFD</v>
      </c>
      <c r="P35" s="28" t="s">
        <v>132</v>
      </c>
    </row>
    <row r="36" spans="1:16" s="3" customFormat="1" ht="12" customHeight="1" x14ac:dyDescent="0.25">
      <c r="A36" s="5"/>
      <c r="B36" s="33"/>
      <c r="C36" s="19"/>
      <c r="D36" s="46" t="s">
        <v>505</v>
      </c>
      <c r="E36" s="47"/>
      <c r="F36" s="47"/>
      <c r="G36" s="47"/>
      <c r="H36" s="47"/>
      <c r="I36" s="47"/>
      <c r="J36" s="47"/>
      <c r="K36" s="47"/>
      <c r="L36" s="47"/>
      <c r="M36" s="46"/>
      <c r="N36" s="46"/>
      <c r="O36" s="47"/>
      <c r="P36" s="48"/>
    </row>
    <row r="37" spans="1:16" s="3" customFormat="1" ht="12" customHeight="1" x14ac:dyDescent="0.25">
      <c r="A37" s="5"/>
      <c r="B37" s="33"/>
      <c r="C37" s="19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30"/>
    </row>
    <row r="38" spans="1:16" s="3" customFormat="1" ht="12" customHeight="1" x14ac:dyDescent="0.25">
      <c r="A38" s="5"/>
      <c r="B38" s="33"/>
      <c r="C38" s="19"/>
      <c r="D38" s="51" t="s">
        <v>147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30"/>
    </row>
    <row r="39" spans="1:16" s="3" customFormat="1" ht="12" customHeight="1" x14ac:dyDescent="0.25">
      <c r="A39" s="5"/>
      <c r="B39" s="33"/>
      <c r="C39" s="19"/>
      <c r="D39" s="49" t="s">
        <v>264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30"/>
    </row>
    <row r="40" spans="1:16" s="3" customFormat="1" ht="12" customHeight="1" x14ac:dyDescent="0.25">
      <c r="A40" s="5"/>
      <c r="B40" s="33"/>
      <c r="C40" s="19"/>
      <c r="D40" s="51" t="s">
        <v>97</v>
      </c>
      <c r="E40" s="45" t="s">
        <v>98</v>
      </c>
      <c r="F40" s="16" t="s">
        <v>117</v>
      </c>
      <c r="G40" s="16" t="s">
        <v>103</v>
      </c>
      <c r="H40" s="16"/>
      <c r="I40" s="16"/>
      <c r="J40" s="16"/>
      <c r="K40" s="16"/>
      <c r="L40" s="16"/>
      <c r="M40" s="16"/>
      <c r="N40" s="16"/>
      <c r="O40" s="16"/>
      <c r="P40" s="30"/>
    </row>
    <row r="41" spans="1:16" s="3" customFormat="1" ht="12" customHeight="1" x14ac:dyDescent="0.25">
      <c r="A41" s="5"/>
      <c r="B41" s="33"/>
      <c r="C41" s="19"/>
      <c r="D41" s="49">
        <v>1</v>
      </c>
      <c r="E41" s="50" t="s">
        <v>99</v>
      </c>
      <c r="F41" s="50" t="s">
        <v>99</v>
      </c>
      <c r="G41" s="50" t="s">
        <v>100</v>
      </c>
      <c r="H41" s="16"/>
      <c r="I41" s="16"/>
      <c r="J41" s="16"/>
      <c r="K41" s="16"/>
      <c r="L41" s="16"/>
      <c r="M41" s="16"/>
      <c r="N41" s="16"/>
      <c r="O41" s="16"/>
      <c r="P41" s="30"/>
    </row>
    <row r="42" spans="1:16" s="3" customFormat="1" ht="12" customHeight="1" x14ac:dyDescent="0.25">
      <c r="A42" s="5"/>
      <c r="B42" s="33"/>
      <c r="C42" s="19"/>
      <c r="D42" s="49" t="s">
        <v>102</v>
      </c>
      <c r="E42" s="50" t="s">
        <v>99</v>
      </c>
      <c r="F42" s="50" t="s">
        <v>100</v>
      </c>
      <c r="G42" s="50" t="s">
        <v>101</v>
      </c>
      <c r="H42" s="16"/>
      <c r="I42" s="16"/>
      <c r="J42" s="16"/>
      <c r="K42" s="16"/>
      <c r="L42" s="16"/>
      <c r="M42" s="16"/>
      <c r="N42" s="16"/>
      <c r="O42" s="16"/>
      <c r="P42" s="30"/>
    </row>
    <row r="43" spans="1:16" s="3" customFormat="1" ht="12" customHeight="1" x14ac:dyDescent="0.25">
      <c r="A43" s="5"/>
      <c r="B43" s="33"/>
      <c r="C43" s="19"/>
      <c r="D43" s="49" t="s">
        <v>104</v>
      </c>
      <c r="E43" s="50" t="s">
        <v>100</v>
      </c>
      <c r="F43" s="50" t="s">
        <v>101</v>
      </c>
      <c r="G43" s="50" t="s">
        <v>101</v>
      </c>
      <c r="H43" s="16"/>
      <c r="I43" s="16"/>
      <c r="J43" s="16"/>
      <c r="K43" s="16"/>
      <c r="L43" s="16"/>
      <c r="M43" s="16"/>
      <c r="N43" s="16"/>
      <c r="O43" s="16"/>
      <c r="P43" s="30"/>
    </row>
    <row r="44" spans="1:16" s="3" customFormat="1" ht="12" customHeight="1" x14ac:dyDescent="0.25">
      <c r="A44" s="5"/>
      <c r="B44" s="33"/>
      <c r="C44" s="19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30"/>
    </row>
    <row r="45" spans="1:16" x14ac:dyDescent="0.25">
      <c r="A45" s="4"/>
      <c r="B45" s="33"/>
      <c r="C45" s="332" t="s">
        <v>137</v>
      </c>
      <c r="D45" s="332"/>
      <c r="E45" s="332"/>
      <c r="F45" s="332"/>
      <c r="G45" s="332"/>
      <c r="H45" s="332"/>
      <c r="I45" s="332"/>
      <c r="J45" s="332"/>
      <c r="K45" s="12"/>
      <c r="L45" s="13"/>
      <c r="M45" s="13" t="s">
        <v>141</v>
      </c>
      <c r="N45" s="13"/>
      <c r="O45" s="14" t="str">
        <f>CONCATENATE(L45,"_",M45)</f>
        <v>_CalcularComplexidadeFT</v>
      </c>
      <c r="P45" s="28" t="s">
        <v>133</v>
      </c>
    </row>
    <row r="46" spans="1:16" s="3" customFormat="1" ht="12" customHeight="1" x14ac:dyDescent="0.25">
      <c r="A46" s="5"/>
      <c r="B46" s="33"/>
      <c r="C46" s="19"/>
      <c r="D46" s="46" t="s">
        <v>82</v>
      </c>
      <c r="E46" s="47"/>
      <c r="F46" s="47"/>
      <c r="G46" s="47"/>
      <c r="H46" s="47"/>
      <c r="I46" s="47"/>
      <c r="J46" s="47"/>
      <c r="K46" s="47"/>
      <c r="L46" s="47"/>
      <c r="M46" s="46"/>
      <c r="N46" s="46"/>
      <c r="O46" s="47"/>
      <c r="P46" s="48"/>
    </row>
    <row r="47" spans="1:16" s="3" customFormat="1" ht="12" customHeight="1" x14ac:dyDescent="0.25">
      <c r="A47" s="5"/>
      <c r="B47" s="33"/>
      <c r="C47" s="19"/>
      <c r="D47" s="49" t="s">
        <v>264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30"/>
    </row>
    <row r="48" spans="1:16" s="3" customFormat="1" ht="12" customHeight="1" x14ac:dyDescent="0.25">
      <c r="A48" s="5"/>
      <c r="B48" s="33"/>
      <c r="C48" s="19"/>
      <c r="D48" s="51" t="s">
        <v>105</v>
      </c>
      <c r="E48" s="45" t="s">
        <v>111</v>
      </c>
      <c r="F48" s="16" t="s">
        <v>115</v>
      </c>
      <c r="G48" s="16" t="s">
        <v>116</v>
      </c>
      <c r="H48" s="16"/>
      <c r="I48" s="16"/>
      <c r="J48" s="16"/>
      <c r="K48" s="16"/>
      <c r="L48" s="16"/>
      <c r="M48" s="16"/>
      <c r="N48" s="16"/>
      <c r="O48" s="16"/>
      <c r="P48" s="30"/>
    </row>
    <row r="49" spans="1:16" s="3" customFormat="1" ht="12" customHeight="1" x14ac:dyDescent="0.25">
      <c r="A49" s="5"/>
      <c r="B49" s="33"/>
      <c r="C49" s="19"/>
      <c r="D49" s="49">
        <v>1</v>
      </c>
      <c r="E49" s="50" t="s">
        <v>99</v>
      </c>
      <c r="F49" s="50" t="s">
        <v>99</v>
      </c>
      <c r="G49" s="50" t="s">
        <v>100</v>
      </c>
      <c r="H49" s="16"/>
      <c r="I49" s="16"/>
      <c r="J49" s="16"/>
      <c r="K49" s="16"/>
      <c r="L49" s="16"/>
      <c r="M49" s="16"/>
      <c r="N49" s="16"/>
      <c r="O49" s="16"/>
      <c r="P49" s="30"/>
    </row>
    <row r="50" spans="1:16" s="3" customFormat="1" ht="12" customHeight="1" x14ac:dyDescent="0.25">
      <c r="A50" s="5"/>
      <c r="B50" s="33"/>
      <c r="C50" s="19"/>
      <c r="D50" s="49">
        <v>2</v>
      </c>
      <c r="E50" s="50" t="s">
        <v>99</v>
      </c>
      <c r="F50" s="50" t="s">
        <v>100</v>
      </c>
      <c r="G50" s="50" t="s">
        <v>101</v>
      </c>
      <c r="H50" s="16"/>
      <c r="I50" s="16"/>
      <c r="J50" s="16"/>
      <c r="K50" s="16"/>
      <c r="L50" s="16"/>
      <c r="M50" s="16"/>
      <c r="N50" s="16"/>
      <c r="O50" s="16"/>
      <c r="P50" s="30"/>
    </row>
    <row r="51" spans="1:16" s="3" customFormat="1" ht="12" customHeight="1" x14ac:dyDescent="0.25">
      <c r="A51" s="5"/>
      <c r="B51" s="33"/>
      <c r="C51" s="19"/>
      <c r="D51" s="49" t="s">
        <v>108</v>
      </c>
      <c r="E51" s="50" t="s">
        <v>100</v>
      </c>
      <c r="F51" s="50" t="s">
        <v>101</v>
      </c>
      <c r="G51" s="50" t="s">
        <v>101</v>
      </c>
      <c r="H51" s="16"/>
      <c r="I51" s="16"/>
      <c r="J51" s="16"/>
      <c r="K51" s="16"/>
      <c r="L51" s="16"/>
      <c r="M51" s="16"/>
      <c r="N51" s="16"/>
      <c r="O51" s="16"/>
      <c r="P51" s="30"/>
    </row>
    <row r="52" spans="1:16" s="3" customFormat="1" ht="12" customHeight="1" x14ac:dyDescent="0.25">
      <c r="A52" s="5"/>
      <c r="B52" s="33"/>
      <c r="C52" s="19"/>
      <c r="D52" s="49" t="s">
        <v>264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30"/>
    </row>
    <row r="53" spans="1:16" s="3" customFormat="1" ht="12" customHeight="1" x14ac:dyDescent="0.25">
      <c r="A53" s="5"/>
      <c r="B53" s="33"/>
      <c r="C53" s="19"/>
      <c r="D53" s="51" t="s">
        <v>106</v>
      </c>
      <c r="E53" s="45" t="s">
        <v>109</v>
      </c>
      <c r="F53" s="16" t="s">
        <v>110</v>
      </c>
      <c r="G53" s="16" t="s">
        <v>112</v>
      </c>
      <c r="H53" s="16"/>
      <c r="I53" s="16"/>
      <c r="J53" s="16"/>
      <c r="K53" s="16"/>
      <c r="L53" s="16"/>
      <c r="M53" s="16"/>
      <c r="N53" s="16"/>
      <c r="O53" s="16"/>
      <c r="P53" s="30"/>
    </row>
    <row r="54" spans="1:16" s="3" customFormat="1" ht="12" customHeight="1" x14ac:dyDescent="0.25">
      <c r="A54" s="5"/>
      <c r="B54" s="33"/>
      <c r="C54" s="19"/>
      <c r="D54" s="49" t="s">
        <v>107</v>
      </c>
      <c r="E54" s="50" t="s">
        <v>99</v>
      </c>
      <c r="F54" s="50" t="s">
        <v>99</v>
      </c>
      <c r="G54" s="50" t="s">
        <v>100</v>
      </c>
      <c r="H54" s="16"/>
      <c r="I54" s="16"/>
      <c r="J54" s="16"/>
      <c r="K54" s="16"/>
      <c r="L54" s="16"/>
      <c r="M54" s="16"/>
      <c r="N54" s="16"/>
      <c r="O54" s="16"/>
      <c r="P54" s="30"/>
    </row>
    <row r="55" spans="1:16" s="3" customFormat="1" ht="12" customHeight="1" x14ac:dyDescent="0.25">
      <c r="A55" s="5"/>
      <c r="B55" s="33"/>
      <c r="C55" s="19"/>
      <c r="D55" s="49" t="s">
        <v>113</v>
      </c>
      <c r="E55" s="50" t="s">
        <v>99</v>
      </c>
      <c r="F55" s="50" t="s">
        <v>100</v>
      </c>
      <c r="G55" s="50" t="s">
        <v>101</v>
      </c>
      <c r="H55" s="16"/>
      <c r="I55" s="16"/>
      <c r="J55" s="16"/>
      <c r="K55" s="16"/>
      <c r="L55" s="16"/>
      <c r="M55" s="16"/>
      <c r="N55" s="16"/>
      <c r="O55" s="16"/>
      <c r="P55" s="30"/>
    </row>
    <row r="56" spans="1:16" s="3" customFormat="1" ht="12" customHeight="1" x14ac:dyDescent="0.25">
      <c r="A56" s="5"/>
      <c r="B56" s="33"/>
      <c r="C56" s="19"/>
      <c r="D56" s="49" t="s">
        <v>114</v>
      </c>
      <c r="E56" s="50" t="s">
        <v>100</v>
      </c>
      <c r="F56" s="50" t="s">
        <v>101</v>
      </c>
      <c r="G56" s="50" t="s">
        <v>101</v>
      </c>
      <c r="H56" s="16"/>
      <c r="I56" s="16"/>
      <c r="J56" s="16"/>
      <c r="K56" s="16"/>
      <c r="L56" s="16"/>
      <c r="M56" s="16"/>
      <c r="N56" s="16"/>
      <c r="O56" s="16"/>
      <c r="P56" s="30"/>
    </row>
    <row r="57" spans="1:16" s="3" customFormat="1" ht="12" customHeight="1" x14ac:dyDescent="0.25">
      <c r="A57" s="5"/>
      <c r="B57" s="33"/>
      <c r="C57" s="19"/>
      <c r="D57" s="49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30"/>
    </row>
    <row r="58" spans="1:16" x14ac:dyDescent="0.25">
      <c r="A58" s="4"/>
      <c r="B58" s="33"/>
      <c r="C58" s="332" t="s">
        <v>138</v>
      </c>
      <c r="D58" s="332"/>
      <c r="E58" s="332"/>
      <c r="F58" s="332"/>
      <c r="G58" s="332"/>
      <c r="H58" s="332"/>
      <c r="I58" s="332"/>
      <c r="J58" s="332"/>
      <c r="K58" s="12"/>
      <c r="L58" s="13"/>
      <c r="M58" s="13" t="s">
        <v>142</v>
      </c>
      <c r="N58" s="13"/>
      <c r="O58" s="14" t="str">
        <f>CONCATENATE(L58,"_",M58)</f>
        <v>_CalcularContribuicaoFD</v>
      </c>
      <c r="P58" s="28" t="s">
        <v>134</v>
      </c>
    </row>
    <row r="59" spans="1:16" s="3" customFormat="1" ht="12" customHeight="1" x14ac:dyDescent="0.25">
      <c r="A59" s="5"/>
      <c r="B59" s="33"/>
      <c r="C59" s="19"/>
      <c r="D59" s="46" t="s">
        <v>82</v>
      </c>
      <c r="E59" s="47"/>
      <c r="F59" s="47"/>
      <c r="G59" s="47"/>
      <c r="H59" s="47"/>
      <c r="I59" s="47"/>
      <c r="J59" s="47"/>
      <c r="K59" s="47"/>
      <c r="L59" s="47"/>
      <c r="M59" s="46"/>
      <c r="N59" s="46"/>
      <c r="O59" s="47"/>
      <c r="P59" s="48"/>
    </row>
    <row r="60" spans="1:16" s="3" customFormat="1" ht="12" customHeight="1" x14ac:dyDescent="0.25">
      <c r="A60" s="5"/>
      <c r="B60" s="33"/>
      <c r="C60" s="19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30"/>
    </row>
    <row r="61" spans="1:16" s="3" customFormat="1" ht="12" customHeight="1" x14ac:dyDescent="0.25">
      <c r="A61" s="5"/>
      <c r="B61" s="33"/>
      <c r="C61" s="19"/>
      <c r="D61" s="51" t="s">
        <v>148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30"/>
    </row>
    <row r="62" spans="1:16" s="3" customFormat="1" ht="12" customHeight="1" x14ac:dyDescent="0.25">
      <c r="A62" s="5"/>
      <c r="B62" s="33"/>
      <c r="C62" s="19"/>
      <c r="D62" s="49" t="s">
        <v>264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30"/>
    </row>
    <row r="63" spans="1:16" s="3" customFormat="1" ht="12" customHeight="1" x14ac:dyDescent="0.25">
      <c r="A63" s="5"/>
      <c r="B63" s="33"/>
      <c r="C63" s="19"/>
      <c r="D63" s="51"/>
      <c r="E63" s="45" t="s">
        <v>149</v>
      </c>
      <c r="F63" s="16" t="s">
        <v>150</v>
      </c>
      <c r="G63" s="16" t="s">
        <v>151</v>
      </c>
      <c r="H63" s="16"/>
      <c r="I63" s="16"/>
      <c r="J63" s="16"/>
      <c r="K63" s="16"/>
      <c r="L63" s="16"/>
      <c r="M63" s="16"/>
      <c r="N63" s="16"/>
      <c r="O63" s="16"/>
      <c r="P63" s="30"/>
    </row>
    <row r="64" spans="1:16" s="3" customFormat="1" ht="12" customHeight="1" x14ac:dyDescent="0.25">
      <c r="A64" s="5"/>
      <c r="B64" s="33"/>
      <c r="C64" s="19"/>
      <c r="D64" s="49" t="s">
        <v>152</v>
      </c>
      <c r="E64" s="50">
        <v>7</v>
      </c>
      <c r="F64" s="50">
        <v>10</v>
      </c>
      <c r="G64" s="50">
        <v>15</v>
      </c>
      <c r="H64" s="16"/>
      <c r="I64" s="16"/>
      <c r="J64" s="16"/>
      <c r="K64" s="16"/>
      <c r="L64" s="16"/>
      <c r="M64" s="16"/>
      <c r="N64" s="16"/>
      <c r="O64" s="16"/>
      <c r="P64" s="30"/>
    </row>
    <row r="65" spans="1:16" s="3" customFormat="1" ht="12" customHeight="1" x14ac:dyDescent="0.25">
      <c r="A65" s="5"/>
      <c r="B65" s="33"/>
      <c r="C65" s="19"/>
      <c r="D65" s="49" t="s">
        <v>153</v>
      </c>
      <c r="E65" s="50">
        <v>5</v>
      </c>
      <c r="F65" s="50">
        <v>7</v>
      </c>
      <c r="G65" s="50">
        <v>10</v>
      </c>
      <c r="H65" s="16"/>
      <c r="I65" s="16"/>
      <c r="J65" s="16"/>
      <c r="K65" s="16"/>
      <c r="L65" s="16"/>
      <c r="M65" s="16"/>
      <c r="N65" s="16"/>
      <c r="O65" s="16"/>
      <c r="P65" s="30"/>
    </row>
    <row r="66" spans="1:16" s="3" customFormat="1" ht="12" customHeight="1" x14ac:dyDescent="0.25">
      <c r="A66" s="5"/>
      <c r="B66" s="33"/>
      <c r="C66" s="19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30"/>
    </row>
    <row r="67" spans="1:16" x14ac:dyDescent="0.25">
      <c r="A67" s="4"/>
      <c r="B67" s="33"/>
      <c r="C67" s="332" t="s">
        <v>139</v>
      </c>
      <c r="D67" s="332"/>
      <c r="E67" s="332"/>
      <c r="F67" s="332"/>
      <c r="G67" s="332"/>
      <c r="H67" s="332"/>
      <c r="I67" s="332"/>
      <c r="J67" s="332"/>
      <c r="K67" s="12"/>
      <c r="L67" s="13"/>
      <c r="M67" s="13" t="s">
        <v>143</v>
      </c>
      <c r="N67" s="13"/>
      <c r="O67" s="14" t="str">
        <f>CONCATENATE(L67,"_",M67)</f>
        <v>_CalcularContribuicaoFT</v>
      </c>
      <c r="P67" s="28" t="s">
        <v>135</v>
      </c>
    </row>
    <row r="68" spans="1:16" s="3" customFormat="1" ht="12" customHeight="1" x14ac:dyDescent="0.25">
      <c r="A68" s="5"/>
      <c r="B68" s="33"/>
      <c r="C68" s="19"/>
      <c r="D68" s="46" t="s">
        <v>82</v>
      </c>
      <c r="E68" s="47"/>
      <c r="F68" s="47"/>
      <c r="G68" s="47"/>
      <c r="H68" s="47"/>
      <c r="I68" s="47"/>
      <c r="J68" s="47"/>
      <c r="K68" s="47"/>
      <c r="L68" s="47"/>
      <c r="M68" s="46"/>
      <c r="N68" s="46"/>
      <c r="O68" s="47"/>
      <c r="P68" s="48"/>
    </row>
    <row r="69" spans="1:16" s="3" customFormat="1" ht="12" customHeight="1" x14ac:dyDescent="0.25">
      <c r="A69" s="5"/>
      <c r="B69" s="33"/>
      <c r="C69" s="19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30"/>
    </row>
    <row r="70" spans="1:16" s="3" customFormat="1" ht="12" customHeight="1" x14ac:dyDescent="0.25">
      <c r="A70" s="5"/>
      <c r="B70" s="33"/>
      <c r="C70" s="19"/>
      <c r="D70" s="51" t="s">
        <v>148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30"/>
    </row>
    <row r="71" spans="1:16" s="3" customFormat="1" ht="12" customHeight="1" x14ac:dyDescent="0.25">
      <c r="A71" s="5"/>
      <c r="B71" s="33"/>
      <c r="C71" s="19"/>
      <c r="D71" s="49" t="s">
        <v>264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30"/>
    </row>
    <row r="72" spans="1:16" s="3" customFormat="1" ht="12" customHeight="1" x14ac:dyDescent="0.25">
      <c r="A72" s="5"/>
      <c r="B72" s="33"/>
      <c r="C72" s="19"/>
      <c r="D72" s="51"/>
      <c r="E72" s="45" t="s">
        <v>149</v>
      </c>
      <c r="F72" s="16" t="s">
        <v>150</v>
      </c>
      <c r="G72" s="16" t="s">
        <v>151</v>
      </c>
      <c r="H72" s="16"/>
      <c r="I72" s="16"/>
      <c r="J72" s="16"/>
      <c r="K72" s="16"/>
      <c r="L72" s="16"/>
      <c r="M72" s="16"/>
      <c r="N72" s="16"/>
      <c r="O72" s="16"/>
      <c r="P72" s="30"/>
    </row>
    <row r="73" spans="1:16" s="3" customFormat="1" ht="12" customHeight="1" x14ac:dyDescent="0.25">
      <c r="A73" s="5"/>
      <c r="B73" s="33"/>
      <c r="C73" s="19"/>
      <c r="D73" s="49" t="s">
        <v>105</v>
      </c>
      <c r="E73" s="50">
        <v>3</v>
      </c>
      <c r="F73" s="50">
        <v>4</v>
      </c>
      <c r="G73" s="50">
        <v>6</v>
      </c>
      <c r="H73" s="16"/>
      <c r="I73" s="16"/>
      <c r="J73" s="16"/>
      <c r="K73" s="16"/>
      <c r="L73" s="16"/>
      <c r="M73" s="16"/>
      <c r="N73" s="16"/>
      <c r="O73" s="16"/>
      <c r="P73" s="30"/>
    </row>
    <row r="74" spans="1:16" s="3" customFormat="1" ht="12" customHeight="1" x14ac:dyDescent="0.25">
      <c r="A74" s="5"/>
      <c r="B74" s="33"/>
      <c r="C74" s="19"/>
      <c r="D74" s="49" t="s">
        <v>154</v>
      </c>
      <c r="E74" s="50">
        <v>4</v>
      </c>
      <c r="F74" s="50">
        <v>5</v>
      </c>
      <c r="G74" s="50">
        <v>7</v>
      </c>
      <c r="H74" s="16"/>
      <c r="I74" s="16"/>
      <c r="J74" s="16"/>
      <c r="K74" s="16"/>
      <c r="L74" s="16"/>
      <c r="M74" s="16"/>
      <c r="N74" s="16"/>
      <c r="O74" s="16"/>
      <c r="P74" s="30"/>
    </row>
    <row r="75" spans="1:16" s="3" customFormat="1" ht="12" customHeight="1" x14ac:dyDescent="0.25">
      <c r="A75" s="5"/>
      <c r="B75" s="33"/>
      <c r="C75" s="19"/>
      <c r="D75" s="49" t="s">
        <v>155</v>
      </c>
      <c r="E75" s="50">
        <v>3</v>
      </c>
      <c r="F75" s="50">
        <v>4</v>
      </c>
      <c r="G75" s="50">
        <v>6</v>
      </c>
      <c r="H75" s="16"/>
      <c r="I75" s="16"/>
      <c r="J75" s="16"/>
      <c r="K75" s="16"/>
      <c r="L75" s="16"/>
      <c r="M75" s="16"/>
      <c r="N75" s="16"/>
      <c r="O75" s="16"/>
      <c r="P75" s="30"/>
    </row>
    <row r="76" spans="1:16" s="3" customFormat="1" ht="12" customHeight="1" x14ac:dyDescent="0.25">
      <c r="A76" s="5"/>
      <c r="B76" s="33"/>
      <c r="C76" s="1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30"/>
    </row>
    <row r="77" spans="1:16" ht="28.5" customHeight="1" x14ac:dyDescent="0.25">
      <c r="A77" s="6"/>
      <c r="B77" s="33"/>
      <c r="C77" s="335" t="s">
        <v>145</v>
      </c>
      <c r="D77" s="335"/>
      <c r="E77" s="335"/>
      <c r="F77" s="335"/>
      <c r="G77" s="335"/>
      <c r="H77" s="335"/>
      <c r="I77" s="335"/>
      <c r="J77" s="335"/>
      <c r="K77" s="335"/>
      <c r="L77" s="335"/>
      <c r="M77" s="335"/>
      <c r="N77" s="335"/>
      <c r="O77" s="335"/>
      <c r="P77" s="336"/>
    </row>
    <row r="78" spans="1:16" ht="28.5" customHeight="1" x14ac:dyDescent="0.25">
      <c r="A78" s="6"/>
      <c r="B78" s="34"/>
      <c r="C78" s="333" t="s">
        <v>91</v>
      </c>
      <c r="D78" s="333"/>
      <c r="E78" s="333"/>
      <c r="F78" s="333"/>
      <c r="G78" s="333"/>
      <c r="H78" s="333"/>
      <c r="I78" s="333"/>
      <c r="J78" s="333"/>
      <c r="K78" s="333"/>
      <c r="L78" s="333"/>
      <c r="M78" s="333"/>
      <c r="N78" s="333"/>
      <c r="O78" s="333"/>
      <c r="P78" s="334"/>
    </row>
    <row r="79" spans="1:16" x14ac:dyDescent="0.25">
      <c r="A79" s="4"/>
      <c r="B79" s="34"/>
      <c r="C79" s="52" t="s">
        <v>5</v>
      </c>
      <c r="D79" s="52"/>
      <c r="E79" s="52"/>
      <c r="F79" s="52"/>
      <c r="G79" s="52"/>
      <c r="H79" s="52"/>
      <c r="I79" s="52"/>
      <c r="J79" s="52"/>
      <c r="K79" s="12"/>
      <c r="L79" s="13"/>
      <c r="M79" s="13" t="s">
        <v>41</v>
      </c>
      <c r="N79" s="13" t="s">
        <v>184</v>
      </c>
      <c r="O79" s="14" t="str">
        <f>CONCATENATE(L79,"_",M79)</f>
        <v>_CalcularProjetoDesenvolvimento</v>
      </c>
      <c r="P79" s="28" t="s">
        <v>1</v>
      </c>
    </row>
    <row r="80" spans="1:16" x14ac:dyDescent="0.25">
      <c r="A80" s="4"/>
      <c r="B80" s="34"/>
      <c r="C80" s="52"/>
      <c r="D80" s="52"/>
      <c r="E80" s="52"/>
      <c r="F80" s="52"/>
      <c r="G80" s="52"/>
      <c r="H80" s="52"/>
      <c r="I80" s="52"/>
      <c r="J80" s="52"/>
      <c r="K80" s="12"/>
      <c r="L80" s="13"/>
      <c r="M80" s="13" t="s">
        <v>45</v>
      </c>
      <c r="N80" s="13" t="s">
        <v>183</v>
      </c>
      <c r="O80" s="14" t="str">
        <f>CONCATENATE(L80,"_",M80)</f>
        <v>_CalcularProjetoMelhoriaManutencao</v>
      </c>
      <c r="P80" s="28" t="s">
        <v>2</v>
      </c>
    </row>
    <row r="81" spans="1:16" s="3" customFormat="1" ht="12" customHeight="1" x14ac:dyDescent="0.25">
      <c r="A81" s="4"/>
      <c r="B81" s="34"/>
      <c r="C81" s="20"/>
      <c r="D81" s="46" t="s">
        <v>240</v>
      </c>
      <c r="E81" s="47"/>
      <c r="F81" s="47"/>
      <c r="G81" s="47"/>
      <c r="H81" s="47"/>
      <c r="I81" s="47"/>
      <c r="J81" s="47"/>
      <c r="K81" s="47"/>
      <c r="L81" s="47"/>
      <c r="M81" s="46"/>
      <c r="N81" s="46"/>
      <c r="O81" s="47"/>
      <c r="P81" s="48"/>
    </row>
    <row r="82" spans="1:16" s="3" customFormat="1" ht="12" customHeight="1" x14ac:dyDescent="0.25">
      <c r="A82" s="4"/>
      <c r="B82" s="34"/>
      <c r="C82" s="20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30"/>
    </row>
    <row r="83" spans="1:16" s="3" customFormat="1" ht="12" customHeight="1" x14ac:dyDescent="0.25">
      <c r="A83" s="4"/>
      <c r="B83" s="34"/>
      <c r="C83" s="20"/>
      <c r="D83" s="16" t="s">
        <v>239</v>
      </c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30"/>
    </row>
    <row r="84" spans="1:16" s="3" customFormat="1" ht="12" customHeight="1" x14ac:dyDescent="0.25">
      <c r="A84" s="4"/>
      <c r="B84" s="34"/>
      <c r="C84" s="20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30"/>
    </row>
    <row r="85" spans="1:16" x14ac:dyDescent="0.25">
      <c r="A85" s="4"/>
      <c r="B85" s="34"/>
      <c r="C85" s="52"/>
      <c r="D85" s="52"/>
      <c r="E85" s="52"/>
      <c r="F85" s="52"/>
      <c r="G85" s="52"/>
      <c r="H85" s="52"/>
      <c r="I85" s="52"/>
      <c r="J85" s="52"/>
      <c r="K85" s="12"/>
      <c r="L85" s="13"/>
      <c r="M85" s="13" t="s">
        <v>46</v>
      </c>
      <c r="N85" s="13" t="s">
        <v>185</v>
      </c>
      <c r="O85" s="14" t="str">
        <f>CONCATENATE(L85,"_",M85)</f>
        <v>_CalcularProjetoConversao</v>
      </c>
      <c r="P85" s="28" t="s">
        <v>3</v>
      </c>
    </row>
    <row r="86" spans="1:16" x14ac:dyDescent="0.25">
      <c r="A86" s="4"/>
      <c r="B86" s="34"/>
      <c r="C86" s="52"/>
      <c r="D86" s="52"/>
      <c r="E86" s="52"/>
      <c r="F86" s="52"/>
      <c r="G86" s="52"/>
      <c r="H86" s="52"/>
      <c r="I86" s="52"/>
      <c r="J86" s="52"/>
      <c r="K86" s="12"/>
      <c r="L86" s="13"/>
      <c r="M86" s="13" t="s">
        <v>50</v>
      </c>
      <c r="N86" s="13" t="s">
        <v>177</v>
      </c>
      <c r="O86" s="14" t="str">
        <f>CONCATENATE(L86,"_",M86)</f>
        <v>_CalcularApuracaoRetrabalhoPorMudancaRequisitos</v>
      </c>
      <c r="P86" s="28" t="s">
        <v>4</v>
      </c>
    </row>
    <row r="87" spans="1:16" s="3" customFormat="1" ht="12" customHeight="1" x14ac:dyDescent="0.25">
      <c r="A87" s="4"/>
      <c r="B87" s="34"/>
      <c r="C87" s="20"/>
      <c r="D87" s="46" t="s">
        <v>82</v>
      </c>
      <c r="E87" s="47"/>
      <c r="F87" s="47"/>
      <c r="G87" s="47"/>
      <c r="H87" s="47"/>
      <c r="I87" s="47"/>
      <c r="J87" s="47"/>
      <c r="K87" s="47"/>
      <c r="L87" s="47"/>
      <c r="M87" s="46"/>
      <c r="N87" s="46"/>
      <c r="O87" s="47"/>
      <c r="P87" s="48"/>
    </row>
    <row r="88" spans="1:16" s="3" customFormat="1" ht="12" customHeight="1" x14ac:dyDescent="0.25">
      <c r="A88" s="4"/>
      <c r="B88" s="34"/>
      <c r="C88" s="20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30"/>
    </row>
    <row r="89" spans="1:16" s="3" customFormat="1" ht="12" customHeight="1" x14ac:dyDescent="0.25">
      <c r="A89" s="4"/>
      <c r="B89" s="34"/>
      <c r="C89" s="20"/>
      <c r="D89" s="54" t="s">
        <v>220</v>
      </c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30"/>
    </row>
    <row r="90" spans="1:16" s="3" customFormat="1" ht="12" customHeight="1" x14ac:dyDescent="0.25">
      <c r="A90" s="4"/>
      <c r="B90" s="34"/>
      <c r="C90" s="20"/>
      <c r="D90" s="16"/>
      <c r="E90" s="16"/>
      <c r="F90" s="16"/>
      <c r="G90" s="16"/>
      <c r="H90" s="338" t="s">
        <v>235</v>
      </c>
      <c r="I90" s="339"/>
      <c r="J90" s="340"/>
      <c r="K90" s="16"/>
      <c r="L90" s="16"/>
      <c r="M90" s="16"/>
      <c r="N90" s="16"/>
      <c r="O90" s="16"/>
      <c r="P90" s="30"/>
    </row>
    <row r="91" spans="1:16" s="3" customFormat="1" ht="12" customHeight="1" x14ac:dyDescent="0.25">
      <c r="A91" s="4"/>
      <c r="B91" s="34"/>
      <c r="C91" s="20"/>
      <c r="D91" s="346" t="s">
        <v>179</v>
      </c>
      <c r="E91" s="346"/>
      <c r="F91" s="346"/>
      <c r="G91" s="346"/>
      <c r="H91" s="50" t="s">
        <v>233</v>
      </c>
      <c r="I91" s="50" t="s">
        <v>222</v>
      </c>
      <c r="J91" s="50" t="s">
        <v>234</v>
      </c>
      <c r="K91" s="16"/>
      <c r="L91" s="56" t="s">
        <v>237</v>
      </c>
      <c r="M91" s="16"/>
      <c r="N91" s="16"/>
      <c r="O91" s="16"/>
      <c r="P91" s="30"/>
    </row>
    <row r="92" spans="1:16" s="3" customFormat="1" ht="12" customHeight="1" x14ac:dyDescent="0.25">
      <c r="A92" s="4"/>
      <c r="B92" s="34"/>
      <c r="C92" s="20"/>
      <c r="D92" s="345" t="s">
        <v>228</v>
      </c>
      <c r="E92" s="325" t="s">
        <v>221</v>
      </c>
      <c r="F92" s="326"/>
      <c r="G92" s="327"/>
      <c r="H92" s="59"/>
      <c r="I92" s="59"/>
      <c r="J92" s="59"/>
      <c r="K92" s="16"/>
      <c r="L92" s="56" t="s">
        <v>236</v>
      </c>
      <c r="M92" s="16"/>
      <c r="N92" s="16"/>
      <c r="O92" s="16"/>
      <c r="P92" s="30"/>
    </row>
    <row r="93" spans="1:16" s="3" customFormat="1" ht="12" customHeight="1" x14ac:dyDescent="0.25">
      <c r="A93" s="4"/>
      <c r="B93" s="34"/>
      <c r="C93" s="20"/>
      <c r="D93" s="345"/>
      <c r="E93" s="343" t="s">
        <v>222</v>
      </c>
      <c r="F93" s="341" t="s">
        <v>224</v>
      </c>
      <c r="G93" s="342"/>
      <c r="H93" s="60">
        <v>75</v>
      </c>
      <c r="I93" s="60">
        <v>75</v>
      </c>
      <c r="J93" s="59"/>
      <c r="K93" s="16" t="s">
        <v>226</v>
      </c>
      <c r="L93" s="56" t="s">
        <v>231</v>
      </c>
      <c r="M93" s="16"/>
      <c r="N93" s="16"/>
      <c r="O93" s="16"/>
      <c r="P93" s="30"/>
    </row>
    <row r="94" spans="1:16" s="3" customFormat="1" ht="12" customHeight="1" x14ac:dyDescent="0.25">
      <c r="A94" s="4"/>
      <c r="B94" s="34"/>
      <c r="C94" s="20"/>
      <c r="D94" s="345"/>
      <c r="E94" s="344"/>
      <c r="F94" s="341" t="s">
        <v>225</v>
      </c>
      <c r="G94" s="342"/>
      <c r="H94" s="60">
        <v>0.6</v>
      </c>
      <c r="I94" s="60">
        <v>0.6</v>
      </c>
      <c r="J94" s="59"/>
      <c r="K94" s="16" t="s">
        <v>227</v>
      </c>
      <c r="L94" s="56" t="s">
        <v>230</v>
      </c>
      <c r="M94" s="16"/>
      <c r="N94" s="16"/>
      <c r="O94" s="16"/>
      <c r="P94" s="30"/>
    </row>
    <row r="95" spans="1:16" s="3" customFormat="1" ht="12" customHeight="1" x14ac:dyDescent="0.25">
      <c r="A95" s="4"/>
      <c r="B95" s="34"/>
      <c r="C95" s="20"/>
      <c r="D95" s="345"/>
      <c r="E95" s="325" t="s">
        <v>223</v>
      </c>
      <c r="F95" s="326"/>
      <c r="G95" s="327"/>
      <c r="H95" s="60">
        <v>140</v>
      </c>
      <c r="I95" s="60">
        <v>115</v>
      </c>
      <c r="J95" s="60">
        <v>40</v>
      </c>
      <c r="K95" s="16" t="s">
        <v>226</v>
      </c>
      <c r="L95" s="56" t="s">
        <v>229</v>
      </c>
      <c r="M95" s="16"/>
      <c r="N95" s="16"/>
      <c r="O95" s="16"/>
      <c r="P95" s="30"/>
    </row>
    <row r="96" spans="1:16" s="3" customFormat="1" ht="12" customHeight="1" x14ac:dyDescent="0.25">
      <c r="A96" s="4"/>
      <c r="B96" s="34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30"/>
    </row>
    <row r="97" spans="1:16" s="3" customFormat="1" ht="12" customHeight="1" x14ac:dyDescent="0.25">
      <c r="A97" s="4"/>
      <c r="B97" s="34"/>
      <c r="C97" s="20"/>
      <c r="D97" s="16" t="s">
        <v>232</v>
      </c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30"/>
    </row>
    <row r="98" spans="1:16" s="3" customFormat="1" ht="12" customHeight="1" x14ac:dyDescent="0.25">
      <c r="A98" s="4"/>
      <c r="B98" s="34"/>
      <c r="C98" s="20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30"/>
    </row>
    <row r="99" spans="1:16" ht="28.5" customHeight="1" x14ac:dyDescent="0.25">
      <c r="A99" s="6"/>
      <c r="B99" s="35"/>
      <c r="C99" s="333" t="s">
        <v>92</v>
      </c>
      <c r="D99" s="333"/>
      <c r="E99" s="333"/>
      <c r="F99" s="333"/>
      <c r="G99" s="333"/>
      <c r="H99" s="333"/>
      <c r="I99" s="333"/>
      <c r="J99" s="333"/>
      <c r="K99" s="333"/>
      <c r="L99" s="333"/>
      <c r="M99" s="333"/>
      <c r="N99" s="333"/>
      <c r="O99" s="333"/>
      <c r="P99" s="334"/>
    </row>
    <row r="100" spans="1:16" x14ac:dyDescent="0.25">
      <c r="A100" s="4"/>
      <c r="B100" s="35"/>
      <c r="C100" s="331" t="s">
        <v>158</v>
      </c>
      <c r="D100" s="331"/>
      <c r="E100" s="331"/>
      <c r="F100" s="331"/>
      <c r="G100" s="331"/>
      <c r="H100" s="331"/>
      <c r="I100" s="331"/>
      <c r="J100" s="331"/>
      <c r="K100" s="17"/>
      <c r="L100" s="13"/>
      <c r="M100" s="13" t="s">
        <v>156</v>
      </c>
      <c r="N100" s="13" t="s">
        <v>192</v>
      </c>
      <c r="O100" s="14" t="str">
        <f>CONCATENATE(L100,"_",M100)</f>
        <v>_CalcularPfManutencaoEvolutiva</v>
      </c>
      <c r="P100" s="28" t="s">
        <v>157</v>
      </c>
    </row>
    <row r="101" spans="1:16" s="3" customFormat="1" ht="12" customHeight="1" x14ac:dyDescent="0.25">
      <c r="A101" s="4"/>
      <c r="B101" s="35"/>
      <c r="C101" s="21"/>
      <c r="D101" s="46" t="s">
        <v>82</v>
      </c>
      <c r="E101" s="47"/>
      <c r="F101" s="47"/>
      <c r="G101" s="47"/>
      <c r="H101" s="47"/>
      <c r="I101" s="47"/>
      <c r="J101" s="47"/>
      <c r="K101" s="47"/>
      <c r="L101" s="47"/>
      <c r="M101" s="46"/>
      <c r="N101" s="46"/>
      <c r="O101" s="47"/>
      <c r="P101" s="48"/>
    </row>
    <row r="102" spans="1:16" s="3" customFormat="1" ht="12" customHeight="1" x14ac:dyDescent="0.25">
      <c r="A102" s="4"/>
      <c r="B102" s="35"/>
      <c r="C102" s="21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30"/>
    </row>
    <row r="103" spans="1:16" s="3" customFormat="1" ht="12" customHeight="1" x14ac:dyDescent="0.25">
      <c r="A103" s="4"/>
      <c r="B103" s="35"/>
      <c r="C103" s="21"/>
      <c r="D103" s="54" t="s">
        <v>186</v>
      </c>
      <c r="E103" s="16"/>
      <c r="F103" s="16"/>
      <c r="G103" s="16"/>
      <c r="H103" s="16"/>
      <c r="I103" s="16"/>
      <c r="J103" s="16"/>
      <c r="K103" s="16"/>
      <c r="L103" s="16"/>
      <c r="M103" s="16"/>
      <c r="N103" s="328" t="s">
        <v>193</v>
      </c>
      <c r="O103" s="328"/>
      <c r="P103" s="30"/>
    </row>
    <row r="104" spans="1:16" s="3" customFormat="1" ht="12" customHeight="1" x14ac:dyDescent="0.25">
      <c r="A104" s="4"/>
      <c r="B104" s="35"/>
      <c r="C104" s="21"/>
      <c r="D104" s="16" t="s">
        <v>187</v>
      </c>
      <c r="E104" s="60">
        <v>50</v>
      </c>
      <c r="F104" s="61">
        <f>E104/100</f>
        <v>0.5</v>
      </c>
      <c r="G104" s="56" t="s">
        <v>188</v>
      </c>
      <c r="H104" s="56"/>
      <c r="I104" s="56"/>
      <c r="J104" s="56"/>
      <c r="K104" s="56"/>
      <c r="L104" s="56"/>
      <c r="M104" s="56"/>
      <c r="N104" s="56"/>
      <c r="O104" s="56"/>
      <c r="P104" s="62"/>
    </row>
    <row r="105" spans="1:16" s="3" customFormat="1" ht="12" customHeight="1" x14ac:dyDescent="0.25">
      <c r="A105" s="4"/>
      <c r="B105" s="35"/>
      <c r="C105" s="21"/>
      <c r="D105" s="16" t="s">
        <v>187</v>
      </c>
      <c r="E105" s="60">
        <v>75</v>
      </c>
      <c r="F105" s="61">
        <f>E105/100</f>
        <v>0.75</v>
      </c>
      <c r="G105" s="56" t="s">
        <v>189</v>
      </c>
      <c r="H105" s="56"/>
      <c r="I105" s="56"/>
      <c r="J105" s="56"/>
      <c r="K105" s="56"/>
      <c r="L105" s="56"/>
      <c r="M105" s="56"/>
      <c r="N105" s="56"/>
      <c r="O105" s="56"/>
      <c r="P105" s="62"/>
    </row>
    <row r="106" spans="1:16" s="3" customFormat="1" ht="12" customHeight="1" x14ac:dyDescent="0.25">
      <c r="A106" s="4"/>
      <c r="B106" s="35"/>
      <c r="C106" s="21"/>
      <c r="D106" s="16" t="s">
        <v>187</v>
      </c>
      <c r="E106" s="60">
        <v>90</v>
      </c>
      <c r="F106" s="61">
        <f>E106/100</f>
        <v>0.9</v>
      </c>
      <c r="G106" s="329" t="s">
        <v>190</v>
      </c>
      <c r="H106" s="329"/>
      <c r="I106" s="329"/>
      <c r="J106" s="329"/>
      <c r="K106" s="329"/>
      <c r="L106" s="329"/>
      <c r="M106" s="329"/>
      <c r="N106" s="329"/>
      <c r="O106" s="329"/>
      <c r="P106" s="330"/>
    </row>
    <row r="107" spans="1:16" s="3" customFormat="1" ht="12" customHeight="1" x14ac:dyDescent="0.25">
      <c r="A107" s="4"/>
      <c r="B107" s="35"/>
      <c r="C107" s="21"/>
      <c r="D107" s="16"/>
      <c r="E107" s="16"/>
      <c r="F107" s="16"/>
      <c r="G107" s="329"/>
      <c r="H107" s="329"/>
      <c r="I107" s="329"/>
      <c r="J107" s="329"/>
      <c r="K107" s="329"/>
      <c r="L107" s="329"/>
      <c r="M107" s="329"/>
      <c r="N107" s="329"/>
      <c r="O107" s="329"/>
      <c r="P107" s="330"/>
    </row>
    <row r="108" spans="1:16" s="3" customFormat="1" ht="12" customHeight="1" x14ac:dyDescent="0.25">
      <c r="A108" s="4"/>
      <c r="B108" s="35"/>
      <c r="C108" s="21"/>
      <c r="D108" s="16"/>
      <c r="E108" s="16"/>
      <c r="F108" s="16"/>
      <c r="G108" s="329"/>
      <c r="H108" s="329"/>
      <c r="I108" s="329"/>
      <c r="J108" s="329"/>
      <c r="K108" s="329"/>
      <c r="L108" s="329"/>
      <c r="M108" s="329"/>
      <c r="N108" s="329"/>
      <c r="O108" s="329"/>
      <c r="P108" s="330"/>
    </row>
    <row r="109" spans="1:16" x14ac:dyDescent="0.25">
      <c r="A109" s="4"/>
      <c r="B109" s="35"/>
      <c r="C109" s="52" t="s">
        <v>5</v>
      </c>
      <c r="D109" s="52"/>
      <c r="E109" s="52"/>
      <c r="F109" s="52"/>
      <c r="G109" s="52"/>
      <c r="H109" s="52"/>
      <c r="I109" s="52"/>
      <c r="J109" s="52"/>
      <c r="K109" s="12"/>
      <c r="L109" s="13"/>
      <c r="M109" s="13" t="s">
        <v>51</v>
      </c>
      <c r="N109" s="13" t="s">
        <v>191</v>
      </c>
      <c r="O109" s="14" t="str">
        <f>CONCATENATE(L109,"_",M109)</f>
        <v>_CalcularPfManutencaoCorretiva</v>
      </c>
      <c r="P109" s="28" t="s">
        <v>19</v>
      </c>
    </row>
    <row r="110" spans="1:16" s="3" customFormat="1" ht="12" customHeight="1" x14ac:dyDescent="0.25">
      <c r="A110" s="4"/>
      <c r="B110" s="35"/>
      <c r="C110" s="21"/>
      <c r="D110" s="46" t="s">
        <v>82</v>
      </c>
      <c r="E110" s="47"/>
      <c r="F110" s="47"/>
      <c r="G110" s="47"/>
      <c r="H110" s="47"/>
      <c r="I110" s="47"/>
      <c r="J110" s="47"/>
      <c r="K110" s="47"/>
      <c r="L110" s="47"/>
      <c r="M110" s="46"/>
      <c r="N110" s="46"/>
      <c r="O110" s="47"/>
      <c r="P110" s="48"/>
    </row>
    <row r="111" spans="1:16" s="3" customFormat="1" ht="12" customHeight="1" x14ac:dyDescent="0.25">
      <c r="A111" s="4"/>
      <c r="B111" s="35"/>
      <c r="C111" s="21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30"/>
    </row>
    <row r="112" spans="1:16" s="3" customFormat="1" ht="12" customHeight="1" x14ac:dyDescent="0.25">
      <c r="A112" s="4"/>
      <c r="B112" s="35"/>
      <c r="C112" s="21"/>
      <c r="D112" s="54" t="s">
        <v>194</v>
      </c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30"/>
    </row>
    <row r="113" spans="1:16" s="3" customFormat="1" ht="12" customHeight="1" x14ac:dyDescent="0.25">
      <c r="A113" s="4"/>
      <c r="B113" s="35"/>
      <c r="C113" s="21"/>
      <c r="D113" s="16" t="s">
        <v>187</v>
      </c>
      <c r="E113" s="60">
        <v>50</v>
      </c>
      <c r="F113" s="61">
        <f>E113/100</f>
        <v>0.5</v>
      </c>
      <c r="G113" s="56" t="s">
        <v>195</v>
      </c>
      <c r="H113" s="16"/>
      <c r="I113" s="16"/>
      <c r="J113" s="16"/>
      <c r="K113" s="16"/>
      <c r="L113" s="16"/>
      <c r="M113" s="16"/>
      <c r="N113" s="16"/>
      <c r="O113" s="16"/>
      <c r="P113" s="30"/>
    </row>
    <row r="114" spans="1:16" s="3" customFormat="1" ht="12" customHeight="1" x14ac:dyDescent="0.25">
      <c r="A114" s="4"/>
      <c r="B114" s="35"/>
      <c r="C114" s="21"/>
      <c r="D114" s="16" t="s">
        <v>187</v>
      </c>
      <c r="E114" s="60">
        <v>75</v>
      </c>
      <c r="F114" s="61">
        <f>E114/100</f>
        <v>0.75</v>
      </c>
      <c r="G114" s="56" t="s">
        <v>196</v>
      </c>
      <c r="H114" s="16"/>
      <c r="I114" s="16"/>
      <c r="J114" s="16"/>
      <c r="K114" s="16"/>
      <c r="L114" s="16"/>
      <c r="M114" s="16"/>
      <c r="N114" s="16"/>
      <c r="O114" s="16"/>
      <c r="P114" s="30"/>
    </row>
    <row r="115" spans="1:16" s="3" customFormat="1" ht="12" customHeight="1" x14ac:dyDescent="0.25">
      <c r="A115" s="4"/>
      <c r="B115" s="35"/>
      <c r="C115" s="21"/>
      <c r="D115" s="16" t="s">
        <v>187</v>
      </c>
      <c r="E115" s="60">
        <v>90</v>
      </c>
      <c r="F115" s="61">
        <f>E115/100</f>
        <v>0.9</v>
      </c>
      <c r="G115" s="56" t="s">
        <v>462</v>
      </c>
      <c r="H115" s="16"/>
      <c r="I115" s="16"/>
      <c r="J115" s="16"/>
      <c r="K115" s="16"/>
      <c r="L115" s="16"/>
      <c r="M115" s="16"/>
      <c r="N115" s="16"/>
      <c r="O115" s="16"/>
      <c r="P115" s="30"/>
    </row>
    <row r="116" spans="1:16" s="3" customFormat="1" ht="12" customHeight="1" x14ac:dyDescent="0.25">
      <c r="A116" s="4"/>
      <c r="B116" s="35"/>
      <c r="C116" s="21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30"/>
    </row>
    <row r="117" spans="1:16" x14ac:dyDescent="0.25">
      <c r="A117" s="4"/>
      <c r="B117" s="35"/>
      <c r="C117" s="52"/>
      <c r="D117" s="52"/>
      <c r="E117" s="52"/>
      <c r="F117" s="52"/>
      <c r="G117" s="52"/>
      <c r="H117" s="52"/>
      <c r="I117" s="52"/>
      <c r="J117" s="52"/>
      <c r="K117" s="12"/>
      <c r="L117" s="13"/>
      <c r="M117" s="13" t="s">
        <v>52</v>
      </c>
      <c r="N117" s="13" t="s">
        <v>198</v>
      </c>
      <c r="O117" s="14" t="str">
        <f>CONCATENATE(L117,"_",M117)</f>
        <v>_CalcularPfMudancaPlataformaLinguagem</v>
      </c>
      <c r="P117" s="28" t="s">
        <v>20</v>
      </c>
    </row>
    <row r="118" spans="1:16" x14ac:dyDescent="0.25">
      <c r="A118" s="4"/>
      <c r="B118" s="35"/>
      <c r="C118" s="52"/>
      <c r="D118" s="52"/>
      <c r="E118" s="52"/>
      <c r="F118" s="52"/>
      <c r="G118" s="52"/>
      <c r="H118" s="52"/>
      <c r="I118" s="52"/>
      <c r="J118" s="52"/>
      <c r="K118" s="12"/>
      <c r="L118" s="13"/>
      <c r="M118" s="13" t="s">
        <v>200</v>
      </c>
      <c r="N118" s="13" t="s">
        <v>199</v>
      </c>
      <c r="O118" s="14" t="str">
        <f>CONCATENATE(L118,"_",M118)</f>
        <v>_CalcularPfMudancaPlataformaBancoDadosHierarquico</v>
      </c>
      <c r="P118" s="28" t="s">
        <v>21</v>
      </c>
    </row>
    <row r="119" spans="1:16" x14ac:dyDescent="0.25">
      <c r="A119" s="4"/>
      <c r="B119" s="35"/>
      <c r="C119" s="52"/>
      <c r="D119" s="52"/>
      <c r="E119" s="52"/>
      <c r="F119" s="52"/>
      <c r="G119" s="52"/>
      <c r="H119" s="52"/>
      <c r="I119" s="52"/>
      <c r="J119" s="52"/>
      <c r="K119" s="12"/>
      <c r="L119" s="13"/>
      <c r="M119" s="13" t="s">
        <v>201</v>
      </c>
      <c r="N119" s="57" t="s">
        <v>202</v>
      </c>
      <c r="O119" s="14" t="str">
        <f>CONCATENATE(L119,"_",M119)</f>
        <v>_CalcularPfMudancaPlataformaBancoDadosRelacional</v>
      </c>
      <c r="P119" s="28" t="s">
        <v>21</v>
      </c>
    </row>
    <row r="120" spans="1:16" s="3" customFormat="1" ht="12" customHeight="1" x14ac:dyDescent="0.25">
      <c r="A120" s="4"/>
      <c r="B120" s="35"/>
      <c r="C120" s="21"/>
      <c r="D120" s="46" t="s">
        <v>82</v>
      </c>
      <c r="E120" s="47"/>
      <c r="F120" s="47"/>
      <c r="G120" s="47"/>
      <c r="H120" s="47"/>
      <c r="I120" s="47"/>
      <c r="J120" s="47"/>
      <c r="K120" s="47"/>
      <c r="L120" s="47"/>
      <c r="M120" s="46"/>
      <c r="N120" s="46"/>
      <c r="O120" s="47"/>
      <c r="P120" s="48"/>
    </row>
    <row r="121" spans="1:16" s="3" customFormat="1" ht="12" customHeight="1" x14ac:dyDescent="0.25">
      <c r="A121" s="4"/>
      <c r="B121" s="35"/>
      <c r="C121" s="21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30"/>
    </row>
    <row r="122" spans="1:16" s="3" customFormat="1" ht="12" customHeight="1" x14ac:dyDescent="0.25">
      <c r="A122" s="4"/>
      <c r="B122" s="35"/>
      <c r="C122" s="21"/>
      <c r="D122" s="54" t="s">
        <v>241</v>
      </c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30"/>
    </row>
    <row r="123" spans="1:16" s="3" customFormat="1" ht="12" customHeight="1" x14ac:dyDescent="0.25">
      <c r="A123" s="4"/>
      <c r="B123" s="35"/>
      <c r="C123" s="21"/>
      <c r="D123" s="16" t="s">
        <v>187</v>
      </c>
      <c r="E123" s="60">
        <v>30</v>
      </c>
      <c r="F123" s="61">
        <f>E123/100</f>
        <v>0.3</v>
      </c>
      <c r="G123" s="16"/>
      <c r="H123" s="16"/>
      <c r="I123" s="16"/>
      <c r="J123" s="16"/>
      <c r="K123" s="16"/>
      <c r="L123" s="16"/>
      <c r="M123" s="16"/>
      <c r="N123" s="16"/>
      <c r="O123" s="16"/>
      <c r="P123" s="30"/>
    </row>
    <row r="124" spans="1:16" s="3" customFormat="1" ht="12" customHeight="1" x14ac:dyDescent="0.25">
      <c r="A124" s="4"/>
      <c r="B124" s="35"/>
      <c r="C124" s="21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30"/>
    </row>
    <row r="125" spans="1:16" x14ac:dyDescent="0.25">
      <c r="A125" s="4"/>
      <c r="B125" s="35"/>
      <c r="C125" s="52"/>
      <c r="D125" s="52"/>
      <c r="E125" s="52"/>
      <c r="F125" s="52"/>
      <c r="G125" s="52"/>
      <c r="H125" s="52"/>
      <c r="I125" s="52"/>
      <c r="J125" s="52"/>
      <c r="K125" s="12"/>
      <c r="L125" s="13"/>
      <c r="M125" s="13" t="s">
        <v>53</v>
      </c>
      <c r="N125" s="13" t="s">
        <v>203</v>
      </c>
      <c r="O125" s="14" t="str">
        <f>CONCATENATE(L125,"_",M125)</f>
        <v>_CalcularPfAtualizacaoVersaoLinguagem</v>
      </c>
      <c r="P125" s="28" t="s">
        <v>22</v>
      </c>
    </row>
    <row r="126" spans="1:16" s="3" customFormat="1" ht="12" customHeight="1" x14ac:dyDescent="0.25">
      <c r="A126" s="4"/>
      <c r="B126" s="35"/>
      <c r="C126" s="21"/>
      <c r="D126" s="46" t="s">
        <v>82</v>
      </c>
      <c r="E126" s="47"/>
      <c r="F126" s="47"/>
      <c r="G126" s="47"/>
      <c r="H126" s="47"/>
      <c r="I126" s="47"/>
      <c r="J126" s="47"/>
      <c r="K126" s="47"/>
      <c r="L126" s="47"/>
      <c r="M126" s="46"/>
      <c r="N126" s="46"/>
      <c r="O126" s="47"/>
      <c r="P126" s="48"/>
    </row>
    <row r="127" spans="1:16" s="3" customFormat="1" ht="12" customHeight="1" x14ac:dyDescent="0.25">
      <c r="A127" s="4"/>
      <c r="B127" s="35"/>
      <c r="C127" s="21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30"/>
    </row>
    <row r="128" spans="1:16" s="3" customFormat="1" ht="12" customHeight="1" x14ac:dyDescent="0.25">
      <c r="A128" s="4"/>
      <c r="B128" s="35"/>
      <c r="C128" s="21"/>
      <c r="D128" s="54" t="s">
        <v>242</v>
      </c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30"/>
    </row>
    <row r="129" spans="1:16" s="3" customFormat="1" ht="12" customHeight="1" x14ac:dyDescent="0.25">
      <c r="A129" s="4"/>
      <c r="B129" s="35"/>
      <c r="C129" s="21"/>
      <c r="D129" s="16" t="s">
        <v>187</v>
      </c>
      <c r="E129" s="60">
        <v>30</v>
      </c>
      <c r="F129" s="61">
        <f>E129/100</f>
        <v>0.3</v>
      </c>
      <c r="G129" s="16"/>
      <c r="H129" s="16"/>
      <c r="I129" s="16"/>
      <c r="J129" s="16"/>
      <c r="K129" s="16"/>
      <c r="L129" s="16"/>
      <c r="M129" s="16"/>
      <c r="N129" s="16"/>
      <c r="O129" s="16"/>
      <c r="P129" s="30"/>
    </row>
    <row r="130" spans="1:16" s="3" customFormat="1" ht="12" customHeight="1" x14ac:dyDescent="0.25">
      <c r="A130" s="4"/>
      <c r="B130" s="35"/>
      <c r="C130" s="21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30"/>
    </row>
    <row r="131" spans="1:16" x14ac:dyDescent="0.25">
      <c r="A131" s="4"/>
      <c r="B131" s="35"/>
      <c r="C131" s="52"/>
      <c r="D131" s="52"/>
      <c r="E131" s="52"/>
      <c r="F131" s="52"/>
      <c r="G131" s="52"/>
      <c r="H131" s="52"/>
      <c r="I131" s="52"/>
      <c r="J131" s="52"/>
      <c r="K131" s="12"/>
      <c r="L131" s="13"/>
      <c r="M131" s="13" t="s">
        <v>54</v>
      </c>
      <c r="N131" s="13" t="s">
        <v>204</v>
      </c>
      <c r="O131" s="14" t="str">
        <f>CONCATENATE(L131,"_",M131)</f>
        <v>_CalcularPfAtualizacaoVersaoBrowser</v>
      </c>
      <c r="P131" s="28" t="s">
        <v>23</v>
      </c>
    </row>
    <row r="132" spans="1:16" s="3" customFormat="1" ht="12" customHeight="1" x14ac:dyDescent="0.25">
      <c r="A132" s="4"/>
      <c r="B132" s="35"/>
      <c r="C132" s="21"/>
      <c r="D132" s="46" t="s">
        <v>82</v>
      </c>
      <c r="E132" s="47"/>
      <c r="F132" s="47"/>
      <c r="G132" s="47"/>
      <c r="H132" s="47"/>
      <c r="I132" s="47"/>
      <c r="J132" s="47"/>
      <c r="K132" s="47"/>
      <c r="L132" s="47"/>
      <c r="M132" s="46"/>
      <c r="N132" s="46"/>
      <c r="O132" s="47"/>
      <c r="P132" s="48"/>
    </row>
    <row r="133" spans="1:16" s="3" customFormat="1" ht="12" customHeight="1" x14ac:dyDescent="0.25">
      <c r="A133" s="4"/>
      <c r="B133" s="35"/>
      <c r="C133" s="21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30"/>
    </row>
    <row r="134" spans="1:16" s="3" customFormat="1" ht="12" customHeight="1" x14ac:dyDescent="0.25">
      <c r="A134" s="4"/>
      <c r="B134" s="35"/>
      <c r="C134" s="21"/>
      <c r="D134" s="54" t="s">
        <v>243</v>
      </c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30"/>
    </row>
    <row r="135" spans="1:16" s="3" customFormat="1" ht="12" customHeight="1" x14ac:dyDescent="0.25">
      <c r="A135" s="4"/>
      <c r="B135" s="35"/>
      <c r="C135" s="21"/>
      <c r="D135" s="16" t="s">
        <v>187</v>
      </c>
      <c r="E135" s="60">
        <v>30</v>
      </c>
      <c r="F135" s="61">
        <f>E135/100</f>
        <v>0.3</v>
      </c>
      <c r="G135" s="16"/>
      <c r="H135" s="16"/>
      <c r="I135" s="16"/>
      <c r="J135" s="16"/>
      <c r="K135" s="16"/>
      <c r="L135" s="16"/>
      <c r="M135" s="16"/>
      <c r="N135" s="16"/>
      <c r="O135" s="16"/>
      <c r="P135" s="30"/>
    </row>
    <row r="136" spans="1:16" s="3" customFormat="1" ht="12" customHeight="1" x14ac:dyDescent="0.25">
      <c r="A136" s="4"/>
      <c r="B136" s="35"/>
      <c r="C136" s="21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30"/>
    </row>
    <row r="137" spans="1:16" x14ac:dyDescent="0.25">
      <c r="A137" s="4"/>
      <c r="B137" s="35"/>
      <c r="C137" s="52"/>
      <c r="D137" s="52"/>
      <c r="E137" s="52"/>
      <c r="F137" s="52"/>
      <c r="G137" s="52"/>
      <c r="H137" s="52"/>
      <c r="I137" s="52"/>
      <c r="J137" s="52"/>
      <c r="K137" s="12"/>
      <c r="L137" s="13"/>
      <c r="M137" s="13" t="s">
        <v>58</v>
      </c>
      <c r="N137" s="13" t="s">
        <v>205</v>
      </c>
      <c r="O137" s="14" t="str">
        <f>CONCATENATE(L137,"_",M137)</f>
        <v>_CalcularPfAtualizacaoVersaoBD</v>
      </c>
      <c r="P137" s="28" t="s">
        <v>24</v>
      </c>
    </row>
    <row r="138" spans="1:16" s="3" customFormat="1" ht="12" customHeight="1" x14ac:dyDescent="0.25">
      <c r="A138" s="4"/>
      <c r="B138" s="35"/>
      <c r="C138" s="21"/>
      <c r="D138" s="46" t="s">
        <v>82</v>
      </c>
      <c r="E138" s="47"/>
      <c r="F138" s="47"/>
      <c r="G138" s="47"/>
      <c r="H138" s="47"/>
      <c r="I138" s="47"/>
      <c r="J138" s="47"/>
      <c r="K138" s="47"/>
      <c r="L138" s="47"/>
      <c r="M138" s="46"/>
      <c r="N138" s="46"/>
      <c r="O138" s="47"/>
      <c r="P138" s="48"/>
    </row>
    <row r="139" spans="1:16" s="3" customFormat="1" ht="12" customHeight="1" x14ac:dyDescent="0.25">
      <c r="A139" s="4"/>
      <c r="B139" s="35"/>
      <c r="C139" s="21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30"/>
    </row>
    <row r="140" spans="1:16" s="3" customFormat="1" ht="12" customHeight="1" x14ac:dyDescent="0.25">
      <c r="A140" s="4"/>
      <c r="B140" s="35"/>
      <c r="C140" s="21"/>
      <c r="D140" s="54" t="s">
        <v>244</v>
      </c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30"/>
    </row>
    <row r="141" spans="1:16" s="3" customFormat="1" ht="12" customHeight="1" x14ac:dyDescent="0.25">
      <c r="A141" s="4"/>
      <c r="B141" s="35"/>
      <c r="C141" s="21"/>
      <c r="D141" s="16" t="s">
        <v>187</v>
      </c>
      <c r="E141" s="60">
        <v>30</v>
      </c>
      <c r="F141" s="61">
        <f>E141/100</f>
        <v>0.3</v>
      </c>
      <c r="G141" s="16"/>
      <c r="H141" s="16"/>
      <c r="I141" s="16"/>
      <c r="J141" s="16"/>
      <c r="K141" s="16"/>
      <c r="L141" s="16"/>
      <c r="M141" s="16"/>
      <c r="N141" s="16"/>
      <c r="O141" s="16"/>
      <c r="P141" s="30"/>
    </row>
    <row r="142" spans="1:16" s="3" customFormat="1" ht="12" customHeight="1" x14ac:dyDescent="0.25">
      <c r="A142" s="4"/>
      <c r="B142" s="35"/>
      <c r="C142" s="21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30"/>
    </row>
    <row r="143" spans="1:16" x14ac:dyDescent="0.25">
      <c r="A143" s="4"/>
      <c r="B143" s="35"/>
      <c r="C143" s="52"/>
      <c r="D143" s="52"/>
      <c r="E143" s="52"/>
      <c r="F143" s="52"/>
      <c r="G143" s="52"/>
      <c r="H143" s="52"/>
      <c r="I143" s="52"/>
      <c r="J143" s="52"/>
      <c r="K143" s="12"/>
      <c r="L143" s="13"/>
      <c r="M143" s="13" t="s">
        <v>55</v>
      </c>
      <c r="N143" s="13" t="s">
        <v>206</v>
      </c>
      <c r="O143" s="14" t="str">
        <f>CONCATENATE(L143,"_",M143)</f>
        <v>_CalcularPfManutencaoInterface</v>
      </c>
      <c r="P143" s="28" t="s">
        <v>25</v>
      </c>
    </row>
    <row r="144" spans="1:16" s="3" customFormat="1" ht="12" customHeight="1" x14ac:dyDescent="0.25">
      <c r="A144" s="4"/>
      <c r="B144" s="35"/>
      <c r="C144" s="21"/>
      <c r="D144" s="46" t="s">
        <v>82</v>
      </c>
      <c r="E144" s="47"/>
      <c r="F144" s="47"/>
      <c r="G144" s="47"/>
      <c r="H144" s="47"/>
      <c r="I144" s="47"/>
      <c r="J144" s="47"/>
      <c r="K144" s="47"/>
      <c r="L144" s="47"/>
      <c r="M144" s="46"/>
      <c r="N144" s="46"/>
      <c r="O144" s="47"/>
      <c r="P144" s="48"/>
    </row>
    <row r="145" spans="1:16" s="3" customFormat="1" ht="12" customHeight="1" x14ac:dyDescent="0.25">
      <c r="A145" s="4"/>
      <c r="B145" s="35"/>
      <c r="C145" s="21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30"/>
    </row>
    <row r="146" spans="1:16" s="3" customFormat="1" ht="12" customHeight="1" x14ac:dyDescent="0.25">
      <c r="A146" s="4"/>
      <c r="B146" s="35"/>
      <c r="C146" s="21"/>
      <c r="D146" s="54" t="s">
        <v>246</v>
      </c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30"/>
    </row>
    <row r="147" spans="1:16" s="3" customFormat="1" ht="12" customHeight="1" x14ac:dyDescent="0.25">
      <c r="A147" s="4"/>
      <c r="B147" s="35"/>
      <c r="C147" s="21"/>
      <c r="D147" s="16" t="s">
        <v>245</v>
      </c>
      <c r="E147" s="60">
        <v>0.6</v>
      </c>
      <c r="F147" s="16" t="s">
        <v>227</v>
      </c>
      <c r="G147" s="16"/>
      <c r="H147" s="16"/>
      <c r="I147" s="16"/>
      <c r="J147" s="16"/>
      <c r="K147" s="16"/>
      <c r="L147" s="16"/>
      <c r="M147" s="16"/>
      <c r="N147" s="16"/>
      <c r="O147" s="16"/>
      <c r="P147" s="30"/>
    </row>
    <row r="148" spans="1:16" s="3" customFormat="1" ht="12" customHeight="1" x14ac:dyDescent="0.25">
      <c r="A148" s="4"/>
      <c r="B148" s="35"/>
      <c r="C148" s="21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30"/>
    </row>
    <row r="149" spans="1:16" x14ac:dyDescent="0.25">
      <c r="A149" s="4"/>
      <c r="B149" s="35"/>
      <c r="C149" s="52"/>
      <c r="D149" s="52"/>
      <c r="E149" s="52"/>
      <c r="F149" s="52"/>
      <c r="G149" s="52"/>
      <c r="H149" s="52"/>
      <c r="I149" s="52"/>
      <c r="J149" s="52"/>
      <c r="K149" s="12"/>
      <c r="L149" s="13"/>
      <c r="M149" s="13" t="s">
        <v>57</v>
      </c>
      <c r="N149" s="13" t="s">
        <v>207</v>
      </c>
      <c r="O149" s="14" t="str">
        <f>CONCATENATE(L149,"_",M149)</f>
        <v>_CalcularPfAdaptacaoSemAlteracaoRequisitos</v>
      </c>
      <c r="P149" s="28" t="s">
        <v>26</v>
      </c>
    </row>
    <row r="150" spans="1:16" s="3" customFormat="1" ht="12" customHeight="1" x14ac:dyDescent="0.25">
      <c r="A150" s="4"/>
      <c r="B150" s="35"/>
      <c r="C150" s="21"/>
      <c r="D150" s="46" t="s">
        <v>82</v>
      </c>
      <c r="E150" s="47"/>
      <c r="F150" s="47"/>
      <c r="G150" s="47"/>
      <c r="H150" s="47"/>
      <c r="I150" s="47"/>
      <c r="J150" s="47"/>
      <c r="K150" s="47"/>
      <c r="L150" s="47"/>
      <c r="M150" s="46"/>
      <c r="N150" s="46"/>
      <c r="O150" s="47"/>
      <c r="P150" s="48"/>
    </row>
    <row r="151" spans="1:16" s="3" customFormat="1" ht="12" customHeight="1" x14ac:dyDescent="0.25">
      <c r="A151" s="4"/>
      <c r="B151" s="35"/>
      <c r="C151" s="21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30"/>
    </row>
    <row r="152" spans="1:16" s="3" customFormat="1" ht="12" customHeight="1" x14ac:dyDescent="0.25">
      <c r="A152" s="4"/>
      <c r="B152" s="35"/>
      <c r="C152" s="21"/>
      <c r="D152" s="54" t="s">
        <v>194</v>
      </c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30"/>
    </row>
    <row r="153" spans="1:16" s="3" customFormat="1" ht="12" customHeight="1" x14ac:dyDescent="0.25">
      <c r="A153" s="4"/>
      <c r="B153" s="35"/>
      <c r="C153" s="21"/>
      <c r="D153" s="16" t="s">
        <v>187</v>
      </c>
      <c r="E153" s="60">
        <v>50</v>
      </c>
      <c r="F153" s="61">
        <f>E153/100</f>
        <v>0.5</v>
      </c>
      <c r="G153" s="56" t="s">
        <v>188</v>
      </c>
      <c r="H153" s="16"/>
      <c r="I153" s="16"/>
      <c r="J153" s="16"/>
      <c r="K153" s="16"/>
      <c r="L153" s="16"/>
      <c r="M153" s="16"/>
      <c r="N153" s="16"/>
      <c r="O153" s="16"/>
      <c r="P153" s="30"/>
    </row>
    <row r="154" spans="1:16" s="3" customFormat="1" ht="12" customHeight="1" x14ac:dyDescent="0.25">
      <c r="A154" s="4"/>
      <c r="B154" s="35"/>
      <c r="C154" s="21"/>
      <c r="D154" s="16" t="s">
        <v>187</v>
      </c>
      <c r="E154" s="60">
        <v>75</v>
      </c>
      <c r="F154" s="61">
        <f>E154/100</f>
        <v>0.75</v>
      </c>
      <c r="G154" s="56" t="s">
        <v>189</v>
      </c>
      <c r="H154" s="16"/>
      <c r="I154" s="16"/>
      <c r="J154" s="16"/>
      <c r="K154" s="16"/>
      <c r="L154" s="16"/>
      <c r="M154" s="16"/>
      <c r="N154" s="16"/>
      <c r="O154" s="16"/>
      <c r="P154" s="30"/>
    </row>
    <row r="155" spans="1:16" s="3" customFormat="1" ht="12" customHeight="1" x14ac:dyDescent="0.25">
      <c r="A155" s="4"/>
      <c r="B155" s="35"/>
      <c r="C155" s="21"/>
      <c r="D155" s="16" t="s">
        <v>197</v>
      </c>
      <c r="E155" s="60">
        <v>15</v>
      </c>
      <c r="F155" s="61">
        <f>E155/100</f>
        <v>0.15</v>
      </c>
      <c r="G155" s="56" t="s">
        <v>247</v>
      </c>
      <c r="H155" s="16"/>
      <c r="I155" s="16"/>
      <c r="J155" s="16"/>
      <c r="K155" s="16"/>
      <c r="L155" s="16"/>
      <c r="M155" s="16"/>
      <c r="N155" s="16"/>
      <c r="O155" s="16"/>
      <c r="P155" s="30"/>
    </row>
    <row r="156" spans="1:16" s="3" customFormat="1" ht="12" customHeight="1" x14ac:dyDescent="0.25">
      <c r="A156" s="4"/>
      <c r="B156" s="35"/>
      <c r="C156" s="21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30"/>
    </row>
    <row r="157" spans="1:16" x14ac:dyDescent="0.25">
      <c r="A157" s="4"/>
      <c r="B157" s="35"/>
      <c r="C157" s="52"/>
      <c r="D157" s="52"/>
      <c r="E157" s="52"/>
      <c r="F157" s="52"/>
      <c r="G157" s="52"/>
      <c r="H157" s="52"/>
      <c r="I157" s="52"/>
      <c r="J157" s="52"/>
      <c r="K157" s="12"/>
      <c r="L157" s="13"/>
      <c r="M157" s="13" t="s">
        <v>59</v>
      </c>
      <c r="N157" s="13" t="s">
        <v>208</v>
      </c>
      <c r="O157" s="14" t="str">
        <f>CONCATENATE(L157,"_",M157)</f>
        <v>_CalcularPfApuracaoBdSemConsPrevia</v>
      </c>
      <c r="P157" s="28" t="s">
        <v>27</v>
      </c>
    </row>
    <row r="158" spans="1:16" x14ac:dyDescent="0.25">
      <c r="A158" s="4"/>
      <c r="B158" s="35"/>
      <c r="C158" s="52"/>
      <c r="D158" s="52"/>
      <c r="E158" s="52"/>
      <c r="F158" s="52"/>
      <c r="G158" s="52"/>
      <c r="H158" s="52"/>
      <c r="I158" s="52"/>
      <c r="J158" s="52"/>
      <c r="K158" s="12"/>
      <c r="L158" s="13"/>
      <c r="M158" s="13" t="s">
        <v>60</v>
      </c>
      <c r="N158" s="13" t="s">
        <v>209</v>
      </c>
      <c r="O158" s="14" t="str">
        <f>CONCATENATE(L158,"_",M158)</f>
        <v>_CalcularPfApuracaoBdSemAtualizacao</v>
      </c>
      <c r="P158" s="28" t="s">
        <v>28</v>
      </c>
    </row>
    <row r="159" spans="1:16" x14ac:dyDescent="0.25">
      <c r="A159" s="4"/>
      <c r="B159" s="35"/>
      <c r="C159" s="52"/>
      <c r="D159" s="52"/>
      <c r="E159" s="52"/>
      <c r="F159" s="52"/>
      <c r="G159" s="52"/>
      <c r="H159" s="52"/>
      <c r="I159" s="52"/>
      <c r="J159" s="52"/>
      <c r="K159" s="12"/>
      <c r="L159" s="13"/>
      <c r="M159" s="13" t="s">
        <v>61</v>
      </c>
      <c r="N159" s="13" t="s">
        <v>210</v>
      </c>
      <c r="O159" s="14" t="str">
        <f>CONCATENATE(L159,"_",M159)</f>
        <v>_CalcularPfApuracaoBdAtualizacaoConsulta</v>
      </c>
      <c r="P159" s="28" t="s">
        <v>29</v>
      </c>
    </row>
    <row r="160" spans="1:16" s="3" customFormat="1" ht="12" customHeight="1" x14ac:dyDescent="0.25">
      <c r="A160" s="4"/>
      <c r="B160" s="35"/>
      <c r="C160" s="21"/>
      <c r="D160" s="46" t="s">
        <v>82</v>
      </c>
      <c r="E160" s="47"/>
      <c r="F160" s="47"/>
      <c r="G160" s="47"/>
      <c r="H160" s="47"/>
      <c r="I160" s="47"/>
      <c r="J160" s="47"/>
      <c r="K160" s="47"/>
      <c r="L160" s="47"/>
      <c r="M160" s="46"/>
      <c r="N160" s="46"/>
      <c r="O160" s="47"/>
      <c r="P160" s="48"/>
    </row>
    <row r="161" spans="1:16" s="3" customFormat="1" ht="12" customHeight="1" x14ac:dyDescent="0.25">
      <c r="A161" s="4"/>
      <c r="B161" s="35"/>
      <c r="C161" s="21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30"/>
    </row>
    <row r="162" spans="1:16" s="3" customFormat="1" ht="12" customHeight="1" x14ac:dyDescent="0.25">
      <c r="A162" s="4"/>
      <c r="B162" s="35"/>
      <c r="C162" s="21"/>
      <c r="D162" s="54" t="s">
        <v>248</v>
      </c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30"/>
    </row>
    <row r="163" spans="1:16" s="3" customFormat="1" ht="12" customHeight="1" x14ac:dyDescent="0.25">
      <c r="A163" s="4"/>
      <c r="B163" s="35"/>
      <c r="C163" s="21"/>
      <c r="D163" s="16" t="s">
        <v>226</v>
      </c>
      <c r="E163" s="60">
        <v>60</v>
      </c>
      <c r="F163" s="61">
        <f>E163/100</f>
        <v>0.6</v>
      </c>
      <c r="G163" s="16"/>
      <c r="H163" s="16"/>
      <c r="I163" s="16"/>
      <c r="J163" s="16"/>
      <c r="K163" s="16"/>
      <c r="L163" s="16"/>
      <c r="M163" s="16"/>
      <c r="N163" s="16"/>
      <c r="O163" s="16"/>
      <c r="P163" s="30"/>
    </row>
    <row r="164" spans="1:16" s="3" customFormat="1" ht="12" customHeight="1" x14ac:dyDescent="0.25">
      <c r="A164" s="4"/>
      <c r="B164" s="35"/>
      <c r="C164" s="21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30"/>
    </row>
    <row r="165" spans="1:16" x14ac:dyDescent="0.25">
      <c r="A165" s="4"/>
      <c r="B165" s="35"/>
      <c r="C165" s="52"/>
      <c r="D165" s="52"/>
      <c r="E165" s="52"/>
      <c r="F165" s="52"/>
      <c r="G165" s="52"/>
      <c r="H165" s="52"/>
      <c r="I165" s="52"/>
      <c r="J165" s="52"/>
      <c r="K165" s="12"/>
      <c r="L165" s="13"/>
      <c r="M165" s="13" t="s">
        <v>62</v>
      </c>
      <c r="N165" s="13" t="s">
        <v>211</v>
      </c>
      <c r="O165" s="14" t="str">
        <f>CONCATENATE(L165,"_",M165)</f>
        <v>_CalcularPfApuracaoGeracaoRelatorios</v>
      </c>
      <c r="P165" s="28" t="s">
        <v>30</v>
      </c>
    </row>
    <row r="166" spans="1:16" x14ac:dyDescent="0.25">
      <c r="A166" s="4"/>
      <c r="B166" s="35"/>
      <c r="C166" s="52"/>
      <c r="D166" s="52"/>
      <c r="E166" s="52"/>
      <c r="F166" s="52"/>
      <c r="G166" s="52"/>
      <c r="H166" s="52"/>
      <c r="I166" s="52"/>
      <c r="J166" s="52"/>
      <c r="K166" s="12"/>
      <c r="L166" s="13"/>
      <c r="M166" s="13" t="s">
        <v>63</v>
      </c>
      <c r="N166" s="13" t="s">
        <v>212</v>
      </c>
      <c r="O166" s="14" t="str">
        <f>CONCATENATE(L166,"_",M166)</f>
        <v>_CalcularPfApuracaoReexecucao</v>
      </c>
      <c r="P166" s="28" t="s">
        <v>31</v>
      </c>
    </row>
    <row r="167" spans="1:16" s="3" customFormat="1" ht="12" customHeight="1" x14ac:dyDescent="0.25">
      <c r="A167" s="4"/>
      <c r="B167" s="35"/>
      <c r="C167" s="21"/>
      <c r="D167" s="46" t="s">
        <v>82</v>
      </c>
      <c r="E167" s="47"/>
      <c r="F167" s="47"/>
      <c r="G167" s="47"/>
      <c r="H167" s="47"/>
      <c r="I167" s="47"/>
      <c r="J167" s="47"/>
      <c r="K167" s="47"/>
      <c r="L167" s="47"/>
      <c r="M167" s="46"/>
      <c r="N167" s="46"/>
      <c r="O167" s="47"/>
      <c r="P167" s="48"/>
    </row>
    <row r="168" spans="1:16" s="3" customFormat="1" ht="12" customHeight="1" x14ac:dyDescent="0.25">
      <c r="A168" s="4"/>
      <c r="B168" s="35"/>
      <c r="C168" s="21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30"/>
    </row>
    <row r="169" spans="1:16" s="3" customFormat="1" ht="12" customHeight="1" x14ac:dyDescent="0.25">
      <c r="A169" s="4"/>
      <c r="B169" s="35"/>
      <c r="C169" s="21"/>
      <c r="D169" s="54" t="s">
        <v>249</v>
      </c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30"/>
    </row>
    <row r="170" spans="1:16" s="3" customFormat="1" ht="12" customHeight="1" x14ac:dyDescent="0.25">
      <c r="A170" s="4"/>
      <c r="B170" s="35"/>
      <c r="C170" s="21"/>
      <c r="D170" s="16" t="s">
        <v>226</v>
      </c>
      <c r="E170" s="60">
        <v>10</v>
      </c>
      <c r="F170" s="61">
        <f>E170/100</f>
        <v>0.1</v>
      </c>
      <c r="G170" s="16"/>
      <c r="H170" s="16"/>
      <c r="I170" s="16"/>
      <c r="J170" s="16"/>
      <c r="K170" s="16"/>
      <c r="L170" s="16"/>
      <c r="M170" s="16"/>
      <c r="N170" s="16"/>
      <c r="O170" s="16"/>
      <c r="P170" s="30"/>
    </row>
    <row r="171" spans="1:16" s="3" customFormat="1" ht="12" customHeight="1" x14ac:dyDescent="0.25">
      <c r="A171" s="4"/>
      <c r="B171" s="35"/>
      <c r="C171" s="21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30"/>
    </row>
    <row r="172" spans="1:16" x14ac:dyDescent="0.25">
      <c r="A172" s="4"/>
      <c r="B172" s="35"/>
      <c r="C172" s="52"/>
      <c r="D172" s="52"/>
      <c r="E172" s="52"/>
      <c r="F172" s="52"/>
      <c r="G172" s="52"/>
      <c r="H172" s="52"/>
      <c r="I172" s="52"/>
      <c r="J172" s="52"/>
      <c r="K172" s="12"/>
      <c r="L172" s="13"/>
      <c r="M172" s="13" t="s">
        <v>56</v>
      </c>
      <c r="N172" s="13" t="s">
        <v>213</v>
      </c>
      <c r="O172" s="14" t="str">
        <f>CONCATENATE(L172,"_",M172)</f>
        <v>_CalcularPfAtualzacaoDados</v>
      </c>
      <c r="P172" s="28" t="s">
        <v>32</v>
      </c>
    </row>
    <row r="173" spans="1:16" s="3" customFormat="1" ht="12" customHeight="1" x14ac:dyDescent="0.25">
      <c r="A173" s="4"/>
      <c r="B173" s="35"/>
      <c r="C173" s="21"/>
      <c r="D173" s="46" t="s">
        <v>82</v>
      </c>
      <c r="E173" s="47"/>
      <c r="F173" s="47"/>
      <c r="G173" s="47"/>
      <c r="H173" s="47"/>
      <c r="I173" s="47"/>
      <c r="J173" s="47"/>
      <c r="K173" s="47"/>
      <c r="L173" s="47"/>
      <c r="M173" s="46"/>
      <c r="N173" s="46"/>
      <c r="O173" s="47"/>
      <c r="P173" s="48"/>
    </row>
    <row r="174" spans="1:16" s="3" customFormat="1" ht="12" customHeight="1" x14ac:dyDescent="0.25">
      <c r="A174" s="4"/>
      <c r="B174" s="35"/>
      <c r="C174" s="21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30"/>
    </row>
    <row r="175" spans="1:16" s="3" customFormat="1" ht="12" customHeight="1" x14ac:dyDescent="0.25">
      <c r="A175" s="4"/>
      <c r="B175" s="35"/>
      <c r="C175" s="21"/>
      <c r="D175" s="54" t="s">
        <v>250</v>
      </c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30"/>
    </row>
    <row r="176" spans="1:16" s="3" customFormat="1" ht="12" customHeight="1" x14ac:dyDescent="0.25">
      <c r="A176" s="4"/>
      <c r="B176" s="35"/>
      <c r="C176" s="21"/>
      <c r="D176" s="16" t="s">
        <v>226</v>
      </c>
      <c r="E176" s="60">
        <v>10</v>
      </c>
      <c r="F176" s="61">
        <f>E176/100</f>
        <v>0.1</v>
      </c>
      <c r="G176" s="16"/>
      <c r="H176" s="16"/>
      <c r="I176" s="16"/>
      <c r="J176" s="16"/>
      <c r="K176" s="16"/>
      <c r="L176" s="16"/>
      <c r="M176" s="16"/>
      <c r="N176" s="16"/>
      <c r="O176" s="16"/>
      <c r="P176" s="30"/>
    </row>
    <row r="177" spans="1:16" s="3" customFormat="1" ht="12" customHeight="1" x14ac:dyDescent="0.25">
      <c r="A177" s="4"/>
      <c r="B177" s="35"/>
      <c r="C177" s="21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30"/>
    </row>
    <row r="178" spans="1:16" x14ac:dyDescent="0.25">
      <c r="A178" s="4"/>
      <c r="B178" s="35"/>
      <c r="C178" s="52"/>
      <c r="D178" s="52"/>
      <c r="E178" s="52"/>
      <c r="F178" s="52"/>
      <c r="G178" s="52"/>
      <c r="H178" s="52"/>
      <c r="I178" s="52"/>
      <c r="J178" s="52"/>
      <c r="K178" s="12"/>
      <c r="L178" s="13"/>
      <c r="M178" s="13" t="s">
        <v>64</v>
      </c>
      <c r="N178" s="13" t="s">
        <v>214</v>
      </c>
      <c r="O178" s="14" t="str">
        <f>CONCATENATE(L178,"_",M178)</f>
        <v>_CalcularDesenManutPublicPaginasEstaticas</v>
      </c>
      <c r="P178" s="28" t="s">
        <v>33</v>
      </c>
    </row>
    <row r="179" spans="1:16" s="3" customFormat="1" ht="12" customHeight="1" x14ac:dyDescent="0.25">
      <c r="A179" s="4"/>
      <c r="B179" s="35"/>
      <c r="C179" s="21"/>
      <c r="D179" s="46" t="s">
        <v>82</v>
      </c>
      <c r="E179" s="47"/>
      <c r="F179" s="47"/>
      <c r="G179" s="47"/>
      <c r="H179" s="47"/>
      <c r="I179" s="47"/>
      <c r="J179" s="47"/>
      <c r="K179" s="47"/>
      <c r="L179" s="47"/>
      <c r="M179" s="46"/>
      <c r="N179" s="46"/>
      <c r="O179" s="47"/>
      <c r="P179" s="48"/>
    </row>
    <row r="180" spans="1:16" s="3" customFormat="1" ht="12" customHeight="1" x14ac:dyDescent="0.25">
      <c r="A180" s="4"/>
      <c r="B180" s="35"/>
      <c r="C180" s="21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30"/>
    </row>
    <row r="181" spans="1:16" s="3" customFormat="1" ht="12" customHeight="1" x14ac:dyDescent="0.25">
      <c r="A181" s="4"/>
      <c r="B181" s="35"/>
      <c r="C181" s="21"/>
      <c r="D181" s="54" t="s">
        <v>251</v>
      </c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30"/>
    </row>
    <row r="182" spans="1:16" s="3" customFormat="1" ht="12" customHeight="1" x14ac:dyDescent="0.25">
      <c r="A182" s="4"/>
      <c r="B182" s="35"/>
      <c r="C182" s="21"/>
      <c r="D182" s="16" t="s">
        <v>252</v>
      </c>
      <c r="E182" s="60">
        <v>0.6</v>
      </c>
      <c r="F182" s="16" t="s">
        <v>227</v>
      </c>
      <c r="G182" s="16"/>
      <c r="H182" s="16"/>
      <c r="I182" s="16"/>
      <c r="J182" s="16"/>
      <c r="K182" s="16"/>
      <c r="L182" s="16"/>
      <c r="M182" s="16"/>
      <c r="N182" s="16"/>
      <c r="O182" s="16"/>
      <c r="P182" s="30"/>
    </row>
    <row r="183" spans="1:16" s="3" customFormat="1" ht="12" customHeight="1" x14ac:dyDescent="0.25">
      <c r="A183" s="4"/>
      <c r="B183" s="35"/>
      <c r="C183" s="21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30"/>
    </row>
    <row r="184" spans="1:16" x14ac:dyDescent="0.25">
      <c r="A184" s="4"/>
      <c r="B184" s="35"/>
      <c r="C184" s="52"/>
      <c r="D184" s="52"/>
      <c r="E184" s="52"/>
      <c r="F184" s="52"/>
      <c r="G184" s="52"/>
      <c r="H184" s="52"/>
      <c r="I184" s="52"/>
      <c r="J184" s="52"/>
      <c r="K184" s="12"/>
      <c r="L184" s="13"/>
      <c r="M184" s="13" t="s">
        <v>66</v>
      </c>
      <c r="N184" s="13" t="s">
        <v>215</v>
      </c>
      <c r="O184" s="14" t="str">
        <f>CONCATENATE(L184,"_",M184)</f>
        <v>_CalcularPfManutencaoDocSistemasLegados</v>
      </c>
      <c r="P184" s="28" t="s">
        <v>65</v>
      </c>
    </row>
    <row r="185" spans="1:16" s="3" customFormat="1" ht="12" customHeight="1" x14ac:dyDescent="0.25">
      <c r="A185" s="4"/>
      <c r="B185" s="35"/>
      <c r="C185" s="21"/>
      <c r="D185" s="46" t="s">
        <v>82</v>
      </c>
      <c r="E185" s="47"/>
      <c r="F185" s="47"/>
      <c r="G185" s="47"/>
      <c r="H185" s="47"/>
      <c r="I185" s="47"/>
      <c r="J185" s="47"/>
      <c r="K185" s="47"/>
      <c r="L185" s="47"/>
      <c r="M185" s="46"/>
      <c r="N185" s="46"/>
      <c r="O185" s="47"/>
      <c r="P185" s="48"/>
    </row>
    <row r="186" spans="1:16" s="3" customFormat="1" ht="12" customHeight="1" x14ac:dyDescent="0.25">
      <c r="A186" s="4"/>
      <c r="B186" s="35"/>
      <c r="C186" s="21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30"/>
    </row>
    <row r="187" spans="1:16" s="3" customFormat="1" ht="12" customHeight="1" x14ac:dyDescent="0.25">
      <c r="A187" s="4"/>
      <c r="B187" s="35"/>
      <c r="C187" s="21"/>
      <c r="D187" s="54" t="s">
        <v>253</v>
      </c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30"/>
    </row>
    <row r="188" spans="1:16" s="3" customFormat="1" ht="12" customHeight="1" x14ac:dyDescent="0.25">
      <c r="A188" s="4"/>
      <c r="B188" s="35"/>
      <c r="C188" s="21"/>
      <c r="D188" s="16" t="s">
        <v>226</v>
      </c>
      <c r="E188" s="60">
        <v>25</v>
      </c>
      <c r="F188" s="61">
        <f>E188/100</f>
        <v>0.25</v>
      </c>
      <c r="G188" s="16"/>
      <c r="H188" s="16"/>
      <c r="I188" s="16"/>
      <c r="J188" s="16"/>
      <c r="K188" s="16"/>
      <c r="L188" s="16"/>
      <c r="M188" s="16"/>
      <c r="N188" s="16"/>
      <c r="O188" s="16"/>
      <c r="P188" s="30"/>
    </row>
    <row r="189" spans="1:16" s="3" customFormat="1" ht="12" customHeight="1" x14ac:dyDescent="0.25">
      <c r="A189" s="4"/>
      <c r="B189" s="35"/>
      <c r="C189" s="21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30"/>
    </row>
    <row r="190" spans="1:16" x14ac:dyDescent="0.25">
      <c r="A190" s="4"/>
      <c r="B190" s="35"/>
      <c r="C190" s="52"/>
      <c r="D190" s="52"/>
      <c r="E190" s="52"/>
      <c r="F190" s="52"/>
      <c r="G190" s="52"/>
      <c r="H190" s="52"/>
      <c r="I190" s="52"/>
      <c r="J190" s="52"/>
      <c r="K190" s="12"/>
      <c r="L190" s="13"/>
      <c r="M190" s="13" t="s">
        <v>67</v>
      </c>
      <c r="N190" s="13" t="s">
        <v>216</v>
      </c>
      <c r="O190" s="14" t="str">
        <f>CONCATENATE(L190,"_",M190)</f>
        <v>_CalcularVerifErrosNaoExisteDocumentacao</v>
      </c>
      <c r="P190" s="28" t="s">
        <v>34</v>
      </c>
    </row>
    <row r="191" spans="1:16" s="3" customFormat="1" ht="12" customHeight="1" x14ac:dyDescent="0.25">
      <c r="A191" s="4"/>
      <c r="B191" s="35"/>
      <c r="C191" s="21"/>
      <c r="D191" s="46" t="s">
        <v>82</v>
      </c>
      <c r="E191" s="47"/>
      <c r="F191" s="47"/>
      <c r="G191" s="47"/>
      <c r="H191" s="47"/>
      <c r="I191" s="47"/>
      <c r="J191" s="47"/>
      <c r="K191" s="47"/>
      <c r="L191" s="47"/>
      <c r="M191" s="46"/>
      <c r="N191" s="46"/>
      <c r="O191" s="47"/>
      <c r="P191" s="48"/>
    </row>
    <row r="192" spans="1:16" s="3" customFormat="1" ht="12" customHeight="1" x14ac:dyDescent="0.25">
      <c r="A192" s="4"/>
      <c r="B192" s="35"/>
      <c r="C192" s="21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30"/>
    </row>
    <row r="193" spans="1:16" s="3" customFormat="1" ht="12" customHeight="1" x14ac:dyDescent="0.25">
      <c r="A193" s="4"/>
      <c r="B193" s="35"/>
      <c r="C193" s="21"/>
      <c r="D193" s="54" t="s">
        <v>254</v>
      </c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30"/>
    </row>
    <row r="194" spans="1:16" s="3" customFormat="1" ht="12" customHeight="1" x14ac:dyDescent="0.25">
      <c r="A194" s="4"/>
      <c r="B194" s="35"/>
      <c r="C194" s="21"/>
      <c r="D194" s="16" t="s">
        <v>226</v>
      </c>
      <c r="E194" s="60">
        <v>20</v>
      </c>
      <c r="F194" s="61">
        <f>E194/100</f>
        <v>0.2</v>
      </c>
      <c r="G194" s="16"/>
      <c r="H194" s="16"/>
      <c r="I194" s="16"/>
      <c r="J194" s="16"/>
      <c r="K194" s="16"/>
      <c r="L194" s="16"/>
      <c r="M194" s="16"/>
      <c r="N194" s="16"/>
      <c r="O194" s="16"/>
      <c r="P194" s="30"/>
    </row>
    <row r="195" spans="1:16" s="3" customFormat="1" ht="12" customHeight="1" x14ac:dyDescent="0.25">
      <c r="A195" s="4"/>
      <c r="B195" s="35"/>
      <c r="C195" s="21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30"/>
    </row>
    <row r="196" spans="1:16" x14ac:dyDescent="0.25">
      <c r="A196" s="4"/>
      <c r="B196" s="35"/>
      <c r="C196" s="52"/>
      <c r="D196" s="52"/>
      <c r="E196" s="52"/>
      <c r="F196" s="52"/>
      <c r="G196" s="52"/>
      <c r="H196" s="52"/>
      <c r="I196" s="52"/>
      <c r="J196" s="52"/>
      <c r="K196" s="12"/>
      <c r="L196" s="13"/>
      <c r="M196" s="13" t="s">
        <v>68</v>
      </c>
      <c r="N196" s="13" t="s">
        <v>217</v>
      </c>
      <c r="O196" s="14" t="str">
        <f>CONCATENATE(L196,"_",M196)</f>
        <v>_CalcularVerifErrosExisteDocumentacao</v>
      </c>
      <c r="P196" s="28" t="s">
        <v>35</v>
      </c>
    </row>
    <row r="197" spans="1:16" s="3" customFormat="1" ht="12" customHeight="1" x14ac:dyDescent="0.25">
      <c r="A197" s="4"/>
      <c r="B197" s="35"/>
      <c r="C197" s="21"/>
      <c r="D197" s="46" t="s">
        <v>82</v>
      </c>
      <c r="E197" s="47"/>
      <c r="F197" s="47"/>
      <c r="G197" s="47"/>
      <c r="H197" s="47"/>
      <c r="I197" s="47"/>
      <c r="J197" s="47"/>
      <c r="K197" s="47"/>
      <c r="L197" s="47"/>
      <c r="M197" s="46"/>
      <c r="N197" s="46"/>
      <c r="O197" s="47"/>
      <c r="P197" s="48"/>
    </row>
    <row r="198" spans="1:16" s="3" customFormat="1" ht="12" customHeight="1" x14ac:dyDescent="0.25">
      <c r="A198" s="4"/>
      <c r="B198" s="35"/>
      <c r="C198" s="21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30"/>
    </row>
    <row r="199" spans="1:16" s="3" customFormat="1" ht="12" customHeight="1" x14ac:dyDescent="0.25">
      <c r="A199" s="4"/>
      <c r="B199" s="35"/>
      <c r="C199" s="21"/>
      <c r="D199" s="54" t="s">
        <v>255</v>
      </c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30"/>
    </row>
    <row r="200" spans="1:16" s="3" customFormat="1" ht="12" customHeight="1" x14ac:dyDescent="0.25">
      <c r="A200" s="4"/>
      <c r="B200" s="35"/>
      <c r="C200" s="21"/>
      <c r="D200" s="16" t="s">
        <v>226</v>
      </c>
      <c r="E200" s="60">
        <v>15</v>
      </c>
      <c r="F200" s="61">
        <f>E200/100</f>
        <v>0.15</v>
      </c>
      <c r="G200" s="16"/>
      <c r="H200" s="16"/>
      <c r="I200" s="16"/>
      <c r="J200" s="16"/>
      <c r="K200" s="16"/>
      <c r="L200" s="16"/>
      <c r="M200" s="16"/>
      <c r="N200" s="16"/>
      <c r="O200" s="16"/>
      <c r="P200" s="30"/>
    </row>
    <row r="201" spans="1:16" s="3" customFormat="1" ht="12" customHeight="1" x14ac:dyDescent="0.25">
      <c r="A201" s="4"/>
      <c r="B201" s="35"/>
      <c r="C201" s="21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30"/>
    </row>
    <row r="202" spans="1:16" x14ac:dyDescent="0.25">
      <c r="A202" s="4"/>
      <c r="B202" s="35"/>
      <c r="C202" s="52"/>
      <c r="D202" s="52"/>
      <c r="E202" s="52"/>
      <c r="F202" s="52"/>
      <c r="G202" s="52"/>
      <c r="H202" s="52"/>
      <c r="I202" s="52"/>
      <c r="J202" s="52"/>
      <c r="K202" s="12"/>
      <c r="L202" s="13"/>
      <c r="M202" s="13" t="s">
        <v>69</v>
      </c>
      <c r="N202" s="13" t="s">
        <v>218</v>
      </c>
      <c r="O202" s="14" t="str">
        <f>CONCATENATE(L202,"_",M202)</f>
        <v>_CalcularPfTestes</v>
      </c>
      <c r="P202" s="28" t="s">
        <v>36</v>
      </c>
    </row>
    <row r="203" spans="1:16" s="3" customFormat="1" ht="12" customHeight="1" x14ac:dyDescent="0.25">
      <c r="A203" s="4"/>
      <c r="B203" s="35"/>
      <c r="C203" s="21"/>
      <c r="D203" s="46" t="s">
        <v>82</v>
      </c>
      <c r="E203" s="47"/>
      <c r="F203" s="47"/>
      <c r="G203" s="47"/>
      <c r="H203" s="47"/>
      <c r="I203" s="47"/>
      <c r="J203" s="47"/>
      <c r="K203" s="47"/>
      <c r="L203" s="47"/>
      <c r="M203" s="46"/>
      <c r="N203" s="46"/>
      <c r="O203" s="47"/>
      <c r="P203" s="48"/>
    </row>
    <row r="204" spans="1:16" s="3" customFormat="1" ht="12" customHeight="1" x14ac:dyDescent="0.25">
      <c r="A204" s="4"/>
      <c r="B204" s="35"/>
      <c r="C204" s="21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30"/>
    </row>
    <row r="205" spans="1:16" s="3" customFormat="1" ht="12" customHeight="1" x14ac:dyDescent="0.25">
      <c r="A205" s="4"/>
      <c r="B205" s="35"/>
      <c r="C205" s="21"/>
      <c r="D205" s="54" t="s">
        <v>256</v>
      </c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30"/>
    </row>
    <row r="206" spans="1:16" s="3" customFormat="1" ht="12" customHeight="1" x14ac:dyDescent="0.25">
      <c r="A206" s="4"/>
      <c r="B206" s="35"/>
      <c r="C206" s="21"/>
      <c r="D206" s="16" t="s">
        <v>226</v>
      </c>
      <c r="E206" s="60">
        <v>15</v>
      </c>
      <c r="F206" s="61">
        <f>E206/100</f>
        <v>0.15</v>
      </c>
      <c r="G206" s="16"/>
      <c r="H206" s="16"/>
      <c r="I206" s="16"/>
      <c r="J206" s="16"/>
      <c r="K206" s="16"/>
      <c r="L206" s="16"/>
      <c r="M206" s="16"/>
      <c r="N206" s="16"/>
      <c r="O206" s="16"/>
      <c r="P206" s="30"/>
    </row>
    <row r="207" spans="1:16" s="3" customFormat="1" ht="12" customHeight="1" x14ac:dyDescent="0.25">
      <c r="A207" s="4"/>
      <c r="B207" s="35"/>
      <c r="C207" s="21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30"/>
    </row>
    <row r="208" spans="1:16" x14ac:dyDescent="0.25">
      <c r="A208" s="4"/>
      <c r="B208" s="35"/>
      <c r="C208" s="52"/>
      <c r="D208" s="52"/>
      <c r="E208" s="52"/>
      <c r="F208" s="52"/>
      <c r="G208" s="52"/>
      <c r="H208" s="52"/>
      <c r="I208" s="52"/>
      <c r="J208" s="52"/>
      <c r="K208" s="12"/>
      <c r="L208" s="13"/>
      <c r="M208" s="13" t="s">
        <v>70</v>
      </c>
      <c r="N208" s="13" t="s">
        <v>219</v>
      </c>
      <c r="O208" s="14" t="str">
        <f>CONCATENATE(L208,"_",M208)</f>
        <v>_CalcularPfComponenteInternoReuso</v>
      </c>
      <c r="P208" s="28" t="s">
        <v>37</v>
      </c>
    </row>
    <row r="209" spans="1:16" ht="28.5" customHeight="1" x14ac:dyDescent="0.25">
      <c r="A209" s="6"/>
      <c r="B209" s="33"/>
      <c r="C209" s="335" t="s">
        <v>146</v>
      </c>
      <c r="D209" s="335"/>
      <c r="E209" s="335"/>
      <c r="F209" s="335"/>
      <c r="G209" s="335"/>
      <c r="H209" s="335"/>
      <c r="I209" s="335"/>
      <c r="J209" s="335"/>
      <c r="K209" s="335"/>
      <c r="L209" s="335"/>
      <c r="M209" s="335"/>
      <c r="N209" s="335"/>
      <c r="O209" s="335"/>
      <c r="P209" s="336"/>
    </row>
    <row r="210" spans="1:16" ht="28.5" customHeight="1" x14ac:dyDescent="0.25">
      <c r="A210" s="6"/>
      <c r="B210" s="36"/>
      <c r="C210" s="333" t="s">
        <v>93</v>
      </c>
      <c r="D210" s="333"/>
      <c r="E210" s="333"/>
      <c r="F210" s="333"/>
      <c r="G210" s="333"/>
      <c r="H210" s="333"/>
      <c r="I210" s="333"/>
      <c r="J210" s="333"/>
      <c r="K210" s="333"/>
      <c r="L210" s="333"/>
      <c r="M210" s="333"/>
      <c r="N210" s="333"/>
      <c r="O210" s="333"/>
      <c r="P210" s="334"/>
    </row>
    <row r="211" spans="1:16" x14ac:dyDescent="0.25">
      <c r="A211" s="4"/>
      <c r="B211" s="36"/>
      <c r="C211" s="53" t="s">
        <v>6</v>
      </c>
      <c r="D211" s="53"/>
      <c r="E211" s="53"/>
      <c r="F211" s="53"/>
      <c r="G211" s="53"/>
      <c r="H211" s="53"/>
      <c r="I211" s="53"/>
      <c r="J211" s="53"/>
      <c r="K211" s="17"/>
      <c r="L211" s="13"/>
      <c r="M211" s="13" t="s">
        <v>71</v>
      </c>
      <c r="N211" s="13" t="s">
        <v>161</v>
      </c>
      <c r="O211" s="14" t="str">
        <f t="shared" ref="O211:O220" si="0">CONCATENATE(L211,"_",M211)</f>
        <v>_CalcularEsforcoProdutividadeReferencia</v>
      </c>
      <c r="P211" s="28" t="s">
        <v>12</v>
      </c>
    </row>
    <row r="212" spans="1:16" x14ac:dyDescent="0.25">
      <c r="A212" s="4"/>
      <c r="B212" s="36"/>
      <c r="C212" s="53"/>
      <c r="D212" s="53"/>
      <c r="E212" s="53"/>
      <c r="F212" s="53"/>
      <c r="G212" s="53"/>
      <c r="H212" s="53"/>
      <c r="I212" s="53"/>
      <c r="J212" s="53"/>
      <c r="K212" s="17"/>
      <c r="L212" s="13"/>
      <c r="M212" s="13" t="s">
        <v>72</v>
      </c>
      <c r="N212" s="13" t="s">
        <v>162</v>
      </c>
      <c r="O212" s="14" t="str">
        <f t="shared" si="0"/>
        <v>_CalcularEsforcoProporcionalEtapa</v>
      </c>
      <c r="P212" s="28" t="s">
        <v>13</v>
      </c>
    </row>
    <row r="213" spans="1:16" x14ac:dyDescent="0.25">
      <c r="A213" s="4"/>
      <c r="B213" s="36"/>
      <c r="C213" s="52" t="s">
        <v>7</v>
      </c>
      <c r="D213" s="52"/>
      <c r="E213" s="52"/>
      <c r="F213" s="52"/>
      <c r="G213" s="52"/>
      <c r="H213" s="52"/>
      <c r="I213" s="52"/>
      <c r="J213" s="52"/>
      <c r="K213" s="12"/>
      <c r="L213" s="13"/>
      <c r="M213" s="13" t="s">
        <v>79</v>
      </c>
      <c r="N213" s="13" t="s">
        <v>163</v>
      </c>
      <c r="O213" s="14" t="str">
        <f t="shared" si="0"/>
        <v>_CalcularPrazoTipoSistemaProjetoAte100Pf</v>
      </c>
      <c r="P213" s="28" t="s">
        <v>78</v>
      </c>
    </row>
    <row r="214" spans="1:16" x14ac:dyDescent="0.25">
      <c r="A214" s="4"/>
      <c r="B214" s="36"/>
      <c r="C214" s="52"/>
      <c r="D214" s="52"/>
      <c r="E214" s="52"/>
      <c r="F214" s="52"/>
      <c r="G214" s="52"/>
      <c r="H214" s="52"/>
      <c r="I214" s="52"/>
      <c r="J214" s="52"/>
      <c r="K214" s="12"/>
      <c r="L214" s="13"/>
      <c r="M214" s="13" t="s">
        <v>168</v>
      </c>
      <c r="N214" s="13" t="s">
        <v>167</v>
      </c>
      <c r="O214" s="14" t="str">
        <f t="shared" si="0"/>
        <v>_ObterPrazoComplexEstimadaProjetoMenor100PF</v>
      </c>
      <c r="P214" s="28" t="s">
        <v>169</v>
      </c>
    </row>
    <row r="215" spans="1:16" x14ac:dyDescent="0.25">
      <c r="A215" s="4"/>
      <c r="B215" s="36"/>
      <c r="C215" s="12"/>
      <c r="D215" s="12"/>
      <c r="E215" s="12"/>
      <c r="F215" s="12"/>
      <c r="G215" s="12"/>
      <c r="H215" s="12"/>
      <c r="I215" s="12"/>
      <c r="J215" s="12"/>
      <c r="K215" s="12"/>
      <c r="L215" s="13"/>
      <c r="M215" s="13" t="s">
        <v>165</v>
      </c>
      <c r="N215" s="13" t="s">
        <v>166</v>
      </c>
      <c r="O215" s="14" t="str">
        <f t="shared" si="0"/>
        <v>_CalcularPrazoLimiteRegiaoImpossivel</v>
      </c>
      <c r="P215" s="28" t="s">
        <v>164</v>
      </c>
    </row>
    <row r="216" spans="1:16" x14ac:dyDescent="0.25">
      <c r="A216" s="4"/>
      <c r="B216" s="36"/>
      <c r="C216" s="331" t="s">
        <v>8</v>
      </c>
      <c r="D216" s="331"/>
      <c r="E216" s="331"/>
      <c r="F216" s="331"/>
      <c r="G216" s="331"/>
      <c r="H216" s="331"/>
      <c r="I216" s="331"/>
      <c r="J216" s="331"/>
      <c r="K216" s="17"/>
      <c r="L216" s="13"/>
      <c r="M216" s="13" t="s">
        <v>77</v>
      </c>
      <c r="N216" s="13" t="s">
        <v>170</v>
      </c>
      <c r="O216" s="14" t="str">
        <f t="shared" si="0"/>
        <v>_CalcularQtdeRecursosEquipe</v>
      </c>
      <c r="P216" s="28" t="s">
        <v>14</v>
      </c>
    </row>
    <row r="217" spans="1:16" x14ac:dyDescent="0.25">
      <c r="A217" s="4"/>
      <c r="B217" s="36"/>
      <c r="C217" s="332" t="s">
        <v>9</v>
      </c>
      <c r="D217" s="332"/>
      <c r="E217" s="332"/>
      <c r="F217" s="332"/>
      <c r="G217" s="332"/>
      <c r="H217" s="332"/>
      <c r="I217" s="332"/>
      <c r="J217" s="332"/>
      <c r="K217" s="12"/>
      <c r="L217" s="13"/>
      <c r="M217" s="13" t="s">
        <v>76</v>
      </c>
      <c r="N217" s="13" t="s">
        <v>171</v>
      </c>
      <c r="O217" s="14" t="str">
        <f t="shared" si="0"/>
        <v>_CalcularPrecificacaoCustoPf</v>
      </c>
      <c r="P217" s="28" t="s">
        <v>15</v>
      </c>
    </row>
    <row r="218" spans="1:16" x14ac:dyDescent="0.25">
      <c r="A218" s="4"/>
      <c r="B218" s="36"/>
      <c r="C218" s="53" t="s">
        <v>10</v>
      </c>
      <c r="D218" s="53"/>
      <c r="E218" s="53"/>
      <c r="F218" s="53"/>
      <c r="G218" s="53"/>
      <c r="H218" s="53"/>
      <c r="I218" s="53"/>
      <c r="J218" s="53"/>
      <c r="K218" s="17"/>
      <c r="L218" s="13"/>
      <c r="M218" s="13" t="s">
        <v>75</v>
      </c>
      <c r="N218" s="13"/>
      <c r="O218" s="14" t="str">
        <f t="shared" si="0"/>
        <v>_CalcularPorcentagemProjetoRealizado</v>
      </c>
      <c r="P218" s="28" t="s">
        <v>16</v>
      </c>
    </row>
    <row r="219" spans="1:16" x14ac:dyDescent="0.25">
      <c r="A219" s="4"/>
      <c r="B219" s="36"/>
      <c r="C219" s="53"/>
      <c r="D219" s="53"/>
      <c r="E219" s="53"/>
      <c r="F219" s="53"/>
      <c r="G219" s="53"/>
      <c r="H219" s="53"/>
      <c r="I219" s="53"/>
      <c r="J219" s="53"/>
      <c r="K219" s="17"/>
      <c r="L219" s="13"/>
      <c r="M219" s="13" t="s">
        <v>74</v>
      </c>
      <c r="N219" s="13"/>
      <c r="O219" s="14" t="str">
        <f t="shared" si="0"/>
        <v>_CalcularPorcentagemEtapaRealizada</v>
      </c>
      <c r="P219" s="28" t="s">
        <v>17</v>
      </c>
    </row>
    <row r="220" spans="1:16" x14ac:dyDescent="0.25">
      <c r="A220" s="4"/>
      <c r="B220" s="36"/>
      <c r="C220" s="53"/>
      <c r="D220" s="53"/>
      <c r="E220" s="53"/>
      <c r="F220" s="53"/>
      <c r="G220" s="53"/>
      <c r="H220" s="53"/>
      <c r="I220" s="53"/>
      <c r="J220" s="53"/>
      <c r="K220" s="53"/>
      <c r="L220" s="13"/>
      <c r="M220" s="13" t="s">
        <v>73</v>
      </c>
      <c r="N220" s="13"/>
      <c r="O220" s="14" t="str">
        <f t="shared" si="0"/>
        <v>_CalcularPfConsiderandoFatorCriticidade</v>
      </c>
      <c r="P220" s="28" t="s">
        <v>18</v>
      </c>
    </row>
    <row r="221" spans="1:16" s="3" customFormat="1" ht="12" customHeight="1" x14ac:dyDescent="0.25">
      <c r="A221" s="4"/>
      <c r="B221" s="36"/>
      <c r="C221" s="22"/>
      <c r="D221" s="46" t="s">
        <v>82</v>
      </c>
      <c r="E221" s="47"/>
      <c r="F221" s="47"/>
      <c r="G221" s="47"/>
      <c r="H221" s="47"/>
      <c r="I221" s="47"/>
      <c r="J221" s="47"/>
      <c r="K221" s="47"/>
      <c r="L221" s="47"/>
      <c r="M221" s="46"/>
      <c r="N221" s="46"/>
      <c r="O221" s="47"/>
      <c r="P221" s="48"/>
    </row>
    <row r="222" spans="1:16" s="3" customFormat="1" ht="12" customHeight="1" x14ac:dyDescent="0.25">
      <c r="A222" s="4"/>
      <c r="B222" s="36"/>
      <c r="C222" s="22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30"/>
    </row>
    <row r="223" spans="1:16" s="3" customFormat="1" ht="12" customHeight="1" x14ac:dyDescent="0.25">
      <c r="A223" s="4"/>
      <c r="B223" s="36"/>
      <c r="C223" s="22"/>
      <c r="D223" s="54" t="s">
        <v>178</v>
      </c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30"/>
    </row>
    <row r="224" spans="1:16" s="3" customFormat="1" ht="12" customHeight="1" x14ac:dyDescent="0.25">
      <c r="A224" s="4"/>
      <c r="B224" s="36"/>
      <c r="C224" s="22"/>
      <c r="D224" s="16" t="s">
        <v>179</v>
      </c>
      <c r="E224" s="60">
        <v>1.35</v>
      </c>
      <c r="F224" s="56" t="s">
        <v>180</v>
      </c>
      <c r="G224" s="56"/>
      <c r="H224" s="16"/>
      <c r="I224" s="16"/>
      <c r="J224" s="16"/>
      <c r="K224" s="16"/>
      <c r="L224" s="16"/>
      <c r="M224" s="16"/>
      <c r="N224" s="16"/>
      <c r="O224" s="16"/>
      <c r="P224" s="30"/>
    </row>
    <row r="225" spans="1:16" s="3" customFormat="1" ht="12" customHeight="1" x14ac:dyDescent="0.25">
      <c r="A225" s="4"/>
      <c r="B225" s="36"/>
      <c r="C225" s="22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30"/>
    </row>
    <row r="226" spans="1:16" s="3" customFormat="1" ht="12" customHeight="1" x14ac:dyDescent="0.25">
      <c r="A226" s="4"/>
      <c r="B226" s="36"/>
      <c r="C226" s="22"/>
      <c r="D226" s="54" t="s">
        <v>176</v>
      </c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30"/>
    </row>
    <row r="227" spans="1:16" s="3" customFormat="1" ht="12" customHeight="1" x14ac:dyDescent="0.25">
      <c r="A227" s="4"/>
      <c r="B227" s="36"/>
      <c r="C227" s="22"/>
      <c r="D227" s="16" t="s">
        <v>172</v>
      </c>
      <c r="E227" s="60">
        <v>30</v>
      </c>
      <c r="F227" s="61">
        <f>(E227+100)/100</f>
        <v>1.3</v>
      </c>
      <c r="G227" s="56" t="s">
        <v>174</v>
      </c>
      <c r="H227" s="16"/>
      <c r="I227" s="16"/>
      <c r="J227" s="16"/>
      <c r="K227" s="16"/>
      <c r="L227" s="16"/>
      <c r="M227" s="16"/>
      <c r="N227" s="16"/>
      <c r="O227" s="16"/>
      <c r="P227" s="30"/>
    </row>
    <row r="228" spans="1:16" s="3" customFormat="1" ht="12" customHeight="1" x14ac:dyDescent="0.25">
      <c r="A228" s="4"/>
      <c r="B228" s="36"/>
      <c r="C228" s="22"/>
      <c r="D228" s="16" t="s">
        <v>173</v>
      </c>
      <c r="E228" s="60">
        <v>40</v>
      </c>
      <c r="F228" s="61">
        <f>(E228+100)/100</f>
        <v>1.4</v>
      </c>
      <c r="G228" s="56" t="s">
        <v>174</v>
      </c>
      <c r="H228" s="16"/>
      <c r="I228" s="16"/>
      <c r="J228" s="16"/>
      <c r="K228" s="16"/>
      <c r="L228" s="16"/>
      <c r="M228" s="16"/>
      <c r="N228" s="16"/>
      <c r="O228" s="16"/>
      <c r="P228" s="30"/>
    </row>
    <row r="229" spans="1:16" s="3" customFormat="1" ht="12" customHeight="1" x14ac:dyDescent="0.25">
      <c r="A229" s="4"/>
      <c r="B229" s="36"/>
      <c r="C229" s="22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30"/>
    </row>
    <row r="230" spans="1:16" s="3" customFormat="1" ht="12" customHeight="1" x14ac:dyDescent="0.25">
      <c r="A230" s="4"/>
      <c r="B230" s="36"/>
      <c r="C230" s="22"/>
      <c r="D230" s="54" t="s">
        <v>175</v>
      </c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30"/>
    </row>
    <row r="231" spans="1:16" s="3" customFormat="1" ht="12" customHeight="1" x14ac:dyDescent="0.25">
      <c r="A231" s="4"/>
      <c r="B231" s="36"/>
      <c r="C231" s="22"/>
      <c r="D231" s="16" t="s">
        <v>172</v>
      </c>
      <c r="E231" s="60">
        <v>20</v>
      </c>
      <c r="F231" s="61">
        <f>(E231+100)/100</f>
        <v>1.2</v>
      </c>
      <c r="G231" s="56" t="s">
        <v>174</v>
      </c>
      <c r="H231" s="16"/>
      <c r="I231" s="16"/>
      <c r="J231" s="16"/>
      <c r="K231" s="16"/>
      <c r="L231" s="16"/>
      <c r="M231" s="16"/>
      <c r="N231" s="16"/>
      <c r="O231" s="16"/>
      <c r="P231" s="30"/>
    </row>
    <row r="232" spans="1:16" s="3" customFormat="1" ht="12" customHeight="1" x14ac:dyDescent="0.25">
      <c r="A232" s="4"/>
      <c r="B232" s="36"/>
      <c r="C232" s="22"/>
      <c r="D232" s="16" t="s">
        <v>173</v>
      </c>
      <c r="E232" s="60">
        <v>30</v>
      </c>
      <c r="F232" s="61">
        <f>(E232+100)/100</f>
        <v>1.3</v>
      </c>
      <c r="G232" s="56" t="s">
        <v>174</v>
      </c>
      <c r="H232" s="16"/>
      <c r="I232" s="16"/>
      <c r="J232" s="16"/>
      <c r="K232" s="16"/>
      <c r="L232" s="16"/>
      <c r="M232" s="16"/>
      <c r="N232" s="16"/>
      <c r="O232" s="16"/>
      <c r="P232" s="30"/>
    </row>
    <row r="233" spans="1:16" s="3" customFormat="1" ht="12" customHeight="1" x14ac:dyDescent="0.25">
      <c r="A233" s="4"/>
      <c r="B233" s="36"/>
      <c r="C233" s="22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37"/>
      <c r="P233" s="38"/>
    </row>
    <row r="234" spans="1:16" x14ac:dyDescent="0.25">
      <c r="A234" s="4"/>
      <c r="B234" s="36"/>
      <c r="C234" s="53"/>
      <c r="D234" s="53"/>
      <c r="E234" s="53"/>
      <c r="F234" s="53"/>
      <c r="G234" s="53"/>
      <c r="H234" s="53"/>
      <c r="I234" s="53"/>
      <c r="J234" s="53"/>
      <c r="K234" s="17"/>
      <c r="L234" s="13"/>
      <c r="M234" s="13" t="s">
        <v>260</v>
      </c>
      <c r="N234" s="13"/>
      <c r="O234" s="14" t="str">
        <f>CONCATENATE(L234,"_",M234)</f>
        <v>_CalcularPfConsiderandoEvolucaoRequisitos</v>
      </c>
      <c r="P234" s="28" t="s">
        <v>18</v>
      </c>
    </row>
    <row r="235" spans="1:16" s="3" customFormat="1" ht="12" customHeight="1" x14ac:dyDescent="0.25">
      <c r="A235" s="4"/>
      <c r="B235" s="36"/>
      <c r="C235" s="22"/>
      <c r="D235" s="46" t="s">
        <v>82</v>
      </c>
      <c r="E235" s="47"/>
      <c r="F235" s="47"/>
      <c r="G235" s="47"/>
      <c r="H235" s="47"/>
      <c r="I235" s="47"/>
      <c r="J235" s="47"/>
      <c r="K235" s="47"/>
      <c r="L235" s="47"/>
      <c r="M235" s="46"/>
      <c r="N235" s="46"/>
      <c r="O235" s="47"/>
      <c r="P235" s="48"/>
    </row>
    <row r="236" spans="1:16" s="3" customFormat="1" ht="12" customHeight="1" x14ac:dyDescent="0.25">
      <c r="A236" s="4"/>
      <c r="B236" s="36"/>
      <c r="C236" s="22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30"/>
    </row>
    <row r="237" spans="1:16" s="3" customFormat="1" ht="12" customHeight="1" x14ac:dyDescent="0.25">
      <c r="A237" s="4"/>
      <c r="B237" s="36"/>
      <c r="C237" s="22"/>
      <c r="D237" s="54" t="s">
        <v>176</v>
      </c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30"/>
    </row>
    <row r="238" spans="1:16" s="3" customFormat="1" ht="12" customHeight="1" x14ac:dyDescent="0.25">
      <c r="A238" s="4"/>
      <c r="B238" s="36"/>
      <c r="C238" s="22"/>
      <c r="D238" s="16" t="s">
        <v>172</v>
      </c>
      <c r="E238" s="60">
        <v>30</v>
      </c>
      <c r="F238" s="61">
        <f>(E238+100)/100</f>
        <v>1.3</v>
      </c>
      <c r="G238" s="56" t="s">
        <v>174</v>
      </c>
      <c r="H238" s="16"/>
      <c r="I238" s="16"/>
      <c r="J238" s="16"/>
      <c r="K238" s="16"/>
      <c r="L238" s="16"/>
      <c r="M238" s="16"/>
      <c r="N238" s="16"/>
      <c r="O238" s="16"/>
      <c r="P238" s="30"/>
    </row>
    <row r="239" spans="1:16" s="3" customFormat="1" ht="12" customHeight="1" x14ac:dyDescent="0.25">
      <c r="A239" s="4"/>
      <c r="B239" s="36"/>
      <c r="C239" s="22"/>
      <c r="D239" s="16" t="s">
        <v>173</v>
      </c>
      <c r="E239" s="60">
        <v>40</v>
      </c>
      <c r="F239" s="61">
        <f>(E239+100)/100</f>
        <v>1.4</v>
      </c>
      <c r="G239" s="56" t="s">
        <v>174</v>
      </c>
      <c r="H239" s="16"/>
      <c r="I239" s="16"/>
      <c r="J239" s="16"/>
      <c r="K239" s="16"/>
      <c r="L239" s="16"/>
      <c r="M239" s="16"/>
      <c r="N239" s="16"/>
      <c r="O239" s="16"/>
      <c r="P239" s="30"/>
    </row>
    <row r="240" spans="1:16" s="3" customFormat="1" ht="12" customHeight="1" x14ac:dyDescent="0.25">
      <c r="A240" s="4"/>
      <c r="B240" s="36"/>
      <c r="C240" s="22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30"/>
    </row>
    <row r="241" spans="1:16" s="3" customFormat="1" ht="12" customHeight="1" x14ac:dyDescent="0.25">
      <c r="A241" s="4"/>
      <c r="B241" s="36"/>
      <c r="C241" s="22"/>
      <c r="D241" s="54" t="s">
        <v>175</v>
      </c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30"/>
    </row>
    <row r="242" spans="1:16" s="3" customFormat="1" ht="12" customHeight="1" x14ac:dyDescent="0.25">
      <c r="A242" s="4"/>
      <c r="B242" s="36"/>
      <c r="C242" s="22"/>
      <c r="D242" s="16" t="s">
        <v>172</v>
      </c>
      <c r="E242" s="60">
        <v>20</v>
      </c>
      <c r="F242" s="61">
        <f>(E242+100)/100</f>
        <v>1.2</v>
      </c>
      <c r="G242" s="56" t="s">
        <v>174</v>
      </c>
      <c r="H242" s="16"/>
      <c r="I242" s="16"/>
      <c r="J242" s="16"/>
      <c r="K242" s="16"/>
      <c r="L242" s="16"/>
      <c r="M242" s="16"/>
      <c r="N242" s="16"/>
      <c r="O242" s="16"/>
      <c r="P242" s="30"/>
    </row>
    <row r="243" spans="1:16" s="3" customFormat="1" ht="12" customHeight="1" x14ac:dyDescent="0.25">
      <c r="A243" s="4"/>
      <c r="B243" s="36"/>
      <c r="C243" s="22"/>
      <c r="D243" s="16" t="s">
        <v>173</v>
      </c>
      <c r="E243" s="60">
        <v>30</v>
      </c>
      <c r="F243" s="61">
        <f>(E243+100)/100</f>
        <v>1.3</v>
      </c>
      <c r="G243" s="56" t="s">
        <v>174</v>
      </c>
      <c r="H243" s="16"/>
      <c r="I243" s="16"/>
      <c r="J243" s="16"/>
      <c r="K243" s="16"/>
      <c r="L243" s="16"/>
      <c r="M243" s="16"/>
      <c r="N243" s="16"/>
      <c r="O243" s="16"/>
      <c r="P243" s="30"/>
    </row>
    <row r="244" spans="1:16" s="3" customFormat="1" ht="12" customHeight="1" x14ac:dyDescent="0.25">
      <c r="A244" s="4"/>
      <c r="B244" s="36"/>
      <c r="C244" s="22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37"/>
      <c r="P244" s="38"/>
    </row>
    <row r="245" spans="1:16" x14ac:dyDescent="0.25">
      <c r="A245" s="4"/>
      <c r="B245" s="4"/>
      <c r="C245" s="4"/>
      <c r="D245" s="4"/>
      <c r="E245" s="4"/>
      <c r="F245" s="4"/>
      <c r="G245" s="4"/>
      <c r="H245" s="9"/>
      <c r="I245" s="4"/>
      <c r="J245" s="4"/>
      <c r="K245" s="4"/>
      <c r="L245" s="4"/>
      <c r="M245" s="4"/>
      <c r="N245" s="4"/>
      <c r="O245" s="4"/>
      <c r="P245" s="4"/>
    </row>
    <row r="247" spans="1:16" x14ac:dyDescent="0.25">
      <c r="C247" s="1" t="s">
        <v>181</v>
      </c>
    </row>
    <row r="248" spans="1:16" x14ac:dyDescent="0.25">
      <c r="C248" s="324" t="s">
        <v>182</v>
      </c>
      <c r="D248" s="324"/>
      <c r="E248" s="324"/>
      <c r="F248" s="324"/>
      <c r="G248" s="324"/>
      <c r="H248" s="324"/>
      <c r="I248" s="324"/>
      <c r="J248" s="324"/>
      <c r="K248" s="324"/>
      <c r="L248" s="324"/>
      <c r="M248" s="324"/>
      <c r="N248" s="324"/>
    </row>
    <row r="249" spans="1:16" x14ac:dyDescent="0.25">
      <c r="C249" s="324"/>
      <c r="D249" s="324"/>
      <c r="E249" s="324"/>
      <c r="F249" s="324"/>
      <c r="G249" s="324"/>
      <c r="H249" s="324"/>
      <c r="I249" s="324"/>
      <c r="J249" s="324"/>
      <c r="K249" s="324"/>
      <c r="L249" s="324"/>
      <c r="M249" s="324"/>
      <c r="N249" s="324"/>
    </row>
    <row r="250" spans="1:16" x14ac:dyDescent="0.25">
      <c r="C250" s="324"/>
      <c r="D250" s="324"/>
      <c r="E250" s="324"/>
      <c r="F250" s="324"/>
      <c r="G250" s="324"/>
      <c r="H250" s="324"/>
      <c r="I250" s="324"/>
      <c r="J250" s="324"/>
      <c r="K250" s="324"/>
      <c r="L250" s="324"/>
      <c r="M250" s="324"/>
      <c r="N250" s="324"/>
    </row>
    <row r="251" spans="1:16" x14ac:dyDescent="0.25">
      <c r="C251" s="324"/>
      <c r="D251" s="324"/>
      <c r="E251" s="324"/>
      <c r="F251" s="324"/>
      <c r="G251" s="324"/>
      <c r="H251" s="324"/>
      <c r="I251" s="324"/>
      <c r="J251" s="324"/>
      <c r="K251" s="324"/>
      <c r="L251" s="324"/>
      <c r="M251" s="324"/>
      <c r="N251" s="324"/>
    </row>
    <row r="252" spans="1:16" x14ac:dyDescent="0.25">
      <c r="C252" s="324"/>
      <c r="D252" s="324"/>
      <c r="E252" s="324"/>
      <c r="F252" s="324"/>
      <c r="G252" s="324"/>
      <c r="H252" s="324"/>
      <c r="I252" s="324"/>
      <c r="J252" s="324"/>
      <c r="K252" s="324"/>
      <c r="L252" s="324"/>
      <c r="M252" s="324"/>
      <c r="N252" s="324"/>
    </row>
    <row r="253" spans="1:16" x14ac:dyDescent="0.25">
      <c r="C253" s="324"/>
      <c r="D253" s="324"/>
      <c r="E253" s="324"/>
      <c r="F253" s="324"/>
      <c r="G253" s="324"/>
      <c r="H253" s="324"/>
      <c r="I253" s="324"/>
      <c r="J253" s="324"/>
      <c r="K253" s="324"/>
      <c r="L253" s="324"/>
      <c r="M253" s="324"/>
      <c r="N253" s="324"/>
    </row>
    <row r="254" spans="1:16" x14ac:dyDescent="0.25">
      <c r="C254" s="324"/>
      <c r="D254" s="324"/>
      <c r="E254" s="324"/>
      <c r="F254" s="324"/>
      <c r="G254" s="324"/>
      <c r="H254" s="324"/>
      <c r="I254" s="324"/>
      <c r="J254" s="324"/>
      <c r="K254" s="324"/>
      <c r="L254" s="324"/>
      <c r="M254" s="324"/>
      <c r="N254" s="324"/>
    </row>
    <row r="255" spans="1:16" x14ac:dyDescent="0.25">
      <c r="C255" s="324"/>
      <c r="D255" s="324"/>
      <c r="E255" s="324"/>
      <c r="F255" s="324"/>
      <c r="G255" s="324"/>
      <c r="H255" s="324"/>
      <c r="I255" s="324"/>
      <c r="J255" s="324"/>
      <c r="K255" s="324"/>
      <c r="L255" s="324"/>
      <c r="M255" s="324"/>
      <c r="N255" s="324"/>
    </row>
    <row r="256" spans="1:16" x14ac:dyDescent="0.25">
      <c r="C256" s="324"/>
      <c r="D256" s="324"/>
      <c r="E256" s="324"/>
      <c r="F256" s="324"/>
      <c r="G256" s="324"/>
      <c r="H256" s="324"/>
      <c r="I256" s="324"/>
      <c r="J256" s="324"/>
      <c r="K256" s="324"/>
      <c r="L256" s="324"/>
      <c r="M256" s="324"/>
      <c r="N256" s="324"/>
    </row>
    <row r="257" spans="3:14" x14ac:dyDescent="0.25">
      <c r="C257" s="324"/>
      <c r="D257" s="324"/>
      <c r="E257" s="324"/>
      <c r="F257" s="324"/>
      <c r="G257" s="324"/>
      <c r="H257" s="324"/>
      <c r="I257" s="324"/>
      <c r="J257" s="324"/>
      <c r="K257" s="324"/>
      <c r="L257" s="324"/>
      <c r="M257" s="324"/>
      <c r="N257" s="324"/>
    </row>
    <row r="258" spans="3:14" x14ac:dyDescent="0.25">
      <c r="C258" s="324"/>
      <c r="D258" s="324"/>
      <c r="E258" s="324"/>
      <c r="F258" s="324"/>
      <c r="G258" s="324"/>
      <c r="H258" s="324"/>
      <c r="I258" s="324"/>
      <c r="J258" s="324"/>
      <c r="K258" s="324"/>
      <c r="L258" s="324"/>
      <c r="M258" s="324"/>
      <c r="N258" s="324"/>
    </row>
    <row r="259" spans="3:14" x14ac:dyDescent="0.25">
      <c r="C259" s="324"/>
      <c r="D259" s="324"/>
      <c r="E259" s="324"/>
      <c r="F259" s="324"/>
      <c r="G259" s="324"/>
      <c r="H259" s="324"/>
      <c r="I259" s="324"/>
      <c r="J259" s="324"/>
      <c r="K259" s="324"/>
      <c r="L259" s="324"/>
      <c r="M259" s="324"/>
      <c r="N259" s="324"/>
    </row>
    <row r="260" spans="3:14" x14ac:dyDescent="0.25">
      <c r="C260" s="324"/>
      <c r="D260" s="324"/>
      <c r="E260" s="324"/>
      <c r="F260" s="324"/>
      <c r="G260" s="324"/>
      <c r="H260" s="324"/>
      <c r="I260" s="324"/>
      <c r="J260" s="324"/>
      <c r="K260" s="324"/>
      <c r="L260" s="324"/>
      <c r="M260" s="324"/>
      <c r="N260" s="324"/>
    </row>
    <row r="261" spans="3:14" x14ac:dyDescent="0.25">
      <c r="C261" s="324"/>
      <c r="D261" s="324"/>
      <c r="E261" s="324"/>
      <c r="F261" s="324"/>
      <c r="G261" s="324"/>
      <c r="H261" s="324"/>
      <c r="I261" s="324"/>
      <c r="J261" s="324"/>
      <c r="K261" s="324"/>
      <c r="L261" s="324"/>
      <c r="M261" s="324"/>
      <c r="N261" s="324"/>
    </row>
    <row r="262" spans="3:14" x14ac:dyDescent="0.25">
      <c r="C262" s="324"/>
      <c r="D262" s="324"/>
      <c r="E262" s="324"/>
      <c r="F262" s="324"/>
      <c r="G262" s="324"/>
      <c r="H262" s="324"/>
      <c r="I262" s="324"/>
      <c r="J262" s="324"/>
      <c r="K262" s="324"/>
      <c r="L262" s="324"/>
      <c r="M262" s="324"/>
      <c r="N262" s="324"/>
    </row>
    <row r="263" spans="3:14" x14ac:dyDescent="0.25">
      <c r="C263" s="324"/>
      <c r="D263" s="324"/>
      <c r="E263" s="324"/>
      <c r="F263" s="324"/>
      <c r="G263" s="324"/>
      <c r="H263" s="324"/>
      <c r="I263" s="324"/>
      <c r="J263" s="324"/>
      <c r="K263" s="324"/>
      <c r="L263" s="324"/>
      <c r="M263" s="324"/>
      <c r="N263" s="324"/>
    </row>
    <row r="264" spans="3:14" x14ac:dyDescent="0.25">
      <c r="C264" s="324"/>
      <c r="D264" s="324"/>
      <c r="E264" s="324"/>
      <c r="F264" s="324"/>
      <c r="G264" s="324"/>
      <c r="H264" s="324"/>
      <c r="I264" s="324"/>
      <c r="J264" s="324"/>
      <c r="K264" s="324"/>
      <c r="L264" s="324"/>
      <c r="M264" s="324"/>
      <c r="N264" s="324"/>
    </row>
    <row r="265" spans="3:14" x14ac:dyDescent="0.25"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</row>
    <row r="266" spans="3:14" x14ac:dyDescent="0.25"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</row>
  </sheetData>
  <mergeCells count="57">
    <mergeCell ref="C45:J45"/>
    <mergeCell ref="C99:P99"/>
    <mergeCell ref="C26:J26"/>
    <mergeCell ref="C58:J58"/>
    <mergeCell ref="C77:P77"/>
    <mergeCell ref="C27:J27"/>
    <mergeCell ref="C29:J29"/>
    <mergeCell ref="C67:J67"/>
    <mergeCell ref="C78:P78"/>
    <mergeCell ref="H90:J90"/>
    <mergeCell ref="F93:G93"/>
    <mergeCell ref="F94:G94"/>
    <mergeCell ref="E93:E94"/>
    <mergeCell ref="D92:D95"/>
    <mergeCell ref="D91:G91"/>
    <mergeCell ref="E92:G92"/>
    <mergeCell ref="C4:J4"/>
    <mergeCell ref="C6:P6"/>
    <mergeCell ref="C7:J7"/>
    <mergeCell ref="C34:P34"/>
    <mergeCell ref="C35:J35"/>
    <mergeCell ref="C5:P5"/>
    <mergeCell ref="C12:P12"/>
    <mergeCell ref="C13:P13"/>
    <mergeCell ref="C14:J14"/>
    <mergeCell ref="C21:J21"/>
    <mergeCell ref="C20:J20"/>
    <mergeCell ref="C24:P24"/>
    <mergeCell ref="C25:J25"/>
    <mergeCell ref="C23:P23"/>
    <mergeCell ref="C22:J22"/>
    <mergeCell ref="C28:J28"/>
    <mergeCell ref="E95:G95"/>
    <mergeCell ref="N103:O103"/>
    <mergeCell ref="G106:P108"/>
    <mergeCell ref="C100:J100"/>
    <mergeCell ref="C252:N252"/>
    <mergeCell ref="C216:J216"/>
    <mergeCell ref="C217:J217"/>
    <mergeCell ref="C248:N248"/>
    <mergeCell ref="C250:N250"/>
    <mergeCell ref="C251:N251"/>
    <mergeCell ref="C249:N249"/>
    <mergeCell ref="C210:P210"/>
    <mergeCell ref="C209:P209"/>
    <mergeCell ref="C263:N263"/>
    <mergeCell ref="C264:N264"/>
    <mergeCell ref="C258:N258"/>
    <mergeCell ref="C259:N259"/>
    <mergeCell ref="C260:N260"/>
    <mergeCell ref="C261:N261"/>
    <mergeCell ref="C262:N262"/>
    <mergeCell ref="C253:N253"/>
    <mergeCell ref="C254:N254"/>
    <mergeCell ref="C255:N255"/>
    <mergeCell ref="C256:N256"/>
    <mergeCell ref="C257:N257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249977111117893"/>
  </sheetPr>
  <dimension ref="A1:L40"/>
  <sheetViews>
    <sheetView workbookViewId="0">
      <selection activeCell="C1" sqref="C1"/>
    </sheetView>
  </sheetViews>
  <sheetFormatPr defaultRowHeight="15" x14ac:dyDescent="0.25"/>
  <cols>
    <col min="1" max="1" width="37" customWidth="1"/>
  </cols>
  <sheetData>
    <row r="1" spans="1:12" x14ac:dyDescent="0.25">
      <c r="A1" s="64" t="s">
        <v>293</v>
      </c>
      <c r="B1" s="66">
        <v>0</v>
      </c>
    </row>
    <row r="2" spans="1:12" x14ac:dyDescent="0.25">
      <c r="A2" t="s">
        <v>294</v>
      </c>
      <c r="B2" s="64">
        <f>MEMORIA_VAF!B16</f>
        <v>0.91</v>
      </c>
      <c r="D2" s="347" t="s">
        <v>343</v>
      </c>
      <c r="E2" s="347"/>
      <c r="F2" s="347"/>
      <c r="G2" s="347"/>
      <c r="H2" s="347"/>
      <c r="I2" s="347"/>
      <c r="J2" s="347"/>
      <c r="K2" s="347"/>
      <c r="L2" s="347"/>
    </row>
    <row r="3" spans="1:12" x14ac:dyDescent="0.25">
      <c r="A3" s="64" t="s">
        <v>324</v>
      </c>
      <c r="B3" s="66">
        <v>0</v>
      </c>
      <c r="D3" s="347"/>
      <c r="E3" s="347"/>
      <c r="F3" s="347"/>
      <c r="G3" s="347"/>
      <c r="H3" s="347"/>
      <c r="I3" s="347"/>
      <c r="J3" s="347"/>
      <c r="K3" s="347"/>
      <c r="L3" s="347"/>
    </row>
    <row r="4" spans="1:12" x14ac:dyDescent="0.25">
      <c r="A4" s="64" t="s">
        <v>295</v>
      </c>
      <c r="B4" s="66">
        <v>0</v>
      </c>
      <c r="D4" s="347"/>
      <c r="E4" s="347"/>
      <c r="F4" s="347"/>
      <c r="G4" s="347"/>
      <c r="H4" s="347"/>
      <c r="I4" s="347"/>
      <c r="J4" s="347"/>
      <c r="K4" s="347"/>
      <c r="L4" s="347"/>
    </row>
    <row r="5" spans="1:12" x14ac:dyDescent="0.25">
      <c r="A5" s="64" t="s">
        <v>296</v>
      </c>
      <c r="B5" s="66">
        <v>0</v>
      </c>
    </row>
    <row r="6" spans="1:12" x14ac:dyDescent="0.25">
      <c r="A6" s="64" t="s">
        <v>297</v>
      </c>
      <c r="B6" s="66">
        <v>0</v>
      </c>
    </row>
    <row r="7" spans="1:12" x14ac:dyDescent="0.25">
      <c r="A7" s="64" t="s">
        <v>298</v>
      </c>
      <c r="B7" s="66">
        <v>0</v>
      </c>
    </row>
    <row r="8" spans="1:12" x14ac:dyDescent="0.25">
      <c r="A8" t="s">
        <v>299</v>
      </c>
      <c r="B8" s="65">
        <v>4</v>
      </c>
    </row>
    <row r="9" spans="1:12" x14ac:dyDescent="0.25">
      <c r="A9" t="s">
        <v>300</v>
      </c>
      <c r="B9" s="65">
        <v>4</v>
      </c>
    </row>
    <row r="10" spans="1:12" x14ac:dyDescent="0.25">
      <c r="A10" t="s">
        <v>301</v>
      </c>
      <c r="B10" s="65">
        <v>4</v>
      </c>
    </row>
    <row r="11" spans="1:12" x14ac:dyDescent="0.25">
      <c r="A11" t="s">
        <v>302</v>
      </c>
      <c r="B11" s="65">
        <v>4</v>
      </c>
    </row>
    <row r="12" spans="1:12" x14ac:dyDescent="0.25">
      <c r="A12" t="s">
        <v>303</v>
      </c>
      <c r="B12" s="65">
        <v>4</v>
      </c>
    </row>
    <row r="13" spans="1:12" x14ac:dyDescent="0.25">
      <c r="A13" t="s">
        <v>304</v>
      </c>
      <c r="B13" s="65">
        <v>4</v>
      </c>
    </row>
    <row r="14" spans="1:12" x14ac:dyDescent="0.25">
      <c r="A14" t="s">
        <v>305</v>
      </c>
      <c r="B14" s="65">
        <v>4</v>
      </c>
    </row>
    <row r="15" spans="1:12" x14ac:dyDescent="0.25">
      <c r="A15" t="s">
        <v>306</v>
      </c>
      <c r="B15" s="65">
        <v>4</v>
      </c>
    </row>
    <row r="16" spans="1:12" x14ac:dyDescent="0.25">
      <c r="A16" t="s">
        <v>307</v>
      </c>
      <c r="B16" s="65">
        <v>4</v>
      </c>
    </row>
    <row r="17" spans="1:2" x14ac:dyDescent="0.25">
      <c r="A17" t="s">
        <v>308</v>
      </c>
      <c r="B17" s="65">
        <v>4</v>
      </c>
    </row>
    <row r="18" spans="1:2" x14ac:dyDescent="0.25">
      <c r="A18" t="s">
        <v>309</v>
      </c>
      <c r="B18" s="65">
        <v>4</v>
      </c>
    </row>
    <row r="19" spans="1:2" x14ac:dyDescent="0.25">
      <c r="A19" t="s">
        <v>310</v>
      </c>
      <c r="B19" s="65">
        <v>4</v>
      </c>
    </row>
    <row r="20" spans="1:2" x14ac:dyDescent="0.25">
      <c r="A20" t="s">
        <v>311</v>
      </c>
      <c r="B20" s="65">
        <v>4</v>
      </c>
    </row>
    <row r="21" spans="1:2" x14ac:dyDescent="0.25">
      <c r="A21" t="s">
        <v>312</v>
      </c>
      <c r="B21" s="65">
        <v>4</v>
      </c>
    </row>
    <row r="22" spans="1:2" x14ac:dyDescent="0.25">
      <c r="A22" t="s">
        <v>313</v>
      </c>
      <c r="B22" s="65">
        <v>4</v>
      </c>
    </row>
    <row r="23" spans="1:2" x14ac:dyDescent="0.25">
      <c r="A23" t="s">
        <v>314</v>
      </c>
      <c r="B23" s="65">
        <v>4</v>
      </c>
    </row>
    <row r="24" spans="1:2" x14ac:dyDescent="0.25">
      <c r="A24" t="s">
        <v>315</v>
      </c>
      <c r="B24" s="65">
        <v>4</v>
      </c>
    </row>
    <row r="25" spans="1:2" x14ac:dyDescent="0.25">
      <c r="A25" t="s">
        <v>316</v>
      </c>
      <c r="B25" s="65">
        <v>4</v>
      </c>
    </row>
    <row r="26" spans="1:2" x14ac:dyDescent="0.25">
      <c r="A26" t="s">
        <v>317</v>
      </c>
      <c r="B26" s="65">
        <v>4</v>
      </c>
    </row>
    <row r="27" spans="1:2" x14ac:dyDescent="0.25">
      <c r="A27" t="s">
        <v>318</v>
      </c>
      <c r="B27" s="65">
        <v>4</v>
      </c>
    </row>
    <row r="28" spans="1:2" x14ac:dyDescent="0.25">
      <c r="A28" s="64" t="s">
        <v>319</v>
      </c>
      <c r="B28" s="66">
        <v>0</v>
      </c>
    </row>
    <row r="29" spans="1:2" x14ac:dyDescent="0.25">
      <c r="A29" s="64" t="s">
        <v>320</v>
      </c>
      <c r="B29" s="66">
        <v>0</v>
      </c>
    </row>
    <row r="30" spans="1:2" x14ac:dyDescent="0.25">
      <c r="A30" s="64" t="s">
        <v>321</v>
      </c>
      <c r="B30" s="66">
        <v>0</v>
      </c>
    </row>
    <row r="31" spans="1:2" x14ac:dyDescent="0.25">
      <c r="A31" s="64" t="s">
        <v>322</v>
      </c>
      <c r="B31" s="66">
        <v>0</v>
      </c>
    </row>
    <row r="32" spans="1:2" x14ac:dyDescent="0.25">
      <c r="A32" s="64" t="s">
        <v>323</v>
      </c>
      <c r="B32" s="66">
        <v>0</v>
      </c>
    </row>
    <row r="33" spans="1:2" x14ac:dyDescent="0.25">
      <c r="A33" t="s">
        <v>325</v>
      </c>
      <c r="B33" s="65">
        <v>5</v>
      </c>
    </row>
    <row r="34" spans="1:2" x14ac:dyDescent="0.25">
      <c r="A34" t="s">
        <v>326</v>
      </c>
      <c r="B34" s="65">
        <v>0</v>
      </c>
    </row>
    <row r="35" spans="1:2" x14ac:dyDescent="0.25">
      <c r="A35" t="s">
        <v>341</v>
      </c>
      <c r="B35" s="64">
        <f>'MEMORIA_VAF-ANTES'!B16</f>
        <v>0.91</v>
      </c>
    </row>
    <row r="36" spans="1:2" x14ac:dyDescent="0.25">
      <c r="A36" t="s">
        <v>368</v>
      </c>
      <c r="B36" s="65">
        <v>5</v>
      </c>
    </row>
    <row r="37" spans="1:2" x14ac:dyDescent="0.25">
      <c r="A37" t="s">
        <v>369</v>
      </c>
      <c r="B37" s="65">
        <v>4</v>
      </c>
    </row>
    <row r="38" spans="1:2" x14ac:dyDescent="0.25">
      <c r="A38" t="s">
        <v>370</v>
      </c>
      <c r="B38" s="65">
        <v>3</v>
      </c>
    </row>
    <row r="39" spans="1:2" x14ac:dyDescent="0.25">
      <c r="A39" t="s">
        <v>371</v>
      </c>
      <c r="B39" s="65">
        <v>2</v>
      </c>
    </row>
    <row r="40" spans="1:2" x14ac:dyDescent="0.25">
      <c r="A40" t="s">
        <v>372</v>
      </c>
      <c r="B40" s="65">
        <v>5</v>
      </c>
    </row>
  </sheetData>
  <mergeCells count="1">
    <mergeCell ref="D2:L4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0" tint="-0.249977111117893"/>
  </sheetPr>
  <dimension ref="A1:L16"/>
  <sheetViews>
    <sheetView workbookViewId="0">
      <selection activeCell="J10" sqref="J10"/>
    </sheetView>
  </sheetViews>
  <sheetFormatPr defaultRowHeight="15" x14ac:dyDescent="0.25"/>
  <cols>
    <col min="1" max="1" width="21.5703125" customWidth="1"/>
  </cols>
  <sheetData>
    <row r="1" spans="1:12" x14ac:dyDescent="0.25">
      <c r="A1" t="s">
        <v>327</v>
      </c>
      <c r="B1" s="65">
        <v>1</v>
      </c>
    </row>
    <row r="2" spans="1:12" x14ac:dyDescent="0.25">
      <c r="A2" t="s">
        <v>328</v>
      </c>
      <c r="B2" s="65">
        <v>2</v>
      </c>
      <c r="D2" s="347" t="s">
        <v>342</v>
      </c>
      <c r="E2" s="347"/>
      <c r="F2" s="347"/>
      <c r="G2" s="347"/>
      <c r="H2" s="347"/>
      <c r="I2" s="347"/>
      <c r="J2" s="347"/>
      <c r="K2" s="347"/>
      <c r="L2" s="347"/>
    </row>
    <row r="3" spans="1:12" x14ac:dyDescent="0.25">
      <c r="A3" t="s">
        <v>329</v>
      </c>
      <c r="B3" s="65">
        <v>2</v>
      </c>
      <c r="D3" s="347"/>
      <c r="E3" s="347"/>
      <c r="F3" s="347"/>
      <c r="G3" s="347"/>
      <c r="H3" s="347"/>
      <c r="I3" s="347"/>
      <c r="J3" s="347"/>
      <c r="K3" s="347"/>
      <c r="L3" s="347"/>
    </row>
    <row r="4" spans="1:12" x14ac:dyDescent="0.25">
      <c r="A4" t="s">
        <v>330</v>
      </c>
      <c r="B4" s="65">
        <v>3</v>
      </c>
      <c r="D4" s="347"/>
      <c r="E4" s="347"/>
      <c r="F4" s="347"/>
      <c r="G4" s="347"/>
      <c r="H4" s="347"/>
      <c r="I4" s="347"/>
      <c r="J4" s="347"/>
      <c r="K4" s="347"/>
      <c r="L4" s="347"/>
    </row>
    <row r="5" spans="1:12" x14ac:dyDescent="0.25">
      <c r="A5" t="s">
        <v>331</v>
      </c>
      <c r="B5" s="65">
        <v>3</v>
      </c>
    </row>
    <row r="6" spans="1:12" x14ac:dyDescent="0.25">
      <c r="A6" t="s">
        <v>332</v>
      </c>
      <c r="B6" s="65">
        <v>1</v>
      </c>
    </row>
    <row r="7" spans="1:12" x14ac:dyDescent="0.25">
      <c r="A7" t="s">
        <v>333</v>
      </c>
      <c r="B7" s="65">
        <v>1</v>
      </c>
    </row>
    <row r="8" spans="1:12" x14ac:dyDescent="0.25">
      <c r="A8" t="s">
        <v>334</v>
      </c>
      <c r="B8" s="65">
        <v>1</v>
      </c>
    </row>
    <row r="9" spans="1:12" x14ac:dyDescent="0.25">
      <c r="A9" t="s">
        <v>335</v>
      </c>
      <c r="B9" s="65">
        <v>1</v>
      </c>
    </row>
    <row r="10" spans="1:12" x14ac:dyDescent="0.25">
      <c r="A10" t="s">
        <v>336</v>
      </c>
      <c r="B10" s="65">
        <v>2</v>
      </c>
    </row>
    <row r="11" spans="1:12" x14ac:dyDescent="0.25">
      <c r="A11" t="s">
        <v>337</v>
      </c>
      <c r="B11" s="65">
        <v>2</v>
      </c>
    </row>
    <row r="12" spans="1:12" x14ac:dyDescent="0.25">
      <c r="A12" t="s">
        <v>338</v>
      </c>
      <c r="B12" s="65">
        <v>2</v>
      </c>
    </row>
    <row r="13" spans="1:12" x14ac:dyDescent="0.25">
      <c r="A13" t="s">
        <v>339</v>
      </c>
      <c r="B13" s="65">
        <v>2</v>
      </c>
    </row>
    <row r="14" spans="1:12" x14ac:dyDescent="0.25">
      <c r="A14" t="s">
        <v>340</v>
      </c>
      <c r="B14" s="65">
        <v>3</v>
      </c>
    </row>
    <row r="16" spans="1:12" x14ac:dyDescent="0.25">
      <c r="B16">
        <f>D1RCT005_CalcularFatorAjuste(B1,B2,B3,B4,B5,B6,B7,B8,B9,B10,B11,B12,B13,B14)</f>
        <v>0.91</v>
      </c>
    </row>
  </sheetData>
  <mergeCells count="1">
    <mergeCell ref="D2:L4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0" tint="-0.249977111117893"/>
  </sheetPr>
  <dimension ref="A1:L16"/>
  <sheetViews>
    <sheetView workbookViewId="0">
      <selection activeCell="B1" sqref="B1"/>
    </sheetView>
  </sheetViews>
  <sheetFormatPr defaultRowHeight="15" x14ac:dyDescent="0.25"/>
  <cols>
    <col min="1" max="1" width="21.5703125" customWidth="1"/>
  </cols>
  <sheetData>
    <row r="1" spans="1:12" x14ac:dyDescent="0.25">
      <c r="A1" t="s">
        <v>327</v>
      </c>
      <c r="B1" s="65">
        <v>1</v>
      </c>
    </row>
    <row r="2" spans="1:12" x14ac:dyDescent="0.25">
      <c r="A2" t="s">
        <v>328</v>
      </c>
      <c r="B2" s="65">
        <v>2</v>
      </c>
      <c r="D2" s="347" t="s">
        <v>342</v>
      </c>
      <c r="E2" s="347"/>
      <c r="F2" s="347"/>
      <c r="G2" s="347"/>
      <c r="H2" s="347"/>
      <c r="I2" s="347"/>
      <c r="J2" s="347"/>
      <c r="K2" s="347"/>
      <c r="L2" s="347"/>
    </row>
    <row r="3" spans="1:12" x14ac:dyDescent="0.25">
      <c r="A3" t="s">
        <v>329</v>
      </c>
      <c r="B3" s="65">
        <v>2</v>
      </c>
      <c r="D3" s="347"/>
      <c r="E3" s="347"/>
      <c r="F3" s="347"/>
      <c r="G3" s="347"/>
      <c r="H3" s="347"/>
      <c r="I3" s="347"/>
      <c r="J3" s="347"/>
      <c r="K3" s="347"/>
      <c r="L3" s="347"/>
    </row>
    <row r="4" spans="1:12" x14ac:dyDescent="0.25">
      <c r="A4" t="s">
        <v>330</v>
      </c>
      <c r="B4" s="65">
        <v>3</v>
      </c>
      <c r="D4" s="347"/>
      <c r="E4" s="347"/>
      <c r="F4" s="347"/>
      <c r="G4" s="347"/>
      <c r="H4" s="347"/>
      <c r="I4" s="347"/>
      <c r="J4" s="347"/>
      <c r="K4" s="347"/>
      <c r="L4" s="347"/>
    </row>
    <row r="5" spans="1:12" x14ac:dyDescent="0.25">
      <c r="A5" t="s">
        <v>331</v>
      </c>
      <c r="B5" s="65">
        <v>3</v>
      </c>
    </row>
    <row r="6" spans="1:12" x14ac:dyDescent="0.25">
      <c r="A6" t="s">
        <v>332</v>
      </c>
      <c r="B6" s="65">
        <v>1</v>
      </c>
    </row>
    <row r="7" spans="1:12" x14ac:dyDescent="0.25">
      <c r="A7" t="s">
        <v>333</v>
      </c>
      <c r="B7" s="65">
        <v>1</v>
      </c>
    </row>
    <row r="8" spans="1:12" x14ac:dyDescent="0.25">
      <c r="A8" t="s">
        <v>334</v>
      </c>
      <c r="B8" s="65">
        <v>1</v>
      </c>
    </row>
    <row r="9" spans="1:12" x14ac:dyDescent="0.25">
      <c r="A9" t="s">
        <v>335</v>
      </c>
      <c r="B9" s="65">
        <v>1</v>
      </c>
    </row>
    <row r="10" spans="1:12" x14ac:dyDescent="0.25">
      <c r="A10" t="s">
        <v>336</v>
      </c>
      <c r="B10" s="65">
        <v>2</v>
      </c>
    </row>
    <row r="11" spans="1:12" x14ac:dyDescent="0.25">
      <c r="A11" t="s">
        <v>337</v>
      </c>
      <c r="B11" s="65">
        <v>2</v>
      </c>
    </row>
    <row r="12" spans="1:12" x14ac:dyDescent="0.25">
      <c r="A12" t="s">
        <v>338</v>
      </c>
      <c r="B12" s="65">
        <v>2</v>
      </c>
    </row>
    <row r="13" spans="1:12" x14ac:dyDescent="0.25">
      <c r="A13" t="s">
        <v>339</v>
      </c>
      <c r="B13" s="65">
        <v>2</v>
      </c>
    </row>
    <row r="14" spans="1:12" x14ac:dyDescent="0.25">
      <c r="A14" t="s">
        <v>340</v>
      </c>
      <c r="B14" s="65">
        <v>3</v>
      </c>
    </row>
    <row r="16" spans="1:12" x14ac:dyDescent="0.25">
      <c r="B16">
        <f>D1RCT005_CalcularFatorAjuste(B1,B2,B3,B4,B5,B6,B7,B8,B9,B10,B11,B12,B13,B14)</f>
        <v>0.91</v>
      </c>
    </row>
  </sheetData>
  <mergeCells count="1">
    <mergeCell ref="D2:L4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rgb="FFFF0000"/>
  </sheetPr>
  <dimension ref="A1:I32"/>
  <sheetViews>
    <sheetView workbookViewId="0">
      <selection activeCell="E17" sqref="E17"/>
    </sheetView>
  </sheetViews>
  <sheetFormatPr defaultRowHeight="15" x14ac:dyDescent="0.25"/>
  <cols>
    <col min="1" max="1" width="39.85546875" style="63" bestFit="1" customWidth="1"/>
    <col min="2" max="2" width="9.140625" style="63"/>
  </cols>
  <sheetData>
    <row r="1" spans="1:9" x14ac:dyDescent="0.25">
      <c r="A1" s="63" t="s">
        <v>265</v>
      </c>
      <c r="B1" s="63">
        <f>MOTOR!H93</f>
        <v>75</v>
      </c>
      <c r="C1" t="s">
        <v>366</v>
      </c>
    </row>
    <row r="2" spans="1:9" ht="15" customHeight="1" x14ac:dyDescent="0.25">
      <c r="A2" s="63" t="s">
        <v>266</v>
      </c>
      <c r="B2" s="63">
        <f>MOTOR!I93</f>
        <v>75</v>
      </c>
      <c r="C2" t="s">
        <v>366</v>
      </c>
      <c r="D2" s="347" t="s">
        <v>524</v>
      </c>
      <c r="E2" s="347"/>
      <c r="F2" s="347"/>
      <c r="G2" s="347"/>
      <c r="H2" s="347"/>
      <c r="I2" s="347"/>
    </row>
    <row r="3" spans="1:9" x14ac:dyDescent="0.25">
      <c r="A3" s="63" t="s">
        <v>267</v>
      </c>
      <c r="B3" s="63">
        <f>MOTOR!H94</f>
        <v>0.6</v>
      </c>
      <c r="C3" t="s">
        <v>366</v>
      </c>
      <c r="D3" s="347"/>
      <c r="E3" s="347"/>
      <c r="F3" s="347"/>
      <c r="G3" s="347"/>
      <c r="H3" s="347"/>
      <c r="I3" s="347"/>
    </row>
    <row r="4" spans="1:9" x14ac:dyDescent="0.25">
      <c r="A4" s="63" t="s">
        <v>268</v>
      </c>
      <c r="B4" s="63">
        <f>MOTOR!I94</f>
        <v>0.6</v>
      </c>
      <c r="C4" t="s">
        <v>366</v>
      </c>
      <c r="D4" s="347"/>
      <c r="E4" s="347"/>
      <c r="F4" s="347"/>
      <c r="G4" s="347"/>
      <c r="H4" s="347"/>
      <c r="I4" s="347"/>
    </row>
    <row r="5" spans="1:9" x14ac:dyDescent="0.25">
      <c r="A5" s="63" t="s">
        <v>269</v>
      </c>
      <c r="B5" s="63">
        <f>MOTOR!H95</f>
        <v>140</v>
      </c>
      <c r="C5" t="s">
        <v>366</v>
      </c>
    </row>
    <row r="6" spans="1:9" x14ac:dyDescent="0.25">
      <c r="A6" s="63" t="s">
        <v>270</v>
      </c>
      <c r="B6" s="63">
        <f>MOTOR!I95</f>
        <v>115</v>
      </c>
      <c r="C6" t="s">
        <v>366</v>
      </c>
    </row>
    <row r="7" spans="1:9" x14ac:dyDescent="0.25">
      <c r="A7" s="63" t="s">
        <v>271</v>
      </c>
      <c r="B7" s="63">
        <f>MOTOR!J95</f>
        <v>40</v>
      </c>
      <c r="C7" t="s">
        <v>366</v>
      </c>
    </row>
    <row r="8" spans="1:9" x14ac:dyDescent="0.25">
      <c r="A8" s="63" t="s">
        <v>272</v>
      </c>
      <c r="B8" s="63">
        <f>MOTOR!E104</f>
        <v>50</v>
      </c>
      <c r="C8" t="s">
        <v>366</v>
      </c>
    </row>
    <row r="9" spans="1:9" x14ac:dyDescent="0.25">
      <c r="A9" s="63" t="s">
        <v>273</v>
      </c>
      <c r="B9" s="63">
        <f>MOTOR!E105</f>
        <v>75</v>
      </c>
      <c r="C9" t="s">
        <v>366</v>
      </c>
    </row>
    <row r="10" spans="1:9" x14ac:dyDescent="0.25">
      <c r="A10" s="63" t="s">
        <v>274</v>
      </c>
      <c r="B10" s="63">
        <f>MOTOR!E106</f>
        <v>90</v>
      </c>
      <c r="C10" t="s">
        <v>366</v>
      </c>
    </row>
    <row r="11" spans="1:9" x14ac:dyDescent="0.25">
      <c r="A11" s="63" t="s">
        <v>275</v>
      </c>
      <c r="B11" s="63">
        <f>MOTOR!E113</f>
        <v>50</v>
      </c>
      <c r="C11" t="s">
        <v>366</v>
      </c>
    </row>
    <row r="12" spans="1:9" x14ac:dyDescent="0.25">
      <c r="A12" s="63" t="s">
        <v>276</v>
      </c>
      <c r="B12" s="63">
        <f>MOTOR!E114</f>
        <v>75</v>
      </c>
      <c r="C12" t="s">
        <v>366</v>
      </c>
    </row>
    <row r="13" spans="1:9" x14ac:dyDescent="0.25">
      <c r="A13" s="63" t="s">
        <v>277</v>
      </c>
      <c r="B13" s="63">
        <f>MOTOR!E115</f>
        <v>90</v>
      </c>
      <c r="C13" t="s">
        <v>366</v>
      </c>
    </row>
    <row r="14" spans="1:9" x14ac:dyDescent="0.25">
      <c r="A14" s="63" t="s">
        <v>290</v>
      </c>
      <c r="B14" s="63">
        <f>MOTOR!E123</f>
        <v>30</v>
      </c>
      <c r="C14" t="s">
        <v>366</v>
      </c>
    </row>
    <row r="15" spans="1:9" x14ac:dyDescent="0.25">
      <c r="A15" s="63" t="s">
        <v>278</v>
      </c>
      <c r="B15" s="63">
        <f>MOTOR!E129</f>
        <v>30</v>
      </c>
      <c r="C15" t="s">
        <v>366</v>
      </c>
    </row>
    <row r="16" spans="1:9" x14ac:dyDescent="0.25">
      <c r="A16" s="63" t="s">
        <v>279</v>
      </c>
      <c r="B16" s="63">
        <f>MOTOR!E135</f>
        <v>30</v>
      </c>
      <c r="C16" t="s">
        <v>366</v>
      </c>
    </row>
    <row r="17" spans="1:3" x14ac:dyDescent="0.25">
      <c r="A17" s="63" t="s">
        <v>280</v>
      </c>
      <c r="B17" s="63">
        <f>MOTOR!E141</f>
        <v>30</v>
      </c>
      <c r="C17" t="s">
        <v>366</v>
      </c>
    </row>
    <row r="18" spans="1:3" x14ac:dyDescent="0.25">
      <c r="A18" s="63" t="s">
        <v>281</v>
      </c>
      <c r="B18" s="63">
        <f>MOTOR!E147</f>
        <v>0.6</v>
      </c>
      <c r="C18" t="s">
        <v>366</v>
      </c>
    </row>
    <row r="19" spans="1:3" x14ac:dyDescent="0.25">
      <c r="A19" s="63" t="s">
        <v>291</v>
      </c>
      <c r="B19" s="63">
        <f>MOTOR!E153</f>
        <v>50</v>
      </c>
      <c r="C19" t="s">
        <v>366</v>
      </c>
    </row>
    <row r="20" spans="1:3" x14ac:dyDescent="0.25">
      <c r="A20" s="63" t="s">
        <v>292</v>
      </c>
      <c r="B20" s="63">
        <f>MOTOR!E154</f>
        <v>75</v>
      </c>
      <c r="C20" t="s">
        <v>366</v>
      </c>
    </row>
    <row r="21" spans="1:3" x14ac:dyDescent="0.25">
      <c r="A21" s="63" t="s">
        <v>463</v>
      </c>
      <c r="B21" s="63">
        <v>90</v>
      </c>
      <c r="C21" t="s">
        <v>366</v>
      </c>
    </row>
    <row r="22" spans="1:3" x14ac:dyDescent="0.25">
      <c r="A22" s="63" t="s">
        <v>282</v>
      </c>
      <c r="B22" s="63">
        <f>MOTOR!E163</f>
        <v>60</v>
      </c>
      <c r="C22" t="s">
        <v>366</v>
      </c>
    </row>
    <row r="23" spans="1:3" x14ac:dyDescent="0.25">
      <c r="A23" s="63" t="s">
        <v>283</v>
      </c>
      <c r="B23" s="63">
        <f>MOTOR!E170</f>
        <v>10</v>
      </c>
      <c r="C23" t="s">
        <v>366</v>
      </c>
    </row>
    <row r="24" spans="1:3" x14ac:dyDescent="0.25">
      <c r="A24" s="63" t="s">
        <v>284</v>
      </c>
      <c r="B24" s="63">
        <f>MOTOR!E176</f>
        <v>10</v>
      </c>
      <c r="C24" t="s">
        <v>366</v>
      </c>
    </row>
    <row r="25" spans="1:3" x14ac:dyDescent="0.25">
      <c r="A25" s="63" t="s">
        <v>285</v>
      </c>
      <c r="B25" s="63">
        <f>MOTOR!E182</f>
        <v>0.6</v>
      </c>
      <c r="C25" t="s">
        <v>366</v>
      </c>
    </row>
    <row r="26" spans="1:3" x14ac:dyDescent="0.25">
      <c r="A26" s="63" t="s">
        <v>286</v>
      </c>
      <c r="B26" s="63">
        <f>MOTOR!E188</f>
        <v>25</v>
      </c>
      <c r="C26" t="s">
        <v>366</v>
      </c>
    </row>
    <row r="27" spans="1:3" x14ac:dyDescent="0.25">
      <c r="A27" s="63" t="s">
        <v>287</v>
      </c>
      <c r="B27" s="63">
        <f>MOTOR!E194</f>
        <v>20</v>
      </c>
      <c r="C27" t="s">
        <v>366</v>
      </c>
    </row>
    <row r="28" spans="1:3" x14ac:dyDescent="0.25">
      <c r="A28" s="63" t="s">
        <v>288</v>
      </c>
      <c r="B28" s="63">
        <f>MOTOR!E200</f>
        <v>15</v>
      </c>
      <c r="C28" t="s">
        <v>366</v>
      </c>
    </row>
    <row r="29" spans="1:3" x14ac:dyDescent="0.25">
      <c r="A29" s="63" t="s">
        <v>289</v>
      </c>
      <c r="B29" s="63">
        <f>MOTOR!E206</f>
        <v>15</v>
      </c>
      <c r="C29" t="s">
        <v>366</v>
      </c>
    </row>
    <row r="30" spans="1:3" x14ac:dyDescent="0.25">
      <c r="A30" s="63" t="s">
        <v>363</v>
      </c>
      <c r="B30" s="178" t="str">
        <f>MOTOR!F32</f>
        <v>True</v>
      </c>
      <c r="C30" t="s">
        <v>365</v>
      </c>
    </row>
    <row r="31" spans="1:3" x14ac:dyDescent="0.25">
      <c r="A31" s="63" t="s">
        <v>461</v>
      </c>
      <c r="B31" s="178">
        <v>40</v>
      </c>
      <c r="C31" t="s">
        <v>366</v>
      </c>
    </row>
    <row r="32" spans="1:3" x14ac:dyDescent="0.25">
      <c r="A32" s="63" t="s">
        <v>464</v>
      </c>
      <c r="B32" s="63">
        <f>MOTOR!E176</f>
        <v>10</v>
      </c>
      <c r="C32" t="s">
        <v>366</v>
      </c>
    </row>
  </sheetData>
  <mergeCells count="1">
    <mergeCell ref="D2:I4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FF0000"/>
  </sheetPr>
  <dimension ref="A1:I30"/>
  <sheetViews>
    <sheetView topLeftCell="A14" workbookViewId="0">
      <selection activeCell="B26" sqref="B26"/>
    </sheetView>
  </sheetViews>
  <sheetFormatPr defaultRowHeight="15" x14ac:dyDescent="0.25"/>
  <cols>
    <col min="1" max="1" width="30.7109375" customWidth="1"/>
    <col min="2" max="2" width="64.42578125" style="63" customWidth="1"/>
    <col min="5" max="5" width="23.42578125" bestFit="1" customWidth="1"/>
    <col min="7" max="7" width="34.7109375" bestFit="1" customWidth="1"/>
    <col min="9" max="9" width="16.85546875" bestFit="1" customWidth="1"/>
  </cols>
  <sheetData>
    <row r="1" spans="1:9" x14ac:dyDescent="0.25">
      <c r="A1" s="65" t="s">
        <v>344</v>
      </c>
      <c r="B1" s="63">
        <v>80</v>
      </c>
    </row>
    <row r="2" spans="1:9" x14ac:dyDescent="0.25">
      <c r="A2" s="65" t="s">
        <v>360</v>
      </c>
      <c r="B2" s="63">
        <v>1</v>
      </c>
      <c r="D2" s="347" t="s">
        <v>358</v>
      </c>
      <c r="E2" s="347"/>
      <c r="F2" s="347"/>
      <c r="G2" s="347"/>
      <c r="H2" s="347"/>
      <c r="I2" s="347"/>
    </row>
    <row r="3" spans="1:9" x14ac:dyDescent="0.25">
      <c r="A3" s="65" t="s">
        <v>361</v>
      </c>
      <c r="B3" s="63">
        <v>1</v>
      </c>
      <c r="D3" s="347"/>
      <c r="E3" s="347"/>
      <c r="F3" s="347"/>
      <c r="G3" s="347"/>
      <c r="H3" s="347"/>
      <c r="I3" s="347"/>
    </row>
    <row r="4" spans="1:9" x14ac:dyDescent="0.25">
      <c r="A4" s="228" t="s">
        <v>507</v>
      </c>
      <c r="D4" s="347"/>
      <c r="E4" s="347"/>
      <c r="F4" s="347"/>
      <c r="G4" s="347"/>
      <c r="H4" s="347"/>
      <c r="I4" s="347"/>
    </row>
    <row r="5" spans="1:9" x14ac:dyDescent="0.25">
      <c r="A5" s="227" t="s">
        <v>401</v>
      </c>
      <c r="B5" s="63" t="s">
        <v>375</v>
      </c>
    </row>
    <row r="6" spans="1:9" x14ac:dyDescent="0.25">
      <c r="A6" s="227" t="s">
        <v>400</v>
      </c>
      <c r="B6" s="63" t="s">
        <v>376</v>
      </c>
      <c r="D6" s="1" t="s">
        <v>346</v>
      </c>
    </row>
    <row r="7" spans="1:9" x14ac:dyDescent="0.25">
      <c r="A7" s="227" t="s">
        <v>399</v>
      </c>
      <c r="B7" s="63" t="s">
        <v>377</v>
      </c>
    </row>
    <row r="8" spans="1:9" x14ac:dyDescent="0.25">
      <c r="A8" s="227" t="s">
        <v>398</v>
      </c>
      <c r="B8" s="63" t="s">
        <v>378</v>
      </c>
      <c r="D8" s="67" t="s">
        <v>355</v>
      </c>
      <c r="F8" s="67" t="s">
        <v>345</v>
      </c>
      <c r="H8" s="67" t="s">
        <v>347</v>
      </c>
    </row>
    <row r="9" spans="1:9" x14ac:dyDescent="0.25">
      <c r="A9" s="227" t="s">
        <v>402</v>
      </c>
      <c r="B9" s="121">
        <v>41344</v>
      </c>
      <c r="D9">
        <v>1</v>
      </c>
      <c r="E9" t="s">
        <v>356</v>
      </c>
      <c r="F9">
        <v>1</v>
      </c>
      <c r="G9" t="s">
        <v>353</v>
      </c>
      <c r="H9">
        <v>1</v>
      </c>
      <c r="I9" t="s">
        <v>349</v>
      </c>
    </row>
    <row r="10" spans="1:9" x14ac:dyDescent="0.25">
      <c r="A10" s="227" t="s">
        <v>403</v>
      </c>
      <c r="B10" s="63">
        <v>1</v>
      </c>
      <c r="D10">
        <v>2</v>
      </c>
      <c r="E10" t="s">
        <v>357</v>
      </c>
      <c r="F10">
        <v>2</v>
      </c>
      <c r="G10" t="s">
        <v>354</v>
      </c>
      <c r="H10">
        <v>2</v>
      </c>
      <c r="I10" t="s">
        <v>350</v>
      </c>
    </row>
    <row r="11" spans="1:9" x14ac:dyDescent="0.25">
      <c r="A11" s="227" t="s">
        <v>404</v>
      </c>
      <c r="B11" s="63" t="s">
        <v>381</v>
      </c>
      <c r="F11">
        <v>4</v>
      </c>
      <c r="G11" t="s">
        <v>352</v>
      </c>
    </row>
    <row r="12" spans="1:9" x14ac:dyDescent="0.25">
      <c r="A12" s="227" t="s">
        <v>397</v>
      </c>
      <c r="B12" s="63">
        <v>235</v>
      </c>
    </row>
    <row r="13" spans="1:9" x14ac:dyDescent="0.25">
      <c r="A13" s="227" t="s">
        <v>405</v>
      </c>
      <c r="B13" s="63" t="s">
        <v>382</v>
      </c>
      <c r="F13">
        <v>3</v>
      </c>
      <c r="G13" t="s">
        <v>348</v>
      </c>
      <c r="H13">
        <v>3</v>
      </c>
      <c r="I13" t="s">
        <v>351</v>
      </c>
    </row>
    <row r="14" spans="1:9" x14ac:dyDescent="0.25">
      <c r="A14" s="229" t="s">
        <v>508</v>
      </c>
    </row>
    <row r="15" spans="1:9" x14ac:dyDescent="0.25">
      <c r="A15" s="229" t="s">
        <v>509</v>
      </c>
    </row>
    <row r="16" spans="1:9" x14ac:dyDescent="0.25">
      <c r="A16" s="229" t="s">
        <v>510</v>
      </c>
    </row>
    <row r="17" spans="1:2" x14ac:dyDescent="0.25">
      <c r="A17" s="229" t="s">
        <v>511</v>
      </c>
    </row>
    <row r="18" spans="1:2" x14ac:dyDescent="0.25">
      <c r="A18" s="229" t="s">
        <v>513</v>
      </c>
    </row>
    <row r="19" spans="1:2" x14ac:dyDescent="0.25">
      <c r="A19" s="229" t="s">
        <v>512</v>
      </c>
    </row>
    <row r="20" spans="1:2" x14ac:dyDescent="0.25">
      <c r="A20" s="229" t="s">
        <v>514</v>
      </c>
    </row>
    <row r="21" spans="1:2" x14ac:dyDescent="0.25">
      <c r="A21" s="229" t="s">
        <v>515</v>
      </c>
    </row>
    <row r="22" spans="1:2" x14ac:dyDescent="0.25">
      <c r="A22" s="229" t="s">
        <v>516</v>
      </c>
    </row>
    <row r="23" spans="1:2" x14ac:dyDescent="0.25">
      <c r="A23" s="229" t="s">
        <v>362</v>
      </c>
      <c r="B23" s="63">
        <v>1</v>
      </c>
    </row>
    <row r="24" spans="1:2" x14ac:dyDescent="0.25">
      <c r="A24" s="229" t="s">
        <v>517</v>
      </c>
    </row>
    <row r="25" spans="1:2" x14ac:dyDescent="0.25">
      <c r="A25" s="229" t="s">
        <v>518</v>
      </c>
    </row>
    <row r="26" spans="1:2" x14ac:dyDescent="0.25">
      <c r="A26" s="229" t="s">
        <v>519</v>
      </c>
    </row>
    <row r="27" spans="1:2" x14ac:dyDescent="0.25">
      <c r="A27" s="229" t="s">
        <v>520</v>
      </c>
    </row>
    <row r="28" spans="1:2" x14ac:dyDescent="0.25">
      <c r="A28" s="229" t="s">
        <v>521</v>
      </c>
    </row>
    <row r="29" spans="1:2" x14ac:dyDescent="0.25">
      <c r="A29" s="229" t="s">
        <v>522</v>
      </c>
    </row>
    <row r="30" spans="1:2" x14ac:dyDescent="0.25">
      <c r="A30" s="229" t="s">
        <v>523</v>
      </c>
    </row>
  </sheetData>
  <mergeCells count="1">
    <mergeCell ref="D2:I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0000"/>
    <pageSetUpPr fitToPage="1"/>
  </sheetPr>
  <dimension ref="A1:B165"/>
  <sheetViews>
    <sheetView topLeftCell="A13" workbookViewId="0">
      <selection activeCell="B31" sqref="B31"/>
    </sheetView>
  </sheetViews>
  <sheetFormatPr defaultRowHeight="15" x14ac:dyDescent="0.25"/>
  <cols>
    <col min="1" max="1" width="11.7109375" customWidth="1"/>
    <col min="2" max="2" width="89.85546875" bestFit="1" customWidth="1"/>
  </cols>
  <sheetData>
    <row r="1" spans="1:2" x14ac:dyDescent="0.25">
      <c r="A1" s="210" t="s">
        <v>486</v>
      </c>
      <c r="B1" s="210" t="s">
        <v>487</v>
      </c>
    </row>
    <row r="2" spans="1:2" x14ac:dyDescent="0.25">
      <c r="A2">
        <v>0</v>
      </c>
      <c r="B2" t="s">
        <v>488</v>
      </c>
    </row>
    <row r="3" spans="1:2" x14ac:dyDescent="0.25">
      <c r="A3">
        <v>1</v>
      </c>
      <c r="B3" t="s">
        <v>534</v>
      </c>
    </row>
    <row r="4" spans="1:2" x14ac:dyDescent="0.25">
      <c r="A4">
        <v>2</v>
      </c>
      <c r="B4" t="s">
        <v>535</v>
      </c>
    </row>
    <row r="5" spans="1:2" x14ac:dyDescent="0.25">
      <c r="A5">
        <v>3</v>
      </c>
      <c r="B5" t="s">
        <v>536</v>
      </c>
    </row>
    <row r="6" spans="1:2" x14ac:dyDescent="0.25">
      <c r="A6">
        <v>4</v>
      </c>
      <c r="B6" t="s">
        <v>537</v>
      </c>
    </row>
    <row r="7" spans="1:2" x14ac:dyDescent="0.25">
      <c r="A7">
        <v>5</v>
      </c>
      <c r="B7" t="s">
        <v>538</v>
      </c>
    </row>
    <row r="8" spans="1:2" x14ac:dyDescent="0.25">
      <c r="A8">
        <v>6</v>
      </c>
      <c r="B8" t="s">
        <v>558</v>
      </c>
    </row>
    <row r="9" spans="1:2" x14ac:dyDescent="0.25">
      <c r="A9">
        <v>7</v>
      </c>
      <c r="B9" t="s">
        <v>559</v>
      </c>
    </row>
    <row r="10" spans="1:2" x14ac:dyDescent="0.25">
      <c r="A10">
        <v>8</v>
      </c>
      <c r="B10" t="s">
        <v>560</v>
      </c>
    </row>
    <row r="11" spans="1:2" x14ac:dyDescent="0.25">
      <c r="A11">
        <v>9</v>
      </c>
      <c r="B11" t="s">
        <v>561</v>
      </c>
    </row>
    <row r="12" spans="1:2" x14ac:dyDescent="0.25">
      <c r="A12">
        <v>10</v>
      </c>
      <c r="B12" t="s">
        <v>562</v>
      </c>
    </row>
    <row r="13" spans="1:2" x14ac:dyDescent="0.25">
      <c r="A13">
        <v>11</v>
      </c>
      <c r="B13" t="s">
        <v>563</v>
      </c>
    </row>
    <row r="14" spans="1:2" x14ac:dyDescent="0.25">
      <c r="A14">
        <v>12</v>
      </c>
      <c r="B14" t="s">
        <v>564</v>
      </c>
    </row>
    <row r="15" spans="1:2" x14ac:dyDescent="0.25">
      <c r="A15">
        <v>13</v>
      </c>
      <c r="B15" t="s">
        <v>598</v>
      </c>
    </row>
    <row r="16" spans="1:2" x14ac:dyDescent="0.25">
      <c r="A16">
        <v>14</v>
      </c>
      <c r="B16" t="s">
        <v>597</v>
      </c>
    </row>
    <row r="17" spans="1:2" x14ac:dyDescent="0.25">
      <c r="A17">
        <v>15</v>
      </c>
      <c r="B17" t="s">
        <v>599</v>
      </c>
    </row>
    <row r="18" spans="1:2" x14ac:dyDescent="0.25">
      <c r="A18">
        <v>16</v>
      </c>
      <c r="B18" t="s">
        <v>600</v>
      </c>
    </row>
    <row r="19" spans="1:2" x14ac:dyDescent="0.25">
      <c r="A19">
        <v>17</v>
      </c>
      <c r="B19" t="s">
        <v>601</v>
      </c>
    </row>
    <row r="20" spans="1:2" x14ac:dyDescent="0.25">
      <c r="A20">
        <v>18</v>
      </c>
      <c r="B20" t="s">
        <v>602</v>
      </c>
    </row>
    <row r="21" spans="1:2" x14ac:dyDescent="0.25">
      <c r="A21">
        <v>19</v>
      </c>
      <c r="B21" t="s">
        <v>603</v>
      </c>
    </row>
    <row r="22" spans="1:2" x14ac:dyDescent="0.25">
      <c r="A22">
        <v>20</v>
      </c>
      <c r="B22" t="s">
        <v>604</v>
      </c>
    </row>
    <row r="23" spans="1:2" x14ac:dyDescent="0.25">
      <c r="A23">
        <v>21</v>
      </c>
      <c r="B23" t="s">
        <v>605</v>
      </c>
    </row>
    <row r="24" spans="1:2" x14ac:dyDescent="0.25">
      <c r="A24">
        <v>22</v>
      </c>
      <c r="B24" t="s">
        <v>606</v>
      </c>
    </row>
    <row r="25" spans="1:2" x14ac:dyDescent="0.25">
      <c r="A25">
        <v>23</v>
      </c>
      <c r="B25" t="s">
        <v>607</v>
      </c>
    </row>
    <row r="26" spans="1:2" x14ac:dyDescent="0.25">
      <c r="A26">
        <v>24</v>
      </c>
      <c r="B26" t="s">
        <v>608</v>
      </c>
    </row>
    <row r="27" spans="1:2" x14ac:dyDescent="0.25">
      <c r="A27">
        <v>25</v>
      </c>
      <c r="B27" t="s">
        <v>609</v>
      </c>
    </row>
    <row r="28" spans="1:2" x14ac:dyDescent="0.25">
      <c r="A28">
        <v>26</v>
      </c>
      <c r="B28" t="s">
        <v>610</v>
      </c>
    </row>
    <row r="29" spans="1:2" x14ac:dyDescent="0.25">
      <c r="A29">
        <v>27</v>
      </c>
      <c r="B29" t="s">
        <v>733</v>
      </c>
    </row>
    <row r="30" spans="1:2" x14ac:dyDescent="0.25">
      <c r="A30">
        <v>28</v>
      </c>
      <c r="B30" t="s">
        <v>752</v>
      </c>
    </row>
    <row r="68" spans="2:2" x14ac:dyDescent="0.25">
      <c r="B68" s="243"/>
    </row>
    <row r="92" spans="2:2" x14ac:dyDescent="0.25">
      <c r="B92" s="243"/>
    </row>
    <row r="165" spans="1:2" x14ac:dyDescent="0.25">
      <c r="A165">
        <v>99999</v>
      </c>
      <c r="B165" t="s">
        <v>489</v>
      </c>
    </row>
  </sheetData>
  <pageMargins left="0.511811024" right="0.511811024" top="0.78740157499999996" bottom="0.78740157499999996" header="0.31496062000000002" footer="0.31496062000000002"/>
  <pageSetup scale="94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FF00"/>
  </sheetPr>
  <dimension ref="A1:I40"/>
  <sheetViews>
    <sheetView workbookViewId="0"/>
  </sheetViews>
  <sheetFormatPr defaultRowHeight="15" x14ac:dyDescent="0.25"/>
  <cols>
    <col min="1" max="1" width="37" customWidth="1"/>
  </cols>
  <sheetData>
    <row r="1" spans="1:9" x14ac:dyDescent="0.25">
      <c r="A1" t="s">
        <v>293</v>
      </c>
      <c r="B1">
        <v>235</v>
      </c>
    </row>
    <row r="2" spans="1:9" ht="15" customHeight="1" x14ac:dyDescent="0.25">
      <c r="A2" t="s">
        <v>294</v>
      </c>
      <c r="B2">
        <v>1</v>
      </c>
      <c r="D2" s="347" t="s">
        <v>359</v>
      </c>
      <c r="E2" s="347"/>
      <c r="F2" s="347"/>
      <c r="G2" s="347"/>
      <c r="H2" s="347"/>
      <c r="I2" s="347"/>
    </row>
    <row r="3" spans="1:9" x14ac:dyDescent="0.25">
      <c r="A3" t="s">
        <v>324</v>
      </c>
      <c r="B3">
        <v>235</v>
      </c>
      <c r="D3" s="347"/>
      <c r="E3" s="347"/>
      <c r="F3" s="347"/>
      <c r="G3" s="347"/>
      <c r="H3" s="347"/>
      <c r="I3" s="347"/>
    </row>
    <row r="4" spans="1:9" x14ac:dyDescent="0.25">
      <c r="A4" t="s">
        <v>295</v>
      </c>
      <c r="B4">
        <v>0</v>
      </c>
      <c r="D4" s="347"/>
      <c r="E4" s="347"/>
      <c r="F4" s="347"/>
      <c r="G4" s="347"/>
      <c r="H4" s="347"/>
      <c r="I4" s="347"/>
    </row>
    <row r="5" spans="1:9" x14ac:dyDescent="0.25">
      <c r="A5" t="s">
        <v>296</v>
      </c>
      <c r="B5">
        <v>0</v>
      </c>
    </row>
    <row r="6" spans="1:9" x14ac:dyDescent="0.25">
      <c r="A6" t="s">
        <v>297</v>
      </c>
      <c r="B6">
        <v>0</v>
      </c>
    </row>
    <row r="7" spans="1:9" x14ac:dyDescent="0.25">
      <c r="A7" t="s">
        <v>298</v>
      </c>
      <c r="B7">
        <v>0</v>
      </c>
    </row>
    <row r="8" spans="1:9" x14ac:dyDescent="0.25">
      <c r="A8" t="s">
        <v>299</v>
      </c>
      <c r="B8">
        <v>0</v>
      </c>
    </row>
    <row r="9" spans="1:9" x14ac:dyDescent="0.25">
      <c r="A9" t="s">
        <v>300</v>
      </c>
      <c r="B9">
        <v>0</v>
      </c>
    </row>
    <row r="10" spans="1:9" x14ac:dyDescent="0.25">
      <c r="A10" t="s">
        <v>301</v>
      </c>
      <c r="B10">
        <v>0</v>
      </c>
    </row>
    <row r="11" spans="1:9" x14ac:dyDescent="0.25">
      <c r="A11" t="s">
        <v>302</v>
      </c>
      <c r="B11">
        <v>0</v>
      </c>
    </row>
    <row r="12" spans="1:9" x14ac:dyDescent="0.25">
      <c r="A12" t="s">
        <v>303</v>
      </c>
      <c r="B12">
        <v>0</v>
      </c>
    </row>
    <row r="13" spans="1:9" x14ac:dyDescent="0.25">
      <c r="A13" t="s">
        <v>304</v>
      </c>
      <c r="B13">
        <v>0</v>
      </c>
    </row>
    <row r="14" spans="1:9" x14ac:dyDescent="0.25">
      <c r="A14" t="s">
        <v>305</v>
      </c>
      <c r="B14">
        <v>0</v>
      </c>
    </row>
    <row r="15" spans="1:9" x14ac:dyDescent="0.25">
      <c r="A15" t="s">
        <v>306</v>
      </c>
      <c r="B15">
        <v>0</v>
      </c>
    </row>
    <row r="16" spans="1:9" x14ac:dyDescent="0.25">
      <c r="A16" t="s">
        <v>307</v>
      </c>
      <c r="B16">
        <v>0</v>
      </c>
    </row>
    <row r="17" spans="1:2" x14ac:dyDescent="0.25">
      <c r="A17" t="s">
        <v>308</v>
      </c>
      <c r="B17">
        <v>0</v>
      </c>
    </row>
    <row r="18" spans="1:2" x14ac:dyDescent="0.25">
      <c r="A18" t="s">
        <v>309</v>
      </c>
      <c r="B18">
        <v>0</v>
      </c>
    </row>
    <row r="19" spans="1:2" x14ac:dyDescent="0.25">
      <c r="A19" t="s">
        <v>310</v>
      </c>
      <c r="B19">
        <v>0</v>
      </c>
    </row>
    <row r="20" spans="1:2" x14ac:dyDescent="0.25">
      <c r="A20" t="s">
        <v>311</v>
      </c>
      <c r="B20">
        <v>0</v>
      </c>
    </row>
    <row r="21" spans="1:2" x14ac:dyDescent="0.25">
      <c r="A21" t="s">
        <v>312</v>
      </c>
      <c r="B21">
        <v>0</v>
      </c>
    </row>
    <row r="22" spans="1:2" x14ac:dyDescent="0.25">
      <c r="A22" t="s">
        <v>313</v>
      </c>
      <c r="B22">
        <v>0</v>
      </c>
    </row>
    <row r="23" spans="1:2" x14ac:dyDescent="0.25">
      <c r="A23" t="s">
        <v>314</v>
      </c>
      <c r="B23">
        <v>0</v>
      </c>
    </row>
    <row r="24" spans="1:2" x14ac:dyDescent="0.25">
      <c r="A24" t="s">
        <v>315</v>
      </c>
      <c r="B24">
        <v>0</v>
      </c>
    </row>
    <row r="25" spans="1:2" x14ac:dyDescent="0.25">
      <c r="A25" t="s">
        <v>316</v>
      </c>
      <c r="B25">
        <v>0</v>
      </c>
    </row>
    <row r="26" spans="1:2" x14ac:dyDescent="0.25">
      <c r="A26" t="s">
        <v>317</v>
      </c>
      <c r="B26">
        <v>0</v>
      </c>
    </row>
    <row r="27" spans="1:2" x14ac:dyDescent="0.25">
      <c r="A27" t="s">
        <v>318</v>
      </c>
      <c r="B27">
        <v>0</v>
      </c>
    </row>
    <row r="28" spans="1:2" x14ac:dyDescent="0.25">
      <c r="A28" t="s">
        <v>319</v>
      </c>
      <c r="B28">
        <v>175</v>
      </c>
    </row>
    <row r="29" spans="1:2" x14ac:dyDescent="0.25">
      <c r="A29" t="s">
        <v>320</v>
      </c>
      <c r="B29">
        <v>60</v>
      </c>
    </row>
    <row r="30" spans="1:2" x14ac:dyDescent="0.25">
      <c r="A30" t="s">
        <v>321</v>
      </c>
      <c r="B30">
        <v>0</v>
      </c>
    </row>
    <row r="31" spans="1:2" x14ac:dyDescent="0.25">
      <c r="A31" t="s">
        <v>322</v>
      </c>
      <c r="B31">
        <v>0</v>
      </c>
    </row>
    <row r="32" spans="1:2" x14ac:dyDescent="0.25">
      <c r="A32" t="s">
        <v>323</v>
      </c>
      <c r="B32">
        <v>0</v>
      </c>
    </row>
    <row r="33" spans="1:2" x14ac:dyDescent="0.25">
      <c r="A33" t="s">
        <v>325</v>
      </c>
      <c r="B33">
        <v>0</v>
      </c>
    </row>
    <row r="34" spans="1:2" x14ac:dyDescent="0.25">
      <c r="A34" t="s">
        <v>326</v>
      </c>
      <c r="B34">
        <v>0</v>
      </c>
    </row>
    <row r="35" spans="1:2" x14ac:dyDescent="0.25">
      <c r="A35" t="s">
        <v>367</v>
      </c>
      <c r="B35">
        <v>0</v>
      </c>
    </row>
    <row r="36" spans="1:2" x14ac:dyDescent="0.25">
      <c r="A36" t="s">
        <v>368</v>
      </c>
      <c r="B36">
        <v>5</v>
      </c>
    </row>
    <row r="37" spans="1:2" x14ac:dyDescent="0.25">
      <c r="A37" t="s">
        <v>369</v>
      </c>
      <c r="B37">
        <v>4</v>
      </c>
    </row>
    <row r="38" spans="1:2" x14ac:dyDescent="0.25">
      <c r="A38" t="s">
        <v>370</v>
      </c>
      <c r="B38">
        <v>0</v>
      </c>
    </row>
    <row r="39" spans="1:2" x14ac:dyDescent="0.25">
      <c r="A39" t="s">
        <v>371</v>
      </c>
      <c r="B39">
        <v>0</v>
      </c>
    </row>
    <row r="40" spans="1:2" x14ac:dyDescent="0.25">
      <c r="A40" t="s">
        <v>372</v>
      </c>
      <c r="B40">
        <v>0</v>
      </c>
    </row>
  </sheetData>
  <mergeCells count="1">
    <mergeCell ref="D2:I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26</vt:i4>
      </vt:variant>
    </vt:vector>
  </HeadingPairs>
  <TitlesOfParts>
    <vt:vector size="43" baseType="lpstr">
      <vt:lpstr>TabGerais</vt:lpstr>
      <vt:lpstr>PAR-FD_Estaticos</vt:lpstr>
      <vt:lpstr>PAR-FT_Estaticos</vt:lpstr>
      <vt:lpstr>FSOL</vt:lpstr>
      <vt:lpstr>FD_Aplicacao</vt:lpstr>
      <vt:lpstr>FT_Aplicacao</vt:lpstr>
      <vt:lpstr>DOC</vt:lpstr>
      <vt:lpstr>RESULTADO</vt:lpstr>
      <vt:lpstr>DOC_ESTATICO</vt:lpstr>
      <vt:lpstr>MOTOR</vt:lpstr>
      <vt:lpstr>MEMORIA_CONTAGEM</vt:lpstr>
      <vt:lpstr>MEMORIA_VAF</vt:lpstr>
      <vt:lpstr>MEMORIA_VAF-ANTES</vt:lpstr>
      <vt:lpstr>PARAMETROS</vt:lpstr>
      <vt:lpstr>SOLICITACAO</vt:lpstr>
      <vt:lpstr>MACROPROCESSOS</vt:lpstr>
      <vt:lpstr>CONTAGEM</vt:lpstr>
      <vt:lpstr>calculos</vt:lpstr>
      <vt:lpstr>combo_nomeUC</vt:lpstr>
      <vt:lpstr>combo_resp</vt:lpstr>
      <vt:lpstr>combo_sit</vt:lpstr>
      <vt:lpstr>DOC_ESTATICO!combo_situacao</vt:lpstr>
      <vt:lpstr>DOC_ESTATICO!combo_tpManutencao</vt:lpstr>
      <vt:lpstr>FD_Corretiva_TE</vt:lpstr>
      <vt:lpstr>FD_Corretiva_TM</vt:lpstr>
      <vt:lpstr>FD_Documentacao_TE</vt:lpstr>
      <vt:lpstr>FD_Melhoria_TE</vt:lpstr>
      <vt:lpstr>FD_Melhoria_TM</vt:lpstr>
      <vt:lpstr>FD_Plataforma_TE</vt:lpstr>
      <vt:lpstr>FD_Plataforma_TM</vt:lpstr>
      <vt:lpstr>FT_Adaptacao_TE</vt:lpstr>
      <vt:lpstr>FT_Apuracao_TE</vt:lpstr>
      <vt:lpstr>FT_AtualizaDados_TE</vt:lpstr>
      <vt:lpstr>FT_AtuaVersao</vt:lpstr>
      <vt:lpstr>FT_AtuaVersao_TE</vt:lpstr>
      <vt:lpstr>FT_Componentes_TE</vt:lpstr>
      <vt:lpstr>FT_Corretiva_TE</vt:lpstr>
      <vt:lpstr>FT_Cosmetica_TE</vt:lpstr>
      <vt:lpstr>FT_Documentacao_TE</vt:lpstr>
      <vt:lpstr>FT_Melhoria_TE</vt:lpstr>
      <vt:lpstr>FT_PfTestes_TE</vt:lpstr>
      <vt:lpstr>FT_Plataforma_TE</vt:lpstr>
      <vt:lpstr>FT_VerifErros_TE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Ismael da Silva de Melo</dc:creator>
  <cp:lastModifiedBy>Ismael</cp:lastModifiedBy>
  <cp:lastPrinted>2014-02-07T19:06:59Z</cp:lastPrinted>
  <dcterms:created xsi:type="dcterms:W3CDTF">2013-04-19T16:03:50Z</dcterms:created>
  <dcterms:modified xsi:type="dcterms:W3CDTF">2014-06-14T01:07:25Z</dcterms:modified>
</cp:coreProperties>
</file>